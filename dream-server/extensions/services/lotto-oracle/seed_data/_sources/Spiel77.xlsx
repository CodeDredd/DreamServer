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Dienste\Archiv- und Infostelle\DLTB\Basisdaten\Gewinnzahlen und Quoten\"/>
    </mc:Choice>
  </mc:AlternateContent>
  <bookViews>
    <workbookView xWindow="120" yWindow="105" windowWidth="15180" windowHeight="8475" tabRatio="839" firstSheet="34" activeTab="46"/>
  </bookViews>
  <sheets>
    <sheet name="SP77SA75" sheetId="1" r:id="rId1"/>
    <sheet name="SP77SA76" sheetId="2" r:id="rId2"/>
    <sheet name="SP77SA77" sheetId="3" r:id="rId3"/>
    <sheet name="SP77SA78" sheetId="4" r:id="rId4"/>
    <sheet name="SP77SA79" sheetId="5" r:id="rId5"/>
    <sheet name="SP77SA80" sheetId="6" r:id="rId6"/>
    <sheet name="SP77SA81" sheetId="7" r:id="rId7"/>
    <sheet name="SP77SA82" sheetId="8" r:id="rId8"/>
    <sheet name="SP77SA83" sheetId="9" r:id="rId9"/>
    <sheet name="SP77SA84" sheetId="10" r:id="rId10"/>
    <sheet name="SP77SA85" sheetId="11" r:id="rId11"/>
    <sheet name="SP77SA86" sheetId="12" r:id="rId12"/>
    <sheet name="SP77SA87" sheetId="13" r:id="rId13"/>
    <sheet name="SP77SA88" sheetId="14" r:id="rId14"/>
    <sheet name="SP77SA89" sheetId="15" r:id="rId15"/>
    <sheet name="SP77SA90" sheetId="16" r:id="rId16"/>
    <sheet name="SP77SA91" sheetId="17" r:id="rId17"/>
    <sheet name="SP77SA92" sheetId="18" r:id="rId18"/>
    <sheet name="SP77SA93" sheetId="19" r:id="rId19"/>
    <sheet name="SP77SA94" sheetId="20" r:id="rId20"/>
    <sheet name="SP77SA95" sheetId="21" r:id="rId21"/>
    <sheet name="SP77SA96" sheetId="22" r:id="rId22"/>
    <sheet name="SP77SA97" sheetId="23" r:id="rId23"/>
    <sheet name="SP77SA98" sheetId="24" r:id="rId24"/>
    <sheet name="SP77SA99" sheetId="25" r:id="rId25"/>
    <sheet name="77SA_SP772000" sheetId="26" r:id="rId26"/>
    <sheet name="SP77_2001" sheetId="27" r:id="rId27"/>
    <sheet name="SP77_2002" sheetId="28" r:id="rId28"/>
    <sheet name="SP77_2003" sheetId="29" r:id="rId29"/>
    <sheet name="SP77_2004" sheetId="30" r:id="rId30"/>
    <sheet name="SP77_2005" sheetId="31" r:id="rId31"/>
    <sheet name="SP77_2006" sheetId="32" r:id="rId32"/>
    <sheet name="SP77_2007" sheetId="33" r:id="rId33"/>
    <sheet name="SP77_2008" sheetId="34" r:id="rId34"/>
    <sheet name="SP77_2009" sheetId="35" r:id="rId35"/>
    <sheet name="SP77_2010" sheetId="36" r:id="rId36"/>
    <sheet name="SP77_2011" sheetId="37" r:id="rId37"/>
    <sheet name="SP77_2012" sheetId="38" r:id="rId38"/>
    <sheet name="SP77_2013" sheetId="39" r:id="rId39"/>
    <sheet name="SP77_2014" sheetId="40" r:id="rId40"/>
    <sheet name="SP77_2015" sheetId="41" r:id="rId41"/>
    <sheet name="SP77_2016" sheetId="42" r:id="rId42"/>
    <sheet name="SP77_2017" sheetId="43" r:id="rId43"/>
    <sheet name="SP77_2018" sheetId="44" r:id="rId44"/>
    <sheet name="SP77_2019" sheetId="45" r:id="rId45"/>
    <sheet name="SP77_2020" sheetId="46" r:id="rId46"/>
    <sheet name="SP77_2021" sheetId="47" r:id="rId47"/>
  </sheets>
  <externalReferences>
    <externalReference r:id="rId48"/>
    <externalReference r:id="rId49"/>
    <externalReference r:id="rId50"/>
  </externalReferences>
  <definedNames>
    <definedName name="_xlnm._FilterDatabase" localSheetId="27" hidden="1">SP77_2002!$L$2:$M$123</definedName>
    <definedName name="_xlnm._FilterDatabase" localSheetId="28" hidden="1">SP77_2003!$L$2:$M$122</definedName>
    <definedName name="_xlnm._FilterDatabase" localSheetId="29" hidden="1">SP77_2004!$L$2:$M$125</definedName>
    <definedName name="_xlnm._FilterDatabase" localSheetId="30" hidden="1">SP77_2005!$L$2:$M$137</definedName>
    <definedName name="_xlnm._FilterDatabase" localSheetId="31" hidden="1">SP77_2006!$L$2:$M$137</definedName>
    <definedName name="_xlnm._FilterDatabase" localSheetId="32" hidden="1">SP77_2007!$L$2:$M$137</definedName>
    <definedName name="_xlnm._FilterDatabase" localSheetId="33" hidden="1">SP77_2008!$L$2:$M$137</definedName>
    <definedName name="_xlnm._FilterDatabase" localSheetId="34" hidden="1">SP77_2009!$L$2:$M$137</definedName>
    <definedName name="_xlnm._FilterDatabase" localSheetId="36" hidden="1">SP77_2011!$O$2:$O$200</definedName>
    <definedName name="_xlnm._FilterDatabase" localSheetId="37" hidden="1">SP77_2012!$O$2:$O$390</definedName>
    <definedName name="_xlnm._FilterDatabase" localSheetId="38" hidden="1">SP77_2013!$O$2:$O$200</definedName>
    <definedName name="_xlnm._FilterDatabase" localSheetId="39" hidden="1">SP77_2014!$C$2:$C$125</definedName>
    <definedName name="_xlnm._FilterDatabase" localSheetId="40" hidden="1">SP77_2015!$O$2:$O$125</definedName>
    <definedName name="_xlnm._FilterDatabase" localSheetId="41" hidden="1">SP77_2016!$O$2:$O$123</definedName>
    <definedName name="_xlnm._FilterDatabase" localSheetId="42" hidden="1">SP77_2017!$C$2:$C$123</definedName>
    <definedName name="_xlnm._FilterDatabase" localSheetId="43" hidden="1">SP77_2018!$O$2:$O$123</definedName>
    <definedName name="_xlnm._FilterDatabase" localSheetId="44" hidden="1">SP77_2019!$O$2:$O$123</definedName>
    <definedName name="_xlnm._FilterDatabase" localSheetId="45" hidden="1">SP77_2020!$O$2:$O$125</definedName>
    <definedName name="_xlnm._FilterDatabase" localSheetId="46" hidden="1">SP77_2021!$O$2:$O$123</definedName>
    <definedName name="_xlnm._FilterDatabase" localSheetId="1" hidden="1">SP77SA76!$L$8:$L$60</definedName>
    <definedName name="_xlnm._FilterDatabase" localSheetId="2" hidden="1">SP77SA77!$L$7:$L$61</definedName>
    <definedName name="_xlnm._FilterDatabase" localSheetId="3" hidden="1">SP77SA78!$L$7:$L$60</definedName>
    <definedName name="_xlnm._FilterDatabase" localSheetId="4" hidden="1">SP77SA79!$L$7:$L$60</definedName>
    <definedName name="_xlnm._FilterDatabase" localSheetId="5" hidden="1">SP77SA80!$L$7:$L$60</definedName>
    <definedName name="Druckber" localSheetId="45">#REF!</definedName>
    <definedName name="Druckber" localSheetId="46">#REF!</definedName>
    <definedName name="Druckber">#REF!</definedName>
    <definedName name="_xlnm.Print_Area" localSheetId="25">'77SA_SP772000'!$A$2:$T$63</definedName>
    <definedName name="_xlnm.Print_Area" localSheetId="26">SP77_2001!$A$2:$T$59,SP77_2001!$A$64:$T$121</definedName>
    <definedName name="_xlnm.Print_Area" localSheetId="27">SP77_2002!$A$2:$T$59,SP77_2002!$A$64:$T$121</definedName>
    <definedName name="_xlnm.Print_Area" localSheetId="28">SP77_2003!$A$2:$T$59,SP77_2003!$A$64:$T$121</definedName>
    <definedName name="_xlnm.Print_Area" localSheetId="29">SP77_2004!$A$2:$T$59,SP77_2004!$A$64:$T$123</definedName>
    <definedName name="_xlnm.Print_Area" localSheetId="30">SP77_2005!$A$2:$T$59,SP77_2005!$A$64:$T$121</definedName>
    <definedName name="_xlnm.Print_Area" localSheetId="31">SP77_2006!$A$2:$T$59,SP77_2006!$A$64:$T$121</definedName>
    <definedName name="_xlnm.Print_Area" localSheetId="32">SP77_2007!$A$2:$T$59,SP77_2007!$A$64:$T$121</definedName>
    <definedName name="_xlnm.Print_Area" localSheetId="33">SP77_2008!$A$2:$T$59,SP77_2008!$A$64:$T$121</definedName>
    <definedName name="_xlnm.Print_Area" localSheetId="34">SP77_2009!$A$2:$T$59,SP77_2009!$A$64:$T$123</definedName>
    <definedName name="_xlnm.Print_Area" localSheetId="35">SP77_2010!$A$2:$T$59,SP77_2010!$A$63:$T$121</definedName>
    <definedName name="_xlnm.Print_Area" localSheetId="36">SP77_2011!$A$2:$T$59,SP77_2011!$A$64:$T$121</definedName>
    <definedName name="_xlnm.Print_Area" localSheetId="37">SP77_2012!$A$2:$T$59,SP77_2012!$A$64:$T$121</definedName>
    <definedName name="_xlnm.Print_Area" localSheetId="38">SP77_2013!$A$2:$T$59,SP77_2013!$A$64:$T$121</definedName>
    <definedName name="_xlnm.Print_Area" localSheetId="39">SP77_2014!$A$2:$T$59,SP77_2014!$A$64:$T$123</definedName>
    <definedName name="_xlnm.Print_Area" localSheetId="40">SP77_2015!$A$2:$T$59,SP77_2015!$A$64:$T$123</definedName>
    <definedName name="_xlnm.Print_Area" localSheetId="41">SP77_2016!$A$2:$T$59,SP77_2016!$A$64:$T$121</definedName>
    <definedName name="_xlnm.Print_Area" localSheetId="42">SP77_2017!$A$2:$T$59,SP77_2017!$A$64:$T$121</definedName>
    <definedName name="_xlnm.Print_Area" localSheetId="43">SP77_2018!$A$2:$T$59,SP77_2018!$A$64:$T$121</definedName>
    <definedName name="_xlnm.Print_Area" localSheetId="44">SP77_2019!$A$2:$T$59,SP77_2019!$A$64:$T$121</definedName>
    <definedName name="_xlnm.Print_Area" localSheetId="45">SP77_2020!$A$2:$T$59,SP77_2020!$A$64:$T$123</definedName>
    <definedName name="_xlnm.Print_Area" localSheetId="46">SP77_2021!$A$2:$T$59,SP77_2021!$A$64:$T$121</definedName>
    <definedName name="_xlnm.Print_Area" localSheetId="0">SP77SA75!$A$2:$R$64</definedName>
    <definedName name="_xlnm.Print_Area" localSheetId="1">SP77SA76!$A$2:$R$59</definedName>
    <definedName name="_xlnm.Print_Area" localSheetId="2">SP77SA77!$A$2:$R$60</definedName>
    <definedName name="_xlnm.Print_Area" localSheetId="3">SP77SA78!$A$2:$R$59</definedName>
    <definedName name="_xlnm.Print_Area" localSheetId="4">SP77SA79!$A$2:$R$59</definedName>
    <definedName name="_xlnm.Print_Area" localSheetId="5">SP77SA80!$A$2:$R$59</definedName>
    <definedName name="_xlnm.Print_Area" localSheetId="6">SP77SA81!$A$2:$R$64</definedName>
    <definedName name="_xlnm.Print_Area" localSheetId="7">SP77SA82!$A$2:$R$60</definedName>
    <definedName name="_xlnm.Print_Area" localSheetId="8">SP77SA83!$A$2:$R$59</definedName>
    <definedName name="_xlnm.Print_Area" localSheetId="9">SP77SA84!$A$2:$R$59</definedName>
    <definedName name="_xlnm.Print_Area" localSheetId="10">SP77SA85!$A$2:$R$64</definedName>
    <definedName name="_xlnm.Print_Area" localSheetId="11">SP77SA86!$A$2:$R$59</definedName>
    <definedName name="_xlnm.Print_Area" localSheetId="12">SP77SA87!$A$2:$R$59</definedName>
    <definedName name="_xlnm.Print_Area" localSheetId="13">SP77SA88!$A$2:$R$59</definedName>
    <definedName name="_xlnm.Print_Area" localSheetId="14">SP77SA89!$A$2:$R$59</definedName>
    <definedName name="_xlnm.Print_Area" localSheetId="15">SP77SA90!$A$2:$S$64</definedName>
    <definedName name="_xlnm.Print_Area" localSheetId="16">SP77SA91!$A$2:$S$59</definedName>
    <definedName name="_xlnm.Print_Area" localSheetId="17">SP77SA92!$A$2:$S$60</definedName>
    <definedName name="_xlnm.Print_Area" localSheetId="18">SP77SA93!$A$2:$S$59</definedName>
    <definedName name="_xlnm.Print_Area" localSheetId="19">SP77SA94!$A$2:$S$60</definedName>
    <definedName name="_xlnm.Print_Area" localSheetId="20">SP77SA95!$A$2:$S$60</definedName>
    <definedName name="_xlnm.Print_Area" localSheetId="21">SP77SA96!$A$2:$S$60</definedName>
    <definedName name="_xlnm.Print_Area" localSheetId="22">SP77SA97!$A$2:$S$60</definedName>
    <definedName name="_xlnm.Print_Area" localSheetId="23">SP77SA98!$A$2:$S$60</definedName>
    <definedName name="_xlnm.Print_Area" localSheetId="24">SP77SA99!$A$2:$S$59</definedName>
    <definedName name="LoMi_01_26_VA" localSheetId="26">#REF!</definedName>
    <definedName name="LoMi_01_26_VA" localSheetId="27">#REF!</definedName>
    <definedName name="LoMi_01_26_VA" localSheetId="28">#REF!</definedName>
    <definedName name="LoMi_01_26_VA" localSheetId="29">#REF!</definedName>
    <definedName name="LoMi_01_26_VA" localSheetId="30">#REF!</definedName>
    <definedName name="LoMi_01_26_VA" localSheetId="31">#REF!</definedName>
    <definedName name="LoMi_01_26_VA" localSheetId="32">#REF!</definedName>
    <definedName name="LoMi_01_26_VA" localSheetId="33">#REF!</definedName>
    <definedName name="LoMi_01_26_VA" localSheetId="34">#REF!</definedName>
    <definedName name="LoMi_01_26_VA" localSheetId="36">#REF!</definedName>
    <definedName name="LoMi_01_26_VA" localSheetId="37">#REF!</definedName>
    <definedName name="LoMi_01_26_VA" localSheetId="38">#REF!</definedName>
    <definedName name="LoMi_01_26_VA" localSheetId="39">#REF!</definedName>
    <definedName name="LoMi_01_26_VA" localSheetId="40">#REF!</definedName>
    <definedName name="LoMi_01_26_VA" localSheetId="41">#REF!</definedName>
    <definedName name="LoMi_01_26_VA" localSheetId="42">#REF!</definedName>
    <definedName name="LoMi_01_26_VA" localSheetId="43">#REF!</definedName>
    <definedName name="LoMi_01_26_VA" localSheetId="44">#REF!</definedName>
    <definedName name="LoMi_01_26_VA" localSheetId="45">#REF!</definedName>
    <definedName name="LoMi_01_26_VA" localSheetId="46">#REF!</definedName>
    <definedName name="LoMi_01_26_VA">[1]LOMI96!$A$2:$AF$58</definedName>
    <definedName name="LoMi_27_52_VA" localSheetId="26">#REF!</definedName>
    <definedName name="LoMi_27_52_VA" localSheetId="27">#REF!</definedName>
    <definedName name="LoMi_27_52_VA" localSheetId="28">#REF!</definedName>
    <definedName name="LoMi_27_52_VA" localSheetId="29">#REF!</definedName>
    <definedName name="LoMi_27_52_VA" localSheetId="30">#REF!</definedName>
    <definedName name="LoMi_27_52_VA" localSheetId="31">#REF!</definedName>
    <definedName name="LoMi_27_52_VA" localSheetId="32">#REF!</definedName>
    <definedName name="LoMi_27_52_VA" localSheetId="33">#REF!</definedName>
    <definedName name="LoMi_27_52_VA" localSheetId="34">#REF!</definedName>
    <definedName name="LoMi_27_52_VA" localSheetId="36">#REF!</definedName>
    <definedName name="LoMi_27_52_VA" localSheetId="37">#REF!</definedName>
    <definedName name="LoMi_27_52_VA" localSheetId="38">#REF!</definedName>
    <definedName name="LoMi_27_52_VA" localSheetId="39">#REF!</definedName>
    <definedName name="LoMi_27_52_VA" localSheetId="40">#REF!</definedName>
    <definedName name="LoMi_27_52_VA" localSheetId="41">#REF!</definedName>
    <definedName name="LoMi_27_52_VA" localSheetId="42">#REF!</definedName>
    <definedName name="LoMi_27_52_VA" localSheetId="43">#REF!</definedName>
    <definedName name="LoMi_27_52_VA" localSheetId="44">#REF!</definedName>
    <definedName name="LoMi_27_52_VA" localSheetId="45">#REF!</definedName>
    <definedName name="LoMi_27_52_VA" localSheetId="46">#REF!</definedName>
    <definedName name="LoMi_27_52_VA">[1]LOMI96!$A$64:$AF$120</definedName>
    <definedName name="RG_27_52_VA" localSheetId="45">#REF!</definedName>
    <definedName name="RG_27_52_VA" localSheetId="46">#REF!</definedName>
    <definedName name="RG_27_52_VA">#REF!</definedName>
    <definedName name="RQ_01_26_VA" localSheetId="45">#REF!</definedName>
    <definedName name="RQ_01_26_VA" localSheetId="46">#REF!</definedName>
    <definedName name="RQ_01_26_VA">#REF!</definedName>
    <definedName name="RQ_01_52">[2]RQ97!$A$2:$Q$58,[2]RQ97!$A$64:$Q$120</definedName>
    <definedName name="Spiel_77_Mi" localSheetId="45">#REF!</definedName>
    <definedName name="Spiel_77_Mi" localSheetId="46">#REF!</definedName>
    <definedName name="Spiel_77_Mi">#REF!</definedName>
    <definedName name="Super_6_Mittwoch" localSheetId="45">#REF!</definedName>
    <definedName name="Super_6_Mittwoch" localSheetId="46">#REF!</definedName>
    <definedName name="Super_6_Mittwoch">#REF!</definedName>
  </definedNames>
  <calcPr calcId="162913"/>
</workbook>
</file>

<file path=xl/calcChain.xml><?xml version="1.0" encoding="utf-8"?>
<calcChain xmlns="http://schemas.openxmlformats.org/spreadsheetml/2006/main">
  <c r="T122" i="47" l="1"/>
  <c r="S122" i="47"/>
  <c r="R122" i="47"/>
  <c r="Q122" i="47"/>
  <c r="P122" i="47"/>
  <c r="O122" i="47"/>
  <c r="L122" i="47"/>
  <c r="T60" i="47"/>
  <c r="S60" i="47"/>
  <c r="R60" i="47"/>
  <c r="Q60" i="47"/>
  <c r="P60" i="47"/>
  <c r="O60" i="47"/>
  <c r="L60" i="47"/>
  <c r="T124" i="46" l="1"/>
  <c r="S124" i="46"/>
  <c r="R124" i="46"/>
  <c r="Q124" i="46"/>
  <c r="P124" i="46"/>
  <c r="O124" i="46"/>
  <c r="L124" i="46"/>
  <c r="T60" i="46"/>
  <c r="S60" i="46"/>
  <c r="R60" i="46"/>
  <c r="Q60" i="46"/>
  <c r="P60" i="46"/>
  <c r="O60" i="46"/>
  <c r="L60" i="46"/>
  <c r="T122" i="45" l="1"/>
  <c r="S122" i="45"/>
  <c r="R122" i="45"/>
  <c r="Q122" i="45"/>
  <c r="P122" i="45"/>
  <c r="O122" i="45"/>
  <c r="L122" i="45"/>
  <c r="T60" i="45"/>
  <c r="S60" i="45"/>
  <c r="R60" i="45"/>
  <c r="Q60" i="45"/>
  <c r="P60" i="45"/>
  <c r="O60" i="45"/>
  <c r="L60" i="45"/>
  <c r="T122" i="44"/>
  <c r="S122" i="44"/>
  <c r="R122" i="44"/>
  <c r="Q122" i="44"/>
  <c r="P122" i="44"/>
  <c r="O122" i="44"/>
  <c r="L122" i="44"/>
  <c r="T60" i="44"/>
  <c r="S60" i="44"/>
  <c r="R60" i="44"/>
  <c r="Q60" i="44"/>
  <c r="P60" i="44"/>
  <c r="O60" i="44"/>
  <c r="L60" i="44"/>
  <c r="T122" i="43"/>
  <c r="S122" i="43"/>
  <c r="R122" i="43"/>
  <c r="Q122" i="43"/>
  <c r="P122" i="43"/>
  <c r="O122" i="43"/>
  <c r="L122" i="43"/>
  <c r="T60" i="43"/>
  <c r="S60" i="43"/>
  <c r="R60" i="43"/>
  <c r="Q60" i="43"/>
  <c r="P60" i="43"/>
  <c r="O60" i="43"/>
  <c r="L60" i="43"/>
  <c r="T122" i="42"/>
  <c r="S122" i="42"/>
  <c r="R122" i="42"/>
  <c r="Q122" i="42"/>
  <c r="P122" i="42"/>
  <c r="O122" i="42"/>
  <c r="L122" i="42"/>
  <c r="T60" i="42"/>
  <c r="S60" i="42"/>
  <c r="R60" i="42"/>
  <c r="Q60" i="42"/>
  <c r="P60" i="42"/>
  <c r="O60" i="42"/>
  <c r="L60" i="42"/>
  <c r="T124" i="41"/>
  <c r="S124" i="41"/>
  <c r="R124" i="41"/>
  <c r="Q124" i="41"/>
  <c r="P124" i="41"/>
  <c r="O124" i="41"/>
  <c r="L124" i="41"/>
  <c r="T60" i="41"/>
  <c r="S60" i="41"/>
  <c r="R60" i="41"/>
  <c r="Q60" i="41"/>
  <c r="P60" i="41"/>
  <c r="O60" i="41"/>
  <c r="L60" i="41"/>
  <c r="T124" i="40"/>
  <c r="S124" i="40"/>
  <c r="R124" i="40"/>
  <c r="Q124" i="40"/>
  <c r="P124" i="40"/>
  <c r="O124" i="40"/>
  <c r="L124" i="40"/>
  <c r="T60" i="40"/>
  <c r="S60" i="40"/>
  <c r="R60" i="40"/>
  <c r="Q60" i="40"/>
  <c r="P60" i="40"/>
  <c r="O60" i="40"/>
  <c r="L60" i="40"/>
  <c r="T122" i="39"/>
  <c r="S122" i="39"/>
  <c r="R122" i="39"/>
  <c r="Q122" i="39"/>
  <c r="P122" i="39"/>
  <c r="O122" i="39"/>
  <c r="L122" i="39"/>
  <c r="T60" i="39"/>
  <c r="S60" i="39"/>
  <c r="R60" i="39"/>
  <c r="Q60" i="39"/>
  <c r="P60" i="39"/>
  <c r="O60" i="39"/>
  <c r="L60" i="39"/>
  <c r="N389" i="38"/>
  <c r="M389" i="38"/>
  <c r="L389" i="38"/>
  <c r="K389" i="38"/>
  <c r="S388" i="38"/>
  <c r="R388" i="38"/>
  <c r="Q388" i="38"/>
  <c r="P388" i="38"/>
  <c r="O388" i="38"/>
  <c r="N388" i="38"/>
  <c r="M388" i="38"/>
  <c r="L388" i="38"/>
  <c r="K388" i="38"/>
  <c r="S387" i="38"/>
  <c r="R387" i="38"/>
  <c r="Q387" i="38"/>
  <c r="P387" i="38"/>
  <c r="O387" i="38"/>
  <c r="N387" i="38"/>
  <c r="M387" i="38"/>
  <c r="L387" i="38"/>
  <c r="K387" i="38"/>
  <c r="R386" i="38"/>
  <c r="Q386" i="38"/>
  <c r="P386" i="38"/>
  <c r="O386" i="38"/>
  <c r="N386" i="38"/>
  <c r="M386" i="38"/>
  <c r="L386" i="38"/>
  <c r="S386" i="38"/>
  <c r="K386" i="38"/>
  <c r="O385" i="38"/>
  <c r="N385" i="38"/>
  <c r="M385" i="38"/>
  <c r="L385" i="38"/>
  <c r="K385" i="38"/>
  <c r="P385" i="38"/>
  <c r="S384" i="38"/>
  <c r="R384" i="38"/>
  <c r="Q384" i="38"/>
  <c r="P384" i="38"/>
  <c r="O384" i="38"/>
  <c r="N384" i="38"/>
  <c r="M384" i="38"/>
  <c r="L384" i="38"/>
  <c r="K384" i="38"/>
  <c r="P383" i="38"/>
  <c r="O383" i="38"/>
  <c r="N383" i="38"/>
  <c r="Q383" i="38"/>
  <c r="R383" i="38"/>
  <c r="M383" i="38"/>
  <c r="L383" i="38"/>
  <c r="K383" i="38"/>
  <c r="N382" i="38"/>
  <c r="M382" i="38"/>
  <c r="L382" i="38"/>
  <c r="K382" i="38"/>
  <c r="S381" i="38"/>
  <c r="R381" i="38"/>
  <c r="Q381" i="38"/>
  <c r="P381" i="38"/>
  <c r="O381" i="38"/>
  <c r="N381" i="38"/>
  <c r="M381" i="38"/>
  <c r="L381" i="38"/>
  <c r="K381" i="38"/>
  <c r="S380" i="38"/>
  <c r="R380" i="38"/>
  <c r="Q380" i="38"/>
  <c r="P380" i="38"/>
  <c r="O380" i="38"/>
  <c r="N380" i="38"/>
  <c r="M380" i="38"/>
  <c r="L380" i="38"/>
  <c r="K380" i="38"/>
  <c r="S379" i="38"/>
  <c r="R379" i="38"/>
  <c r="Q379" i="38"/>
  <c r="P379" i="38"/>
  <c r="O379" i="38"/>
  <c r="N379" i="38"/>
  <c r="M379" i="38"/>
  <c r="L379" i="38"/>
  <c r="K379" i="38"/>
  <c r="S378" i="38"/>
  <c r="R378" i="38"/>
  <c r="Q378" i="38"/>
  <c r="P378" i="38"/>
  <c r="O378" i="38"/>
  <c r="N378" i="38"/>
  <c r="M378" i="38"/>
  <c r="L378" i="38"/>
  <c r="K378" i="38"/>
  <c r="S377" i="38"/>
  <c r="R377" i="38"/>
  <c r="Q377" i="38"/>
  <c r="P377" i="38"/>
  <c r="O377" i="38"/>
  <c r="N377" i="38"/>
  <c r="M377" i="38"/>
  <c r="L377" i="38"/>
  <c r="K377" i="38"/>
  <c r="N376" i="38"/>
  <c r="M376" i="38"/>
  <c r="L376" i="38"/>
  <c r="K376" i="38"/>
  <c r="S375" i="38"/>
  <c r="R375" i="38"/>
  <c r="Q375" i="38"/>
  <c r="P375" i="38"/>
  <c r="O375" i="38"/>
  <c r="N375" i="38"/>
  <c r="M375" i="38"/>
  <c r="L375" i="38"/>
  <c r="K375" i="38"/>
  <c r="S374" i="38"/>
  <c r="R374" i="38"/>
  <c r="Q374" i="38"/>
  <c r="P374" i="38"/>
  <c r="O374" i="38"/>
  <c r="N374" i="38"/>
  <c r="M374" i="38"/>
  <c r="L374" i="38"/>
  <c r="K374" i="38"/>
  <c r="S373" i="38"/>
  <c r="R373" i="38"/>
  <c r="Q373" i="38"/>
  <c r="P373" i="38"/>
  <c r="O373" i="38"/>
  <c r="N373" i="38"/>
  <c r="M373" i="38"/>
  <c r="L373" i="38"/>
  <c r="K373" i="38"/>
  <c r="S372" i="38"/>
  <c r="R372" i="38"/>
  <c r="Q372" i="38"/>
  <c r="P372" i="38"/>
  <c r="O372" i="38"/>
  <c r="N372" i="38"/>
  <c r="M372" i="38"/>
  <c r="L372" i="38"/>
  <c r="K372" i="38"/>
  <c r="M371" i="38"/>
  <c r="L371" i="38"/>
  <c r="K371" i="38"/>
  <c r="S370" i="38"/>
  <c r="R370" i="38"/>
  <c r="Q370" i="38"/>
  <c r="P370" i="38"/>
  <c r="O370" i="38"/>
  <c r="N370" i="38"/>
  <c r="M370" i="38"/>
  <c r="L370" i="38"/>
  <c r="K370" i="38"/>
  <c r="S369" i="38"/>
  <c r="R369" i="38"/>
  <c r="Q369" i="38"/>
  <c r="P369" i="38"/>
  <c r="O369" i="38"/>
  <c r="N369" i="38"/>
  <c r="M369" i="38"/>
  <c r="L369" i="38"/>
  <c r="K369" i="38"/>
  <c r="S368" i="38"/>
  <c r="R368" i="38"/>
  <c r="Q368" i="38"/>
  <c r="P368" i="38"/>
  <c r="O368" i="38"/>
  <c r="N368" i="38"/>
  <c r="M368" i="38"/>
  <c r="L368" i="38"/>
  <c r="K368" i="38"/>
  <c r="S367" i="38"/>
  <c r="R367" i="38"/>
  <c r="Q367" i="38"/>
  <c r="P367" i="38"/>
  <c r="O367" i="38"/>
  <c r="N367" i="38"/>
  <c r="M367" i="38"/>
  <c r="L367" i="38"/>
  <c r="K367" i="38"/>
  <c r="S366" i="38"/>
  <c r="R366" i="38"/>
  <c r="Q366" i="38"/>
  <c r="P366" i="38"/>
  <c r="O366" i="38"/>
  <c r="N366" i="38"/>
  <c r="M366" i="38"/>
  <c r="L366" i="38"/>
  <c r="K366" i="38"/>
  <c r="S365" i="38"/>
  <c r="R365" i="38"/>
  <c r="Q365" i="38"/>
  <c r="P365" i="38"/>
  <c r="O365" i="38"/>
  <c r="N365" i="38"/>
  <c r="M365" i="38"/>
  <c r="L365" i="38"/>
  <c r="K365" i="38"/>
  <c r="O364" i="38"/>
  <c r="N364" i="38"/>
  <c r="M364" i="38"/>
  <c r="L364" i="38"/>
  <c r="K364" i="38"/>
  <c r="P364" i="38"/>
  <c r="S363" i="38"/>
  <c r="R363" i="38"/>
  <c r="Q363" i="38"/>
  <c r="P363" i="38"/>
  <c r="O363" i="38"/>
  <c r="N363" i="38"/>
  <c r="M363" i="38"/>
  <c r="L363" i="38"/>
  <c r="K363" i="38"/>
  <c r="S362" i="38"/>
  <c r="R362" i="38"/>
  <c r="Q362" i="38"/>
  <c r="P362" i="38"/>
  <c r="O362" i="38"/>
  <c r="N362" i="38"/>
  <c r="M362" i="38"/>
  <c r="L362" i="38"/>
  <c r="K362" i="38"/>
  <c r="O361" i="38"/>
  <c r="N361" i="38"/>
  <c r="M361" i="38"/>
  <c r="L361" i="38"/>
  <c r="K361" i="38"/>
  <c r="P361" i="38"/>
  <c r="Q361" i="38"/>
  <c r="S360" i="38"/>
  <c r="R360" i="38"/>
  <c r="Q360" i="38"/>
  <c r="P360" i="38"/>
  <c r="O360" i="38"/>
  <c r="N360" i="38"/>
  <c r="M360" i="38"/>
  <c r="L360" i="38"/>
  <c r="K360" i="38"/>
  <c r="S359" i="38"/>
  <c r="R359" i="38"/>
  <c r="Q359" i="38"/>
  <c r="P359" i="38"/>
  <c r="O359" i="38"/>
  <c r="N359" i="38"/>
  <c r="M359" i="38"/>
  <c r="L359" i="38"/>
  <c r="K359" i="38"/>
  <c r="P358" i="38"/>
  <c r="O358" i="38"/>
  <c r="N358" i="38"/>
  <c r="M358" i="38"/>
  <c r="L358" i="38"/>
  <c r="K358" i="38"/>
  <c r="Q358" i="38"/>
  <c r="R358" i="38"/>
  <c r="S357" i="38"/>
  <c r="R357" i="38"/>
  <c r="Q357" i="38"/>
  <c r="P357" i="38"/>
  <c r="O357" i="38"/>
  <c r="N357" i="38"/>
  <c r="M357" i="38"/>
  <c r="L357" i="38"/>
  <c r="K357" i="38"/>
  <c r="R356" i="38"/>
  <c r="Q356" i="38"/>
  <c r="P356" i="38"/>
  <c r="O356" i="38"/>
  <c r="N356" i="38"/>
  <c r="M356" i="38"/>
  <c r="L356" i="38"/>
  <c r="S356" i="38"/>
  <c r="K356" i="38"/>
  <c r="O355" i="38"/>
  <c r="N355" i="38"/>
  <c r="M355" i="38"/>
  <c r="L355" i="38"/>
  <c r="K355" i="38"/>
  <c r="S354" i="38"/>
  <c r="R354" i="38"/>
  <c r="Q354" i="38"/>
  <c r="P354" i="38"/>
  <c r="O354" i="38"/>
  <c r="N354" i="38"/>
  <c r="M354" i="38"/>
  <c r="L354" i="38"/>
  <c r="K354" i="38"/>
  <c r="P353" i="38"/>
  <c r="O353" i="38"/>
  <c r="N353" i="38"/>
  <c r="M353" i="38"/>
  <c r="L353" i="38"/>
  <c r="K353" i="38"/>
  <c r="S352" i="38"/>
  <c r="R352" i="38"/>
  <c r="Q352" i="38"/>
  <c r="P352" i="38"/>
  <c r="O352" i="38"/>
  <c r="N352" i="38"/>
  <c r="M352" i="38"/>
  <c r="L352" i="38"/>
  <c r="K352" i="38"/>
  <c r="O351" i="38"/>
  <c r="N351" i="38"/>
  <c r="M351" i="38"/>
  <c r="L351" i="38"/>
  <c r="K351" i="38"/>
  <c r="S350" i="38"/>
  <c r="R350" i="38"/>
  <c r="Q350" i="38"/>
  <c r="P350" i="38"/>
  <c r="O350" i="38"/>
  <c r="N350" i="38"/>
  <c r="M350" i="38"/>
  <c r="L350" i="38"/>
  <c r="K350" i="38"/>
  <c r="S349" i="38"/>
  <c r="R349" i="38"/>
  <c r="Q349" i="38"/>
  <c r="P349" i="38"/>
  <c r="O349" i="38"/>
  <c r="N349" i="38"/>
  <c r="M349" i="38"/>
  <c r="L349" i="38"/>
  <c r="K349" i="38"/>
  <c r="S348" i="38"/>
  <c r="R348" i="38"/>
  <c r="Q348" i="38"/>
  <c r="P348" i="38"/>
  <c r="O348" i="38"/>
  <c r="N348" i="38"/>
  <c r="M348" i="38"/>
  <c r="L348" i="38"/>
  <c r="K348" i="38"/>
  <c r="S347" i="38"/>
  <c r="R347" i="38"/>
  <c r="Q347" i="38"/>
  <c r="P347" i="38"/>
  <c r="O347" i="38"/>
  <c r="N347" i="38"/>
  <c r="M347" i="38"/>
  <c r="L347" i="38"/>
  <c r="K347" i="38"/>
  <c r="S346" i="38"/>
  <c r="R346" i="38"/>
  <c r="Q346" i="38"/>
  <c r="P346" i="38"/>
  <c r="O346" i="38"/>
  <c r="N346" i="38"/>
  <c r="M346" i="38"/>
  <c r="L346" i="38"/>
  <c r="K346" i="38"/>
  <c r="S345" i="38"/>
  <c r="R345" i="38"/>
  <c r="Q345" i="38"/>
  <c r="P345" i="38"/>
  <c r="O345" i="38"/>
  <c r="N345" i="38"/>
  <c r="M345" i="38"/>
  <c r="L345" i="38"/>
  <c r="K345" i="38"/>
  <c r="S344" i="38"/>
  <c r="R344" i="38"/>
  <c r="Q344" i="38"/>
  <c r="P344" i="38"/>
  <c r="O344" i="38"/>
  <c r="N344" i="38"/>
  <c r="M344" i="38"/>
  <c r="L344" i="38"/>
  <c r="K344" i="38"/>
  <c r="R343" i="38"/>
  <c r="Q343" i="38"/>
  <c r="P343" i="38"/>
  <c r="O343" i="38"/>
  <c r="N343" i="38"/>
  <c r="M343" i="38"/>
  <c r="L343" i="38"/>
  <c r="K343" i="38"/>
  <c r="S343" i="38"/>
  <c r="N342" i="38"/>
  <c r="M342" i="38"/>
  <c r="L342" i="38"/>
  <c r="K342" i="38"/>
  <c r="S341" i="38"/>
  <c r="R341" i="38"/>
  <c r="Q341" i="38"/>
  <c r="P341" i="38"/>
  <c r="O341" i="38"/>
  <c r="N341" i="38"/>
  <c r="M341" i="38"/>
  <c r="L341" i="38"/>
  <c r="K341" i="38"/>
  <c r="S340" i="38"/>
  <c r="R340" i="38"/>
  <c r="Q340" i="38"/>
  <c r="P340" i="38"/>
  <c r="O340" i="38"/>
  <c r="N340" i="38"/>
  <c r="M340" i="38"/>
  <c r="L340" i="38"/>
  <c r="K340" i="38"/>
  <c r="S339" i="38"/>
  <c r="R339" i="38"/>
  <c r="Q339" i="38"/>
  <c r="P339" i="38"/>
  <c r="O339" i="38"/>
  <c r="N339" i="38"/>
  <c r="M339" i="38"/>
  <c r="L339" i="38"/>
  <c r="K339" i="38"/>
  <c r="S338" i="38"/>
  <c r="R338" i="38"/>
  <c r="Q338" i="38"/>
  <c r="P338" i="38"/>
  <c r="O338" i="38"/>
  <c r="N338" i="38"/>
  <c r="M338" i="38"/>
  <c r="L338" i="38"/>
  <c r="K338" i="38"/>
  <c r="P327" i="38"/>
  <c r="O327" i="38"/>
  <c r="N327" i="38"/>
  <c r="M327" i="38"/>
  <c r="L327" i="38"/>
  <c r="K327" i="38"/>
  <c r="S326" i="38"/>
  <c r="R326" i="38"/>
  <c r="Q326" i="38"/>
  <c r="P326" i="38"/>
  <c r="O326" i="38"/>
  <c r="N326" i="38"/>
  <c r="M326" i="38"/>
  <c r="L326" i="38"/>
  <c r="K326" i="38"/>
  <c r="S325" i="38"/>
  <c r="R325" i="38"/>
  <c r="Q325" i="38"/>
  <c r="P325" i="38"/>
  <c r="O325" i="38"/>
  <c r="N325" i="38"/>
  <c r="M325" i="38"/>
  <c r="L325" i="38"/>
  <c r="K325" i="38"/>
  <c r="S324" i="38"/>
  <c r="R324" i="38"/>
  <c r="Q324" i="38"/>
  <c r="P324" i="38"/>
  <c r="O324" i="38"/>
  <c r="N324" i="38"/>
  <c r="M324" i="38"/>
  <c r="L324" i="38"/>
  <c r="K324" i="38"/>
  <c r="P323" i="38"/>
  <c r="O323" i="38"/>
  <c r="N323" i="38"/>
  <c r="M323" i="38"/>
  <c r="L323" i="38"/>
  <c r="K323" i="38"/>
  <c r="S322" i="38"/>
  <c r="R322" i="38"/>
  <c r="Q322" i="38"/>
  <c r="P322" i="38"/>
  <c r="O322" i="38"/>
  <c r="N322" i="38"/>
  <c r="M322" i="38"/>
  <c r="L322" i="38"/>
  <c r="K322" i="38"/>
  <c r="Q321" i="38"/>
  <c r="P321" i="38"/>
  <c r="O321" i="38"/>
  <c r="N321" i="38"/>
  <c r="M321" i="38"/>
  <c r="L321" i="38"/>
  <c r="K321" i="38"/>
  <c r="N320" i="38"/>
  <c r="M320" i="38"/>
  <c r="L320" i="38"/>
  <c r="K320" i="38"/>
  <c r="S319" i="38"/>
  <c r="R319" i="38"/>
  <c r="Q319" i="38"/>
  <c r="P319" i="38"/>
  <c r="O319" i="38"/>
  <c r="N319" i="38"/>
  <c r="M319" i="38"/>
  <c r="L319" i="38"/>
  <c r="K319" i="38"/>
  <c r="S318" i="38"/>
  <c r="R318" i="38"/>
  <c r="Q318" i="38"/>
  <c r="P318" i="38"/>
  <c r="O318" i="38"/>
  <c r="N318" i="38"/>
  <c r="M318" i="38"/>
  <c r="L318" i="38"/>
  <c r="K318" i="38"/>
  <c r="S317" i="38"/>
  <c r="R317" i="38"/>
  <c r="Q317" i="38"/>
  <c r="P317" i="38"/>
  <c r="O317" i="38"/>
  <c r="N317" i="38"/>
  <c r="M317" i="38"/>
  <c r="L317" i="38"/>
  <c r="K317" i="38"/>
  <c r="R316" i="38"/>
  <c r="Q316" i="38"/>
  <c r="P316" i="38"/>
  <c r="O316" i="38"/>
  <c r="N316" i="38"/>
  <c r="M316" i="38"/>
  <c r="L316" i="38"/>
  <c r="K316" i="38"/>
  <c r="S316" i="38"/>
  <c r="P315" i="38"/>
  <c r="O315" i="38"/>
  <c r="N315" i="38"/>
  <c r="M315" i="38"/>
  <c r="L315" i="38"/>
  <c r="K315" i="38"/>
  <c r="S314" i="38"/>
  <c r="R314" i="38"/>
  <c r="Q314" i="38"/>
  <c r="P314" i="38"/>
  <c r="O314" i="38"/>
  <c r="N314" i="38"/>
  <c r="M314" i="38"/>
  <c r="L314" i="38"/>
  <c r="K314" i="38"/>
  <c r="S313" i="38"/>
  <c r="R313" i="38"/>
  <c r="Q313" i="38"/>
  <c r="P313" i="38"/>
  <c r="O313" i="38"/>
  <c r="N313" i="38"/>
  <c r="M313" i="38"/>
  <c r="L313" i="38"/>
  <c r="K313" i="38"/>
  <c r="N312" i="38"/>
  <c r="M312" i="38"/>
  <c r="L312" i="38"/>
  <c r="K312" i="38"/>
  <c r="S311" i="38"/>
  <c r="R311" i="38"/>
  <c r="Q311" i="38"/>
  <c r="P311" i="38"/>
  <c r="O311" i="38"/>
  <c r="N311" i="38"/>
  <c r="M311" i="38"/>
  <c r="L311" i="38"/>
  <c r="K311" i="38"/>
  <c r="S310" i="38"/>
  <c r="R310" i="38"/>
  <c r="Q310" i="38"/>
  <c r="P310" i="38"/>
  <c r="O310" i="38"/>
  <c r="N310" i="38"/>
  <c r="M310" i="38"/>
  <c r="L310" i="38"/>
  <c r="K310" i="38"/>
  <c r="S309" i="38"/>
  <c r="R309" i="38"/>
  <c r="Q309" i="38"/>
  <c r="P309" i="38"/>
  <c r="O309" i="38"/>
  <c r="N309" i="38"/>
  <c r="M309" i="38"/>
  <c r="L309" i="38"/>
  <c r="K309" i="38"/>
  <c r="S308" i="38"/>
  <c r="R308" i="38"/>
  <c r="Q308" i="38"/>
  <c r="P308" i="38"/>
  <c r="O308" i="38"/>
  <c r="N308" i="38"/>
  <c r="M308" i="38"/>
  <c r="L308" i="38"/>
  <c r="K308" i="38"/>
  <c r="P307" i="38"/>
  <c r="O307" i="38"/>
  <c r="N307" i="38"/>
  <c r="M307" i="38"/>
  <c r="L307" i="38"/>
  <c r="K307" i="38"/>
  <c r="R306" i="38"/>
  <c r="Q306" i="38"/>
  <c r="P306" i="38"/>
  <c r="O306" i="38"/>
  <c r="N306" i="38"/>
  <c r="M306" i="38"/>
  <c r="L306" i="38"/>
  <c r="K306" i="38"/>
  <c r="S306" i="38"/>
  <c r="O305" i="38"/>
  <c r="N305" i="38"/>
  <c r="M305" i="38"/>
  <c r="L305" i="38"/>
  <c r="K305" i="38"/>
  <c r="S304" i="38"/>
  <c r="R304" i="38"/>
  <c r="Q304" i="38"/>
  <c r="P304" i="38"/>
  <c r="O304" i="38"/>
  <c r="N304" i="38"/>
  <c r="M304" i="38"/>
  <c r="L304" i="38"/>
  <c r="K304" i="38"/>
  <c r="N303" i="38"/>
  <c r="M303" i="38"/>
  <c r="L303" i="38"/>
  <c r="K303" i="38"/>
  <c r="S302" i="38"/>
  <c r="R302" i="38"/>
  <c r="Q302" i="38"/>
  <c r="P302" i="38"/>
  <c r="O302" i="38"/>
  <c r="N302" i="38"/>
  <c r="M302" i="38"/>
  <c r="L302" i="38"/>
  <c r="K302" i="38"/>
  <c r="S301" i="38"/>
  <c r="R301" i="38"/>
  <c r="Q301" i="38"/>
  <c r="P301" i="38"/>
  <c r="O301" i="38"/>
  <c r="N301" i="38"/>
  <c r="M301" i="38"/>
  <c r="L301" i="38"/>
  <c r="K301" i="38"/>
  <c r="S300" i="38"/>
  <c r="R300" i="38"/>
  <c r="Q300" i="38"/>
  <c r="P300" i="38"/>
  <c r="O300" i="38"/>
  <c r="N300" i="38"/>
  <c r="M300" i="38"/>
  <c r="L300" i="38"/>
  <c r="K300" i="38"/>
  <c r="S299" i="38"/>
  <c r="R299" i="38"/>
  <c r="Q299" i="38"/>
  <c r="P299" i="38"/>
  <c r="O299" i="38"/>
  <c r="N299" i="38"/>
  <c r="M299" i="38"/>
  <c r="L299" i="38"/>
  <c r="K299" i="38"/>
  <c r="S298" i="38"/>
  <c r="R298" i="38"/>
  <c r="Q298" i="38"/>
  <c r="P298" i="38"/>
  <c r="O298" i="38"/>
  <c r="N298" i="38"/>
  <c r="M298" i="38"/>
  <c r="L298" i="38"/>
  <c r="K298" i="38"/>
  <c r="O297" i="38"/>
  <c r="N297" i="38"/>
  <c r="M297" i="38"/>
  <c r="L297" i="38"/>
  <c r="K297" i="38"/>
  <c r="S296" i="38"/>
  <c r="R296" i="38"/>
  <c r="Q296" i="38"/>
  <c r="P296" i="38"/>
  <c r="O296" i="38"/>
  <c r="N296" i="38"/>
  <c r="M296" i="38"/>
  <c r="L296" i="38"/>
  <c r="K296" i="38"/>
  <c r="O295" i="38"/>
  <c r="N295" i="38"/>
  <c r="M295" i="38"/>
  <c r="L295" i="38"/>
  <c r="K295" i="38"/>
  <c r="P295" i="38"/>
  <c r="S294" i="38"/>
  <c r="R294" i="38"/>
  <c r="Q294" i="38"/>
  <c r="P294" i="38"/>
  <c r="O294" i="38"/>
  <c r="N294" i="38"/>
  <c r="M294" i="38"/>
  <c r="L294" i="38"/>
  <c r="K294" i="38"/>
  <c r="S293" i="38"/>
  <c r="R293" i="38"/>
  <c r="Q293" i="38"/>
  <c r="P293" i="38"/>
  <c r="O293" i="38"/>
  <c r="N293" i="38"/>
  <c r="M293" i="38"/>
  <c r="L293" i="38"/>
  <c r="K293" i="38"/>
  <c r="S292" i="38"/>
  <c r="R292" i="38"/>
  <c r="Q292" i="38"/>
  <c r="P292" i="38"/>
  <c r="O292" i="38"/>
  <c r="N292" i="38"/>
  <c r="M292" i="38"/>
  <c r="L292" i="38"/>
  <c r="K292" i="38"/>
  <c r="S291" i="38"/>
  <c r="R291" i="38"/>
  <c r="Q291" i="38"/>
  <c r="P291" i="38"/>
  <c r="O291" i="38"/>
  <c r="N291" i="38"/>
  <c r="M291" i="38"/>
  <c r="L291" i="38"/>
  <c r="K291" i="38"/>
  <c r="S290" i="38"/>
  <c r="R290" i="38"/>
  <c r="Q290" i="38"/>
  <c r="P290" i="38"/>
  <c r="O290" i="38"/>
  <c r="N290" i="38"/>
  <c r="M290" i="38"/>
  <c r="L290" i="38"/>
  <c r="K290" i="38"/>
  <c r="O289" i="38"/>
  <c r="N289" i="38"/>
  <c r="M289" i="38"/>
  <c r="L289" i="38"/>
  <c r="K289" i="38"/>
  <c r="S288" i="38"/>
  <c r="R288" i="38"/>
  <c r="Q288" i="38"/>
  <c r="P288" i="38"/>
  <c r="O288" i="38"/>
  <c r="N288" i="38"/>
  <c r="M288" i="38"/>
  <c r="L288" i="38"/>
  <c r="K288" i="38"/>
  <c r="Q287" i="38"/>
  <c r="P287" i="38"/>
  <c r="O287" i="38"/>
  <c r="N287" i="38"/>
  <c r="M287" i="38"/>
  <c r="L287" i="38"/>
  <c r="K287" i="38"/>
  <c r="S286" i="38"/>
  <c r="R286" i="38"/>
  <c r="Q286" i="38"/>
  <c r="P286" i="38"/>
  <c r="O286" i="38"/>
  <c r="N286" i="38"/>
  <c r="M286" i="38"/>
  <c r="L286" i="38"/>
  <c r="K286" i="38"/>
  <c r="P285" i="38"/>
  <c r="O285" i="38"/>
  <c r="N285" i="38"/>
  <c r="M285" i="38"/>
  <c r="L285" i="38"/>
  <c r="K285" i="38"/>
  <c r="Q285" i="38"/>
  <c r="S285" i="38"/>
  <c r="N284" i="38"/>
  <c r="M284" i="38"/>
  <c r="L284" i="38"/>
  <c r="K284" i="38"/>
  <c r="S283" i="38"/>
  <c r="R283" i="38"/>
  <c r="Q283" i="38"/>
  <c r="P283" i="38"/>
  <c r="O283" i="38"/>
  <c r="N283" i="38"/>
  <c r="M283" i="38"/>
  <c r="L283" i="38"/>
  <c r="K283" i="38"/>
  <c r="S282" i="38"/>
  <c r="R282" i="38"/>
  <c r="Q282" i="38"/>
  <c r="P282" i="38"/>
  <c r="O282" i="38"/>
  <c r="N282" i="38"/>
  <c r="M282" i="38"/>
  <c r="L282" i="38"/>
  <c r="K282" i="38"/>
  <c r="Q281" i="38"/>
  <c r="P281" i="38"/>
  <c r="O281" i="38"/>
  <c r="N281" i="38"/>
  <c r="M281" i="38"/>
  <c r="R281" i="38"/>
  <c r="S281" i="38"/>
  <c r="L281" i="38"/>
  <c r="K281" i="38"/>
  <c r="S280" i="38"/>
  <c r="R280" i="38"/>
  <c r="Q280" i="38"/>
  <c r="P280" i="38"/>
  <c r="O280" i="38"/>
  <c r="N280" i="38"/>
  <c r="M280" i="38"/>
  <c r="L280" i="38"/>
  <c r="L390" i="38"/>
  <c r="K280" i="38"/>
  <c r="P279" i="38"/>
  <c r="O279" i="38"/>
  <c r="N279" i="38"/>
  <c r="M279" i="38"/>
  <c r="L279" i="38"/>
  <c r="K279" i="38"/>
  <c r="R278" i="38"/>
  <c r="Q278" i="38"/>
  <c r="P278" i="38"/>
  <c r="O278" i="38"/>
  <c r="N278" i="38"/>
  <c r="M278" i="38"/>
  <c r="L278" i="38"/>
  <c r="K278" i="38"/>
  <c r="S278" i="38"/>
  <c r="N277" i="38"/>
  <c r="M277" i="38"/>
  <c r="L277" i="38"/>
  <c r="K277" i="38"/>
  <c r="S276" i="38"/>
  <c r="R276" i="38"/>
  <c r="Q276" i="38"/>
  <c r="P276" i="38"/>
  <c r="O276" i="38"/>
  <c r="N276" i="38"/>
  <c r="M276" i="38"/>
  <c r="M390" i="38"/>
  <c r="L276" i="38"/>
  <c r="K276" i="38"/>
  <c r="K390" i="38"/>
  <c r="L272" i="38"/>
  <c r="L271" i="38"/>
  <c r="L270" i="38"/>
  <c r="L269" i="38"/>
  <c r="L268" i="38"/>
  <c r="L267" i="38"/>
  <c r="L266" i="38"/>
  <c r="L265" i="38"/>
  <c r="L264" i="38"/>
  <c r="L263" i="38"/>
  <c r="L262" i="38"/>
  <c r="L261" i="38"/>
  <c r="L260" i="38"/>
  <c r="L259" i="38"/>
  <c r="L258" i="38"/>
  <c r="M255" i="38"/>
  <c r="L255" i="38"/>
  <c r="M254" i="38"/>
  <c r="L254" i="38"/>
  <c r="M253" i="38"/>
  <c r="L253" i="38"/>
  <c r="M252" i="38"/>
  <c r="L252" i="38"/>
  <c r="M251" i="38"/>
  <c r="L251" i="38"/>
  <c r="M250" i="38"/>
  <c r="L250" i="38"/>
  <c r="M249" i="38"/>
  <c r="L249" i="38"/>
  <c r="M248" i="38"/>
  <c r="L248" i="38"/>
  <c r="M247" i="38"/>
  <c r="L247" i="38"/>
  <c r="M246" i="38"/>
  <c r="L246" i="38"/>
  <c r="M245" i="38"/>
  <c r="L245" i="38"/>
  <c r="M244" i="38"/>
  <c r="L244" i="38"/>
  <c r="M243" i="38"/>
  <c r="L243" i="38"/>
  <c r="M242" i="38"/>
  <c r="L242" i="38"/>
  <c r="M241" i="38"/>
  <c r="L241" i="38"/>
  <c r="M240" i="38"/>
  <c r="L240" i="38"/>
  <c r="M239" i="38"/>
  <c r="L239" i="38"/>
  <c r="M238" i="38"/>
  <c r="L238" i="38"/>
  <c r="M237" i="38"/>
  <c r="L237" i="38"/>
  <c r="M236" i="38"/>
  <c r="L236" i="38"/>
  <c r="M235" i="38"/>
  <c r="L235" i="38"/>
  <c r="M234" i="38"/>
  <c r="L234" i="38"/>
  <c r="M233" i="38"/>
  <c r="L233" i="38"/>
  <c r="M232" i="38"/>
  <c r="L232" i="38"/>
  <c r="M231" i="38"/>
  <c r="L231" i="38"/>
  <c r="M230" i="38"/>
  <c r="L230" i="38"/>
  <c r="M229" i="38"/>
  <c r="L229" i="38"/>
  <c r="M228" i="38"/>
  <c r="L228" i="38"/>
  <c r="M227" i="38"/>
  <c r="L227" i="38"/>
  <c r="M226" i="38"/>
  <c r="L226" i="38"/>
  <c r="M225" i="38"/>
  <c r="L225" i="38"/>
  <c r="M224" i="38"/>
  <c r="L224" i="38"/>
  <c r="M223" i="38"/>
  <c r="L223" i="38"/>
  <c r="M222" i="38"/>
  <c r="L222" i="38"/>
  <c r="M221" i="38"/>
  <c r="L221" i="38"/>
  <c r="M220" i="38"/>
  <c r="L220" i="38"/>
  <c r="M219" i="38"/>
  <c r="L219" i="38"/>
  <c r="M218" i="38"/>
  <c r="L218" i="38"/>
  <c r="M217" i="38"/>
  <c r="L217" i="38"/>
  <c r="M216" i="38"/>
  <c r="L216" i="38"/>
  <c r="M215" i="38"/>
  <c r="L215" i="38"/>
  <c r="M214" i="38"/>
  <c r="L214" i="38"/>
  <c r="M213" i="38"/>
  <c r="L213" i="38"/>
  <c r="M212" i="38"/>
  <c r="L212" i="38"/>
  <c r="M211" i="38"/>
  <c r="L211" i="38"/>
  <c r="M210" i="38"/>
  <c r="L210" i="38"/>
  <c r="M209" i="38"/>
  <c r="L209" i="38"/>
  <c r="M208" i="38"/>
  <c r="L208" i="38"/>
  <c r="M207" i="38"/>
  <c r="L207" i="38"/>
  <c r="M206" i="38"/>
  <c r="L206" i="38"/>
  <c r="M205" i="38"/>
  <c r="M256" i="38"/>
  <c r="L205" i="38"/>
  <c r="M204" i="38"/>
  <c r="L204" i="38"/>
  <c r="L256" i="38"/>
  <c r="M203" i="38"/>
  <c r="L203" i="38"/>
  <c r="T122" i="38"/>
  <c r="S122" i="38"/>
  <c r="R122" i="38"/>
  <c r="Q122" i="38"/>
  <c r="P122" i="38"/>
  <c r="O122" i="38"/>
  <c r="L122" i="38"/>
  <c r="T60" i="38"/>
  <c r="S60" i="38"/>
  <c r="R60" i="38"/>
  <c r="Q60" i="38"/>
  <c r="P60" i="38"/>
  <c r="O60" i="38"/>
  <c r="L60" i="38"/>
  <c r="L122" i="37"/>
  <c r="O122" i="37"/>
  <c r="P122" i="37"/>
  <c r="Q122" i="37"/>
  <c r="R122" i="37"/>
  <c r="S122" i="37"/>
  <c r="T122" i="37"/>
  <c r="L60" i="37"/>
  <c r="O60" i="37"/>
  <c r="P60" i="37"/>
  <c r="Q60" i="37"/>
  <c r="R60" i="37"/>
  <c r="S60" i="37"/>
  <c r="T60" i="37"/>
  <c r="T60" i="36"/>
  <c r="S60" i="36"/>
  <c r="R60" i="36"/>
  <c r="Q60" i="36"/>
  <c r="P60" i="36"/>
  <c r="O60" i="36"/>
  <c r="L60" i="36"/>
  <c r="T124" i="35"/>
  <c r="S124" i="35"/>
  <c r="R124" i="35"/>
  <c r="Q124" i="35"/>
  <c r="P124" i="35"/>
  <c r="O124" i="35"/>
  <c r="L124" i="35"/>
  <c r="T60" i="35"/>
  <c r="S60" i="35"/>
  <c r="R60" i="35"/>
  <c r="Q60" i="35"/>
  <c r="P60" i="35"/>
  <c r="O60" i="35"/>
  <c r="L60" i="35"/>
  <c r="O64" i="26"/>
  <c r="P64" i="26"/>
  <c r="L64" i="26"/>
  <c r="Q64" i="26"/>
  <c r="R64" i="26"/>
  <c r="S64" i="26"/>
  <c r="T64" i="26"/>
  <c r="O122" i="27"/>
  <c r="P122" i="27"/>
  <c r="Q122" i="27"/>
  <c r="R122" i="27"/>
  <c r="S122" i="27"/>
  <c r="T122" i="27"/>
  <c r="L122" i="27"/>
  <c r="P60" i="27"/>
  <c r="Q60" i="27"/>
  <c r="R60" i="27"/>
  <c r="S60" i="27"/>
  <c r="T60" i="27"/>
  <c r="O60" i="27"/>
  <c r="L60" i="27"/>
  <c r="O122" i="28"/>
  <c r="P122" i="28"/>
  <c r="Q122" i="28"/>
  <c r="R122" i="28"/>
  <c r="S122" i="28"/>
  <c r="T122" i="28"/>
  <c r="O60" i="28"/>
  <c r="P60" i="28"/>
  <c r="Q60" i="28"/>
  <c r="R60" i="28"/>
  <c r="S60" i="28"/>
  <c r="T60" i="28"/>
  <c r="L122" i="28"/>
  <c r="L60" i="28"/>
  <c r="L122" i="29"/>
  <c r="O122" i="29"/>
  <c r="P122" i="29"/>
  <c r="Q122" i="29"/>
  <c r="R122" i="29"/>
  <c r="S122" i="29"/>
  <c r="T122" i="29"/>
  <c r="O60" i="29"/>
  <c r="P60" i="29"/>
  <c r="Q60" i="29"/>
  <c r="R60" i="29"/>
  <c r="S60" i="29"/>
  <c r="T60" i="29"/>
  <c r="L60" i="29"/>
  <c r="L124" i="30"/>
  <c r="O124" i="30"/>
  <c r="P124" i="30"/>
  <c r="Q124" i="30"/>
  <c r="R124" i="30"/>
  <c r="S124" i="30"/>
  <c r="T124" i="30"/>
  <c r="O60" i="30"/>
  <c r="P60" i="30"/>
  <c r="Q60" i="30"/>
  <c r="R60" i="30"/>
  <c r="S60" i="30"/>
  <c r="T60" i="30"/>
  <c r="L60" i="30"/>
  <c r="L124" i="31"/>
  <c r="O124" i="31"/>
  <c r="P124" i="31"/>
  <c r="Q124" i="31"/>
  <c r="R124" i="31"/>
  <c r="S124" i="31"/>
  <c r="T124" i="31"/>
  <c r="O60" i="31"/>
  <c r="P60" i="31"/>
  <c r="Q60" i="31"/>
  <c r="R60" i="31"/>
  <c r="S60" i="31"/>
  <c r="T60" i="31"/>
  <c r="L60" i="31"/>
  <c r="T124" i="32"/>
  <c r="S124" i="32"/>
  <c r="R124" i="32"/>
  <c r="Q124" i="32"/>
  <c r="P124" i="32"/>
  <c r="O124" i="32"/>
  <c r="L124" i="32"/>
  <c r="T60" i="32"/>
  <c r="S60" i="32"/>
  <c r="R60" i="32"/>
  <c r="Q60" i="32"/>
  <c r="P60" i="32"/>
  <c r="O60" i="32"/>
  <c r="L60" i="32"/>
  <c r="P124" i="33"/>
  <c r="Q124" i="33"/>
  <c r="R124" i="33"/>
  <c r="S124" i="33"/>
  <c r="T124" i="33"/>
  <c r="O124" i="33"/>
  <c r="P60" i="33"/>
  <c r="Q60" i="33"/>
  <c r="R60" i="33"/>
  <c r="S60" i="33"/>
  <c r="T60" i="33"/>
  <c r="O60" i="33"/>
  <c r="L60" i="33"/>
  <c r="K65" i="1"/>
  <c r="N65" i="1"/>
  <c r="R65" i="1"/>
  <c r="Q65" i="1"/>
  <c r="P65" i="1"/>
  <c r="O65" i="1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K60" i="2"/>
  <c r="N60" i="2"/>
  <c r="R60" i="2"/>
  <c r="Q60" i="2"/>
  <c r="P60" i="2"/>
  <c r="O60" i="2"/>
  <c r="K61" i="3"/>
  <c r="N61" i="3"/>
  <c r="R61" i="3"/>
  <c r="Q61" i="3"/>
  <c r="P61" i="3"/>
  <c r="O61" i="3"/>
  <c r="K60" i="4"/>
  <c r="N60" i="4"/>
  <c r="R60" i="4"/>
  <c r="Q60" i="4"/>
  <c r="P60" i="4"/>
  <c r="O60" i="4"/>
  <c r="K60" i="5"/>
  <c r="N60" i="5"/>
  <c r="R60" i="5"/>
  <c r="Q60" i="5"/>
  <c r="P60" i="5"/>
  <c r="O60" i="5"/>
  <c r="K60" i="6"/>
  <c r="N60" i="6"/>
  <c r="R60" i="6"/>
  <c r="Q60" i="6"/>
  <c r="P60" i="6"/>
  <c r="O60" i="6"/>
  <c r="K65" i="7"/>
  <c r="N65" i="7"/>
  <c r="R65" i="7"/>
  <c r="Q65" i="7"/>
  <c r="P65" i="7"/>
  <c r="O65" i="7"/>
  <c r="K61" i="8"/>
  <c r="R61" i="8"/>
  <c r="Q61" i="8"/>
  <c r="P61" i="8"/>
  <c r="O61" i="8"/>
  <c r="N61" i="8"/>
  <c r="N60" i="9"/>
  <c r="R60" i="9"/>
  <c r="Q60" i="9"/>
  <c r="K60" i="9"/>
  <c r="P60" i="9"/>
  <c r="O60" i="9"/>
  <c r="N60" i="10"/>
  <c r="R60" i="10"/>
  <c r="Q60" i="10"/>
  <c r="K60" i="10"/>
  <c r="P60" i="10"/>
  <c r="O60" i="10"/>
  <c r="N65" i="11"/>
  <c r="R65" i="11"/>
  <c r="Q65" i="11"/>
  <c r="K65" i="11"/>
  <c r="P65" i="11"/>
  <c r="O65" i="11"/>
  <c r="N60" i="12"/>
  <c r="R60" i="12"/>
  <c r="Q60" i="12"/>
  <c r="K60" i="12"/>
  <c r="P60" i="12"/>
  <c r="O60" i="12"/>
  <c r="R61" i="13"/>
  <c r="Q61" i="13"/>
  <c r="P61" i="13"/>
  <c r="O61" i="13"/>
  <c r="N61" i="13"/>
  <c r="K61" i="13"/>
  <c r="N60" i="14"/>
  <c r="R60" i="14"/>
  <c r="Q60" i="14"/>
  <c r="K60" i="14"/>
  <c r="P60" i="14"/>
  <c r="O60" i="14"/>
  <c r="N60" i="15"/>
  <c r="R60" i="15"/>
  <c r="Q60" i="15"/>
  <c r="K60" i="15"/>
  <c r="P60" i="15"/>
  <c r="O60" i="15"/>
  <c r="L66" i="16"/>
  <c r="N66" i="16"/>
  <c r="O66" i="16"/>
  <c r="P66" i="16"/>
  <c r="Q66" i="16"/>
  <c r="R66" i="16"/>
  <c r="L67" i="16"/>
  <c r="N67" i="16"/>
  <c r="O67" i="16"/>
  <c r="P67" i="16"/>
  <c r="Q67" i="16"/>
  <c r="R67" i="16"/>
  <c r="S67" i="16"/>
  <c r="K67" i="16"/>
  <c r="K66" i="16"/>
  <c r="N60" i="17"/>
  <c r="O60" i="17"/>
  <c r="S60" i="17"/>
  <c r="R60" i="17"/>
  <c r="Q60" i="17"/>
  <c r="P60" i="17"/>
  <c r="K60" i="17"/>
  <c r="T62" i="17"/>
  <c r="T62" i="18"/>
  <c r="R61" i="18"/>
  <c r="K61" i="18"/>
  <c r="N61" i="18"/>
  <c r="O61" i="18"/>
  <c r="P61" i="18"/>
  <c r="Q61" i="18"/>
  <c r="S61" i="18"/>
  <c r="P60" i="19"/>
  <c r="T8" i="19"/>
  <c r="K60" i="19"/>
  <c r="N60" i="19"/>
  <c r="O60" i="19"/>
  <c r="Q60" i="19"/>
  <c r="R60" i="19"/>
  <c r="S60" i="19"/>
  <c r="T60" i="20"/>
  <c r="K61" i="20"/>
  <c r="N61" i="20"/>
  <c r="O61" i="20"/>
  <c r="P61" i="20"/>
  <c r="Q61" i="20"/>
  <c r="R61" i="20"/>
  <c r="S61" i="20"/>
  <c r="T60" i="21"/>
  <c r="K61" i="21"/>
  <c r="N61" i="21"/>
  <c r="O61" i="21"/>
  <c r="P61" i="21"/>
  <c r="Q61" i="21"/>
  <c r="R61" i="21"/>
  <c r="S61" i="21"/>
  <c r="U60" i="22"/>
  <c r="K61" i="22"/>
  <c r="N61" i="22"/>
  <c r="O61" i="22"/>
  <c r="P61" i="22"/>
  <c r="Q61" i="22"/>
  <c r="R61" i="22"/>
  <c r="S61" i="22"/>
  <c r="W9" i="23"/>
  <c r="X9" i="23"/>
  <c r="AD9" i="23"/>
  <c r="Y9" i="23"/>
  <c r="Z9" i="23"/>
  <c r="AA9" i="23"/>
  <c r="AB9" i="23"/>
  <c r="AC9" i="23"/>
  <c r="W10" i="23"/>
  <c r="X10" i="23"/>
  <c r="Y10" i="23"/>
  <c r="Z10" i="23"/>
  <c r="AA10" i="23"/>
  <c r="AB10" i="23"/>
  <c r="AC10" i="23"/>
  <c r="W11" i="23"/>
  <c r="AD11" i="23"/>
  <c r="X11" i="23"/>
  <c r="Y11" i="23"/>
  <c r="Z11" i="23"/>
  <c r="AA11" i="23"/>
  <c r="AB11" i="23"/>
  <c r="AC11" i="23"/>
  <c r="W12" i="23"/>
  <c r="X12" i="23"/>
  <c r="Y12" i="23"/>
  <c r="Z12" i="23"/>
  <c r="AA12" i="23"/>
  <c r="AB12" i="23"/>
  <c r="AC12" i="23"/>
  <c r="W13" i="23"/>
  <c r="AD13" i="23"/>
  <c r="X13" i="23"/>
  <c r="Y13" i="23"/>
  <c r="Z13" i="23"/>
  <c r="AA13" i="23"/>
  <c r="AB13" i="23"/>
  <c r="AC13" i="23"/>
  <c r="W14" i="23"/>
  <c r="X14" i="23"/>
  <c r="Y14" i="23"/>
  <c r="Z14" i="23"/>
  <c r="AA14" i="23"/>
  <c r="AB14" i="23"/>
  <c r="AC14" i="23"/>
  <c r="W15" i="23"/>
  <c r="AD15" i="23"/>
  <c r="X15" i="23"/>
  <c r="Y15" i="23"/>
  <c r="Z15" i="23"/>
  <c r="AA15" i="23"/>
  <c r="AB15" i="23"/>
  <c r="AC15" i="23"/>
  <c r="W16" i="23"/>
  <c r="X16" i="23"/>
  <c r="Y16" i="23"/>
  <c r="Z16" i="23"/>
  <c r="AA16" i="23"/>
  <c r="AB16" i="23"/>
  <c r="AC16" i="23"/>
  <c r="W17" i="23"/>
  <c r="AD17" i="23"/>
  <c r="X17" i="23"/>
  <c r="Y17" i="23"/>
  <c r="Z17" i="23"/>
  <c r="AA17" i="23"/>
  <c r="AB17" i="23"/>
  <c r="AC17" i="23"/>
  <c r="W18" i="23"/>
  <c r="X18" i="23"/>
  <c r="Y18" i="23"/>
  <c r="Z18" i="23"/>
  <c r="AA18" i="23"/>
  <c r="AB18" i="23"/>
  <c r="AC18" i="23"/>
  <c r="W19" i="23"/>
  <c r="AD19" i="23"/>
  <c r="X19" i="23"/>
  <c r="Y19" i="23"/>
  <c r="Z19" i="23"/>
  <c r="AA19" i="23"/>
  <c r="AB19" i="23"/>
  <c r="AC19" i="23"/>
  <c r="W20" i="23"/>
  <c r="X20" i="23"/>
  <c r="Y20" i="23"/>
  <c r="Z20" i="23"/>
  <c r="AA20" i="23"/>
  <c r="AB20" i="23"/>
  <c r="AC20" i="23"/>
  <c r="W21" i="23"/>
  <c r="AD21" i="23"/>
  <c r="X21" i="23"/>
  <c r="Y21" i="23"/>
  <c r="Z21" i="23"/>
  <c r="AA21" i="23"/>
  <c r="AB21" i="23"/>
  <c r="AC21" i="23"/>
  <c r="W22" i="23"/>
  <c r="X22" i="23"/>
  <c r="Y22" i="23"/>
  <c r="Z22" i="23"/>
  <c r="AA22" i="23"/>
  <c r="AB22" i="23"/>
  <c r="AC22" i="23"/>
  <c r="W23" i="23"/>
  <c r="X23" i="23"/>
  <c r="Y23" i="23"/>
  <c r="Z23" i="23"/>
  <c r="AA23" i="23"/>
  <c r="AB23" i="23"/>
  <c r="AC23" i="23"/>
  <c r="W24" i="23"/>
  <c r="X24" i="23"/>
  <c r="Y24" i="23"/>
  <c r="Z24" i="23"/>
  <c r="AA24" i="23"/>
  <c r="AB24" i="23"/>
  <c r="AC24" i="23"/>
  <c r="W25" i="23"/>
  <c r="AD25" i="23"/>
  <c r="X25" i="23"/>
  <c r="Y25" i="23"/>
  <c r="Z25" i="23"/>
  <c r="AA25" i="23"/>
  <c r="AB25" i="23"/>
  <c r="AC25" i="23"/>
  <c r="W26" i="23"/>
  <c r="X26" i="23"/>
  <c r="Y26" i="23"/>
  <c r="Z26" i="23"/>
  <c r="AA26" i="23"/>
  <c r="AB26" i="23"/>
  <c r="AC26" i="23"/>
  <c r="W27" i="23"/>
  <c r="X27" i="23"/>
  <c r="Y27" i="23"/>
  <c r="Z27" i="23"/>
  <c r="AA27" i="23"/>
  <c r="AB27" i="23"/>
  <c r="AC27" i="23"/>
  <c r="W28" i="23"/>
  <c r="X28" i="23"/>
  <c r="Y28" i="23"/>
  <c r="Z28" i="23"/>
  <c r="AA28" i="23"/>
  <c r="AB28" i="23"/>
  <c r="AC28" i="23"/>
  <c r="W29" i="23"/>
  <c r="AD29" i="23"/>
  <c r="X29" i="23"/>
  <c r="Y29" i="23"/>
  <c r="Z29" i="23"/>
  <c r="AA29" i="23"/>
  <c r="AB29" i="23"/>
  <c r="AC29" i="23"/>
  <c r="W30" i="23"/>
  <c r="X30" i="23"/>
  <c r="Y30" i="23"/>
  <c r="Z30" i="23"/>
  <c r="AA30" i="23"/>
  <c r="AB30" i="23"/>
  <c r="AC30" i="23"/>
  <c r="W31" i="23"/>
  <c r="X31" i="23"/>
  <c r="Y31" i="23"/>
  <c r="Z31" i="23"/>
  <c r="AA31" i="23"/>
  <c r="AB31" i="23"/>
  <c r="AC31" i="23"/>
  <c r="W32" i="23"/>
  <c r="X32" i="23"/>
  <c r="Y32" i="23"/>
  <c r="Z32" i="23"/>
  <c r="AA32" i="23"/>
  <c r="AB32" i="23"/>
  <c r="AC32" i="23"/>
  <c r="W33" i="23"/>
  <c r="AD33" i="23"/>
  <c r="X33" i="23"/>
  <c r="Y33" i="23"/>
  <c r="Z33" i="23"/>
  <c r="AA33" i="23"/>
  <c r="AB33" i="23"/>
  <c r="AC33" i="23"/>
  <c r="W34" i="23"/>
  <c r="X34" i="23"/>
  <c r="Y34" i="23"/>
  <c r="Z34" i="23"/>
  <c r="AA34" i="23"/>
  <c r="AB34" i="23"/>
  <c r="AC34" i="23"/>
  <c r="W35" i="23"/>
  <c r="X35" i="23"/>
  <c r="Y35" i="23"/>
  <c r="Z35" i="23"/>
  <c r="AA35" i="23"/>
  <c r="AB35" i="23"/>
  <c r="AC35" i="23"/>
  <c r="W36" i="23"/>
  <c r="X36" i="23"/>
  <c r="Y36" i="23"/>
  <c r="Z36" i="23"/>
  <c r="AA36" i="23"/>
  <c r="AB36" i="23"/>
  <c r="AC36" i="23"/>
  <c r="W37" i="23"/>
  <c r="AD37" i="23"/>
  <c r="X37" i="23"/>
  <c r="Y37" i="23"/>
  <c r="Z37" i="23"/>
  <c r="AA37" i="23"/>
  <c r="AB37" i="23"/>
  <c r="AC37" i="23"/>
  <c r="W38" i="23"/>
  <c r="X38" i="23"/>
  <c r="Y38" i="23"/>
  <c r="Z38" i="23"/>
  <c r="AA38" i="23"/>
  <c r="AB38" i="23"/>
  <c r="AC38" i="23"/>
  <c r="W39" i="23"/>
  <c r="X39" i="23"/>
  <c r="Y39" i="23"/>
  <c r="Z39" i="23"/>
  <c r="AA39" i="23"/>
  <c r="AB39" i="23"/>
  <c r="AC39" i="23"/>
  <c r="W40" i="23"/>
  <c r="X40" i="23"/>
  <c r="Y40" i="23"/>
  <c r="Z40" i="23"/>
  <c r="AA40" i="23"/>
  <c r="AB40" i="23"/>
  <c r="AC40" i="23"/>
  <c r="W41" i="23"/>
  <c r="AD41" i="23"/>
  <c r="X41" i="23"/>
  <c r="Y41" i="23"/>
  <c r="Z41" i="23"/>
  <c r="AA41" i="23"/>
  <c r="AB41" i="23"/>
  <c r="AC41" i="23"/>
  <c r="W42" i="23"/>
  <c r="X42" i="23"/>
  <c r="Y42" i="23"/>
  <c r="Z42" i="23"/>
  <c r="AA42" i="23"/>
  <c r="AB42" i="23"/>
  <c r="AC42" i="23"/>
  <c r="W43" i="23"/>
  <c r="X43" i="23"/>
  <c r="Y43" i="23"/>
  <c r="Z43" i="23"/>
  <c r="AA43" i="23"/>
  <c r="AB43" i="23"/>
  <c r="AC43" i="23"/>
  <c r="W44" i="23"/>
  <c r="X44" i="23"/>
  <c r="Y44" i="23"/>
  <c r="Z44" i="23"/>
  <c r="AA44" i="23"/>
  <c r="AB44" i="23"/>
  <c r="AC44" i="23"/>
  <c r="W45" i="23"/>
  <c r="AD45" i="23"/>
  <c r="X45" i="23"/>
  <c r="Y45" i="23"/>
  <c r="Z45" i="23"/>
  <c r="AA45" i="23"/>
  <c r="AB45" i="23"/>
  <c r="AC45" i="23"/>
  <c r="W46" i="23"/>
  <c r="X46" i="23"/>
  <c r="Y46" i="23"/>
  <c r="Z46" i="23"/>
  <c r="AA46" i="23"/>
  <c r="AB46" i="23"/>
  <c r="AC46" i="23"/>
  <c r="W47" i="23"/>
  <c r="X47" i="23"/>
  <c r="Y47" i="23"/>
  <c r="Z47" i="23"/>
  <c r="AA47" i="23"/>
  <c r="AB47" i="23"/>
  <c r="AC47" i="23"/>
  <c r="W48" i="23"/>
  <c r="X48" i="23"/>
  <c r="Y48" i="23"/>
  <c r="Z48" i="23"/>
  <c r="AA48" i="23"/>
  <c r="AB48" i="23"/>
  <c r="AC48" i="23"/>
  <c r="W49" i="23"/>
  <c r="AD49" i="23"/>
  <c r="X49" i="23"/>
  <c r="Y49" i="23"/>
  <c r="Z49" i="23"/>
  <c r="AA49" i="23"/>
  <c r="AB49" i="23"/>
  <c r="AC49" i="23"/>
  <c r="W50" i="23"/>
  <c r="X50" i="23"/>
  <c r="Y50" i="23"/>
  <c r="Z50" i="23"/>
  <c r="AA50" i="23"/>
  <c r="AB50" i="23"/>
  <c r="AC50" i="23"/>
  <c r="W51" i="23"/>
  <c r="X51" i="23"/>
  <c r="Y51" i="23"/>
  <c r="Z51" i="23"/>
  <c r="AA51" i="23"/>
  <c r="AB51" i="23"/>
  <c r="AC51" i="23"/>
  <c r="W52" i="23"/>
  <c r="X52" i="23"/>
  <c r="Y52" i="23"/>
  <c r="Z52" i="23"/>
  <c r="AA52" i="23"/>
  <c r="AB52" i="23"/>
  <c r="AC52" i="23"/>
  <c r="W53" i="23"/>
  <c r="AD53" i="23"/>
  <c r="X53" i="23"/>
  <c r="Y53" i="23"/>
  <c r="Z53" i="23"/>
  <c r="AA53" i="23"/>
  <c r="AB53" i="23"/>
  <c r="AC53" i="23"/>
  <c r="W54" i="23"/>
  <c r="AD54" i="23"/>
  <c r="X54" i="23"/>
  <c r="Y54" i="23"/>
  <c r="Z54" i="23"/>
  <c r="AA54" i="23"/>
  <c r="AB54" i="23"/>
  <c r="AC54" i="23"/>
  <c r="W55" i="23"/>
  <c r="AD55" i="23"/>
  <c r="X55" i="23"/>
  <c r="Y55" i="23"/>
  <c r="Z55" i="23"/>
  <c r="AA55" i="23"/>
  <c r="AB55" i="23"/>
  <c r="AC55" i="23"/>
  <c r="W56" i="23"/>
  <c r="AD56" i="23"/>
  <c r="X56" i="23"/>
  <c r="Y56" i="23"/>
  <c r="Z56" i="23"/>
  <c r="AA56" i="23"/>
  <c r="AB56" i="23"/>
  <c r="AC56" i="23"/>
  <c r="W57" i="23"/>
  <c r="AD57" i="23"/>
  <c r="X57" i="23"/>
  <c r="Y57" i="23"/>
  <c r="Z57" i="23"/>
  <c r="AA57" i="23"/>
  <c r="AB57" i="23"/>
  <c r="AC57" i="23"/>
  <c r="W58" i="23"/>
  <c r="AD58" i="23"/>
  <c r="X58" i="23"/>
  <c r="Y58" i="23"/>
  <c r="Z58" i="23"/>
  <c r="AA58" i="23"/>
  <c r="AB58" i="23"/>
  <c r="AC58" i="23"/>
  <c r="W59" i="23"/>
  <c r="AD59" i="23"/>
  <c r="X59" i="23"/>
  <c r="Y59" i="23"/>
  <c r="Z59" i="23"/>
  <c r="AA59" i="23"/>
  <c r="AB59" i="23"/>
  <c r="AC59" i="23"/>
  <c r="AC8" i="23"/>
  <c r="AC61" i="23"/>
  <c r="AB8" i="23"/>
  <c r="AB61" i="23"/>
  <c r="AA8" i="23"/>
  <c r="AA61" i="23"/>
  <c r="Z8" i="23"/>
  <c r="Z61" i="23"/>
  <c r="Y8" i="23"/>
  <c r="Y61" i="23"/>
  <c r="X8" i="23"/>
  <c r="X61" i="23"/>
  <c r="W8" i="23"/>
  <c r="W61" i="23"/>
  <c r="AD62" i="23"/>
  <c r="U9" i="23"/>
  <c r="U10" i="23"/>
  <c r="U11" i="23"/>
  <c r="U12" i="23"/>
  <c r="U13" i="23"/>
  <c r="U14" i="23"/>
  <c r="U15" i="23"/>
  <c r="U16" i="23"/>
  <c r="U17" i="23"/>
  <c r="U18" i="23"/>
  <c r="U19" i="23"/>
  <c r="U20" i="23"/>
  <c r="U21" i="23"/>
  <c r="U22" i="23"/>
  <c r="U23" i="23"/>
  <c r="U24" i="23"/>
  <c r="U25" i="23"/>
  <c r="U26" i="23"/>
  <c r="U27" i="23"/>
  <c r="U28" i="23"/>
  <c r="U29" i="23"/>
  <c r="U30" i="23"/>
  <c r="U31" i="23"/>
  <c r="U32" i="23"/>
  <c r="U33" i="23"/>
  <c r="U34" i="23"/>
  <c r="U35" i="23"/>
  <c r="U36" i="23"/>
  <c r="U37" i="23"/>
  <c r="U38" i="23"/>
  <c r="U39" i="23"/>
  <c r="U40" i="23"/>
  <c r="U41" i="23"/>
  <c r="U42" i="23"/>
  <c r="U43" i="23"/>
  <c r="U44" i="23"/>
  <c r="U45" i="23"/>
  <c r="U46" i="23"/>
  <c r="U47" i="23"/>
  <c r="U48" i="23"/>
  <c r="U49" i="23"/>
  <c r="U50" i="23"/>
  <c r="U51" i="23"/>
  <c r="U52" i="23"/>
  <c r="U53" i="23"/>
  <c r="U54" i="23"/>
  <c r="U55" i="23"/>
  <c r="U56" i="23"/>
  <c r="U57" i="23"/>
  <c r="U58" i="23"/>
  <c r="U59" i="23"/>
  <c r="U60" i="23"/>
  <c r="K61" i="23"/>
  <c r="N61" i="23"/>
  <c r="O61" i="23"/>
  <c r="P61" i="23"/>
  <c r="Q61" i="23"/>
  <c r="R61" i="23"/>
  <c r="S61" i="23"/>
  <c r="Y9" i="24"/>
  <c r="Y11" i="24"/>
  <c r="Y12" i="24"/>
  <c r="Y13" i="24"/>
  <c r="Y16" i="24"/>
  <c r="Y17" i="24"/>
  <c r="Y18" i="24"/>
  <c r="Y19" i="24"/>
  <c r="Y24" i="24"/>
  <c r="Y25" i="24"/>
  <c r="Y26" i="24"/>
  <c r="Y27" i="24"/>
  <c r="Y28" i="24"/>
  <c r="Y29" i="24"/>
  <c r="Y30" i="24"/>
  <c r="Y31" i="24"/>
  <c r="Y32" i="24"/>
  <c r="Y34" i="24"/>
  <c r="Y35" i="24"/>
  <c r="Y36" i="24"/>
  <c r="Y38" i="24"/>
  <c r="Y39" i="24"/>
  <c r="Y40" i="24"/>
  <c r="Y41" i="24"/>
  <c r="Y42" i="24"/>
  <c r="Y43" i="24"/>
  <c r="Y44" i="24"/>
  <c r="Y45" i="24"/>
  <c r="Y48" i="24"/>
  <c r="Y49" i="24"/>
  <c r="Y50" i="24"/>
  <c r="Y51" i="24"/>
  <c r="Y52" i="24"/>
  <c r="Y53" i="24"/>
  <c r="Y54" i="24"/>
  <c r="Y56" i="24"/>
  <c r="Y57" i="24"/>
  <c r="Y58" i="24"/>
  <c r="Y59" i="24"/>
  <c r="Y60" i="24"/>
  <c r="Y8" i="24"/>
  <c r="K61" i="24"/>
  <c r="N61" i="24"/>
  <c r="O61" i="24"/>
  <c r="P61" i="24"/>
  <c r="Q61" i="24"/>
  <c r="R61" i="24"/>
  <c r="S61" i="24"/>
  <c r="K60" i="25"/>
  <c r="N60" i="25"/>
  <c r="O60" i="25"/>
  <c r="P60" i="25"/>
  <c r="Q60" i="25"/>
  <c r="R60" i="25"/>
  <c r="S60" i="25"/>
  <c r="R285" i="38"/>
  <c r="S358" i="38"/>
  <c r="O277" i="38"/>
  <c r="Q279" i="38"/>
  <c r="Q295" i="38"/>
  <c r="S295" i="38"/>
  <c r="R295" i="38"/>
  <c r="Q307" i="38"/>
  <c r="R307" i="38"/>
  <c r="Q315" i="38"/>
  <c r="Q323" i="38"/>
  <c r="Q327" i="38"/>
  <c r="S327" i="38"/>
  <c r="Q353" i="38"/>
  <c r="R361" i="38"/>
  <c r="S361" i="38"/>
  <c r="Q385" i="38"/>
  <c r="S385" i="38"/>
  <c r="P277" i="38"/>
  <c r="R279" i="38"/>
  <c r="R287" i="38"/>
  <c r="S287" i="38"/>
  <c r="P289" i="38"/>
  <c r="P297" i="38"/>
  <c r="Q297" i="38"/>
  <c r="P305" i="38"/>
  <c r="Q305" i="38"/>
  <c r="R315" i="38"/>
  <c r="S315" i="38"/>
  <c r="R327" i="38"/>
  <c r="P351" i="38"/>
  <c r="S351" i="38"/>
  <c r="R353" i="38"/>
  <c r="S353" i="38"/>
  <c r="P355" i="38"/>
  <c r="Q355" i="38"/>
  <c r="O376" i="38"/>
  <c r="R385" i="38"/>
  <c r="O303" i="38"/>
  <c r="O389" i="38"/>
  <c r="Q389" i="38"/>
  <c r="O284" i="38"/>
  <c r="P284" i="38"/>
  <c r="O312" i="38"/>
  <c r="O320" i="38"/>
  <c r="P320" i="38"/>
  <c r="S320" i="38"/>
  <c r="O342" i="38"/>
  <c r="P342" i="38"/>
  <c r="N371" i="38"/>
  <c r="O382" i="38"/>
  <c r="P382" i="38"/>
  <c r="Q382" i="38"/>
  <c r="R382" i="38"/>
  <c r="R305" i="38"/>
  <c r="S305" i="38"/>
  <c r="P312" i="38"/>
  <c r="R297" i="38"/>
  <c r="S297" i="38"/>
  <c r="Q320" i="38"/>
  <c r="R320" i="38"/>
  <c r="N390" i="38"/>
  <c r="P389" i="38"/>
  <c r="O371" i="38"/>
  <c r="Q351" i="38"/>
  <c r="Q284" i="38"/>
  <c r="R351" i="38"/>
  <c r="S389" i="38"/>
  <c r="R312" i="38"/>
  <c r="Q277" i="38"/>
  <c r="AD50" i="23"/>
  <c r="AD46" i="23"/>
  <c r="AD42" i="23"/>
  <c r="AD38" i="23"/>
  <c r="AD34" i="23"/>
  <c r="AD30" i="23"/>
  <c r="AD26" i="23"/>
  <c r="AD22" i="23"/>
  <c r="AD18" i="23"/>
  <c r="AD14" i="23"/>
  <c r="AD10" i="23"/>
  <c r="AD8" i="23"/>
  <c r="AD61" i="23"/>
  <c r="R389" i="38"/>
  <c r="P371" i="38"/>
  <c r="Q371" i="38"/>
  <c r="S382" i="38"/>
  <c r="AD47" i="23"/>
  <c r="AD43" i="23"/>
  <c r="AD31" i="23"/>
  <c r="AD23" i="23"/>
  <c r="P376" i="38"/>
  <c r="R277" i="38"/>
  <c r="O390" i="38"/>
  <c r="Q342" i="38"/>
  <c r="R323" i="38"/>
  <c r="S323" i="38"/>
  <c r="P303" i="38"/>
  <c r="Q303" i="38"/>
  <c r="R303" i="38"/>
  <c r="S303" i="38"/>
  <c r="AD51" i="23"/>
  <c r="AD39" i="23"/>
  <c r="AD35" i="23"/>
  <c r="AD27" i="23"/>
  <c r="R284" i="38"/>
  <c r="S284" i="38"/>
  <c r="Q289" i="38"/>
  <c r="S307" i="38"/>
  <c r="Q312" i="38"/>
  <c r="R355" i="38"/>
  <c r="S355" i="38"/>
  <c r="S279" i="38"/>
  <c r="AD52" i="23"/>
  <c r="AD48" i="23"/>
  <c r="AD44" i="23"/>
  <c r="AD40" i="23"/>
  <c r="AD36" i="23"/>
  <c r="AD32" i="23"/>
  <c r="AD28" i="23"/>
  <c r="AD24" i="23"/>
  <c r="AD20" i="23"/>
  <c r="AD16" i="23"/>
  <c r="AD12" i="23"/>
  <c r="R321" i="38"/>
  <c r="S321" i="38"/>
  <c r="Q364" i="38"/>
  <c r="S383" i="38"/>
  <c r="S289" i="38"/>
  <c r="R342" i="38"/>
  <c r="S342" i="38"/>
  <c r="R371" i="38"/>
  <c r="S371" i="38"/>
  <c r="S312" i="38"/>
  <c r="R289" i="38"/>
  <c r="R390" i="38"/>
  <c r="P390" i="38"/>
  <c r="Q376" i="38"/>
  <c r="R376" i="38"/>
  <c r="S376" i="38"/>
  <c r="R364" i="38"/>
  <c r="S364" i="38"/>
  <c r="Q390" i="38"/>
  <c r="S277" i="38"/>
  <c r="S390" i="38"/>
</calcChain>
</file>

<file path=xl/comments1.xml><?xml version="1.0" encoding="utf-8"?>
<comments xmlns="http://schemas.openxmlformats.org/spreadsheetml/2006/main">
  <authors>
    <author>Ein geschätzter Microsoft Office Anwender</author>
  </authors>
  <commentList>
    <comment ref="I12" authorId="0" shapeId="0">
      <text>
        <r>
          <rPr>
            <sz val="8"/>
            <color indexed="81"/>
            <rFont val="Tahoma"/>
            <family val="2"/>
          </rPr>
          <t>Endziffer (Kugel mit der Nummer 9) mußte, nachdem beim Ziehungsvorgang die Kugel mit der Nummer 6 zerbrach neu gezogen werden. Artikel in der Bild Montag 8.2.99.</t>
        </r>
      </text>
    </comment>
    <comment ref="C21" authorId="0" shapeId="0">
      <text>
        <r>
          <rPr>
            <sz val="8"/>
            <color indexed="81"/>
            <rFont val="Tahoma"/>
            <family val="2"/>
          </rPr>
          <t>Erste Kugel mußte nachgezogen werden, da sich die Kugeln im Ziehungsgerät verklemmt hatten! Artikel u.a. in der Bild, 12.4.99.</t>
        </r>
      </text>
    </comment>
  </commentList>
</comments>
</file>

<file path=xl/comments2.xml><?xml version="1.0" encoding="utf-8"?>
<comments xmlns="http://schemas.openxmlformats.org/spreadsheetml/2006/main">
  <authors>
    <author>trogemann</author>
  </authors>
  <commentList>
    <comment ref="O27" authorId="0" shapeId="0">
      <text>
        <r>
          <rPr>
            <sz val="9"/>
            <color indexed="81"/>
            <rFont val="Tahoma"/>
            <family val="2"/>
          </rPr>
          <t>Aufgrund der Garantieausschüttung liegt die Quote für die 2. Gewinnklasse bei 902.961,80 €</t>
        </r>
      </text>
    </comment>
  </commentList>
</comments>
</file>

<file path=xl/comments3.xml><?xml version="1.0" encoding="utf-8"?>
<comments xmlns="http://schemas.openxmlformats.org/spreadsheetml/2006/main">
  <authors>
    <author>Ralf Kalmbach</author>
  </authors>
  <commentList>
    <comment ref="O98" authorId="0" shapeId="0">
      <text>
        <r>
          <rPr>
            <sz val="9"/>
            <color indexed="81"/>
            <rFont val="Segoe UI"/>
            <family val="2"/>
          </rPr>
          <t>Aufgrund der Garantieausschüttung liegt die Quote für die 2. Gewinnklasse bei 3.864.163,40 €</t>
        </r>
      </text>
    </comment>
  </commentList>
</comments>
</file>

<file path=xl/comments4.xml><?xml version="1.0" encoding="utf-8"?>
<comments xmlns="http://schemas.openxmlformats.org/spreadsheetml/2006/main">
  <authors>
    <author>Birgit Giesenkaemper</author>
  </authors>
  <commentList>
    <comment ref="P20" authorId="0" shapeId="0">
      <text>
        <r>
          <rPr>
            <sz val="9"/>
            <color indexed="81"/>
            <rFont val="Segoe UI"/>
            <family val="2"/>
          </rPr>
          <t>Aufgrund der Garantieausschüttung liegt die Quote für die 3. Gewinnklasse bei 563.701,60 Euro.</t>
        </r>
      </text>
    </comment>
    <comment ref="O110" authorId="0" shapeId="0">
      <text>
        <r>
          <rPr>
            <sz val="9"/>
            <color indexed="81"/>
            <rFont val="Segoe UI"/>
            <family val="2"/>
          </rPr>
          <t>Aufgrund der Garantieausschüttung liegt die Quote in der 2. Klasse bei 2.855.030,50 €.</t>
        </r>
      </text>
    </comment>
  </commentList>
</comments>
</file>

<file path=xl/comments5.xml><?xml version="1.0" encoding="utf-8"?>
<comments xmlns="http://schemas.openxmlformats.org/spreadsheetml/2006/main">
  <authors>
    <author>Birgit Giesenkaemper</author>
  </authors>
  <commentList>
    <comment ref="O20" authorId="0" shapeId="0">
      <text>
        <r>
          <rPr>
            <sz val="9"/>
            <color indexed="81"/>
            <rFont val="Segoe UI"/>
            <family val="2"/>
          </rPr>
          <t>Aufgrund der Garantieauschüttung liegt die Quote in der 2. Klasse bei 4.058.296,20 €.</t>
        </r>
      </text>
    </comment>
  </commentList>
</comments>
</file>

<file path=xl/sharedStrings.xml><?xml version="1.0" encoding="utf-8"?>
<sst xmlns="http://schemas.openxmlformats.org/spreadsheetml/2006/main" count="7984" uniqueCount="454">
  <si>
    <t>Spiel 77 Samstag</t>
  </si>
  <si>
    <t>Gewinnzahlen und Quoten der 1. - 52. Veranstaltung 1975</t>
  </si>
  <si>
    <t>Alle Zahlenangaben ohne Gewähr</t>
  </si>
  <si>
    <t>VA</t>
  </si>
  <si>
    <t>Gewinnzahl</t>
  </si>
  <si>
    <t>End-</t>
  </si>
  <si>
    <t>Spieleinsatz</t>
  </si>
  <si>
    <t xml:space="preserve">              Klasse I</t>
  </si>
  <si>
    <t>Klasse II</t>
  </si>
  <si>
    <t>Klasse III</t>
  </si>
  <si>
    <t>Klasse IV</t>
  </si>
  <si>
    <t>Klasse V</t>
  </si>
  <si>
    <t>Klasse VI</t>
  </si>
  <si>
    <t>ziffer</t>
  </si>
  <si>
    <t>DM</t>
  </si>
  <si>
    <t>Gewinne</t>
  </si>
  <si>
    <t>keine Werte</t>
  </si>
  <si>
    <t>unbesetzt</t>
  </si>
  <si>
    <t>"</t>
  </si>
  <si>
    <t>Klasse I</t>
  </si>
  <si>
    <t>von 177.777,70 DM</t>
  </si>
  <si>
    <t>Jackpot</t>
  </si>
  <si>
    <t>bis 1.777.777,70 DM</t>
  </si>
  <si>
    <t>JP</t>
  </si>
  <si>
    <t>Gewinne Gesamt</t>
  </si>
  <si>
    <t>Gewinnzahlen und Quoten der 1. - 52. Veranstaltung 1976</t>
  </si>
  <si>
    <t>Gewinnzahlen und Quoten der 1. - 53. Veranstaltung 1977</t>
  </si>
  <si>
    <t>Gewinnzahlen und Quoten der 1. - 52. Veranstaltung 1978</t>
  </si>
  <si>
    <t>Gewinnzahlen und Quoten der 1. - 52. Veranstaltung 1979</t>
  </si>
  <si>
    <t>Gewinnzahlen und Quoten der 1. - 52. Veranstaltung 1980</t>
  </si>
  <si>
    <t>Gewinnzahlen und Quoten der 1. - 52. Veranstaltung 1981</t>
  </si>
  <si>
    <t>von 2 x 177.777,70 DM</t>
  </si>
  <si>
    <t>bis 2 x 1.777.777,70 DM</t>
  </si>
  <si>
    <t>2 x 77.777,70 DM</t>
  </si>
  <si>
    <t>2 x 7.777,70 DM</t>
  </si>
  <si>
    <t>2 x 777,70 DM</t>
  </si>
  <si>
    <t>2 x 77,70 DM</t>
  </si>
  <si>
    <t>2 x 7,70 DM</t>
  </si>
  <si>
    <t>Gewinnzahlen und Quoten der 1. - 52. Veranstaltung 1982</t>
  </si>
  <si>
    <t>53.</t>
  </si>
  <si>
    <t>Gewinnzahlen und Quoten der 1. - 52. Veranstaltung 1983</t>
  </si>
  <si>
    <t>Gewinnzahlen und Quoten der 1. - 52. Veranstaltung 1984</t>
  </si>
  <si>
    <t>Gewinnzahlen und Quoten der 1. - 52. Veranstaltung 1985</t>
  </si>
  <si>
    <t>ab 2 x 177.777,70 DM</t>
  </si>
  <si>
    <t>Gewinnzahlen und Quoten der 1. - 52. Veranstaltung 1986</t>
  </si>
  <si>
    <t>Gewinnzahlen und Quoten der 1. - 52. Veranstaltung 1987</t>
  </si>
  <si>
    <t>Gewinnzahlen und Quoten der 1. - 52. Veranstaltung 1988</t>
  </si>
  <si>
    <t>Gewinnzahlen und Quoten der 1. - 52. Veranstaltung 1989</t>
  </si>
  <si>
    <t>Gewinnzahlen und Quoten der 1. - 52. Veranstaltung 1990</t>
  </si>
  <si>
    <t>Klasse VII</t>
  </si>
  <si>
    <t xml:space="preserve">        ab 377.777,00 DM</t>
  </si>
  <si>
    <t>77.777,00 DM</t>
  </si>
  <si>
    <t>7.777,00 DM</t>
  </si>
  <si>
    <t>777,00 DM</t>
  </si>
  <si>
    <t>77,00 DM</t>
  </si>
  <si>
    <t>17,00 DM</t>
  </si>
  <si>
    <t>5,00 DM</t>
  </si>
  <si>
    <t>Gewinnzahlen und Quoten der 1. - 52. Veranstaltung 1991</t>
  </si>
  <si>
    <t>Gewinnzahlen und Quoten der 1. - 53. Veranstaltung 1992</t>
  </si>
  <si>
    <t>Gewinnzahlen und Quoten der 1. - 52. Veranstaltung 1993</t>
  </si>
  <si>
    <t>16.01.</t>
  </si>
  <si>
    <t>23.01.</t>
  </si>
  <si>
    <t>30.01.</t>
  </si>
  <si>
    <t>06.02.</t>
  </si>
  <si>
    <t>13.02.</t>
  </si>
  <si>
    <t>20.02.</t>
  </si>
  <si>
    <t>27.02.</t>
  </si>
  <si>
    <t>06.03.</t>
  </si>
  <si>
    <t>13.03.</t>
  </si>
  <si>
    <t>20.03.</t>
  </si>
  <si>
    <t>27.03.</t>
  </si>
  <si>
    <t>03.04.</t>
  </si>
  <si>
    <t>10.04.</t>
  </si>
  <si>
    <t>17.04.</t>
  </si>
  <si>
    <t>24.04.</t>
  </si>
  <si>
    <t>01.05.</t>
  </si>
  <si>
    <t>08.05.</t>
  </si>
  <si>
    <t>15.05.</t>
  </si>
  <si>
    <t>22.05.</t>
  </si>
  <si>
    <t>29.05.</t>
  </si>
  <si>
    <t>05.06.</t>
  </si>
  <si>
    <t>12.06.</t>
  </si>
  <si>
    <t>19.06.</t>
  </si>
  <si>
    <t>26.06.</t>
  </si>
  <si>
    <t>03.07.</t>
  </si>
  <si>
    <t>10.07.</t>
  </si>
  <si>
    <t>17.07.</t>
  </si>
  <si>
    <t>24.07.</t>
  </si>
  <si>
    <t>31.07.</t>
  </si>
  <si>
    <t>07.08.</t>
  </si>
  <si>
    <t>14.08.</t>
  </si>
  <si>
    <t>21.08.</t>
  </si>
  <si>
    <t>28.08.</t>
  </si>
  <si>
    <t>04.09.</t>
  </si>
  <si>
    <t>11.09.</t>
  </si>
  <si>
    <t>18.09.</t>
  </si>
  <si>
    <t>25.09.</t>
  </si>
  <si>
    <t>02.10.</t>
  </si>
  <si>
    <t>09.10.</t>
  </si>
  <si>
    <t>16.10.</t>
  </si>
  <si>
    <t>23.10.</t>
  </si>
  <si>
    <t>30.10.</t>
  </si>
  <si>
    <t>06.11.</t>
  </si>
  <si>
    <t>13.11.</t>
  </si>
  <si>
    <t>20.11.</t>
  </si>
  <si>
    <t>27.11.</t>
  </si>
  <si>
    <t>04.12.</t>
  </si>
  <si>
    <t>11.12.</t>
  </si>
  <si>
    <t>18.12.</t>
  </si>
  <si>
    <t>25.12.</t>
  </si>
  <si>
    <t>Gewinnzahlen und Quoten der 1. - 52. Veranstaltung 1994</t>
  </si>
  <si>
    <t>08.01.</t>
  </si>
  <si>
    <t>15.01.</t>
  </si>
  <si>
    <t>22.01.</t>
  </si>
  <si>
    <t>29.01.</t>
  </si>
  <si>
    <t>05.02.</t>
  </si>
  <si>
    <t>12.02.</t>
  </si>
  <si>
    <t>19.02.</t>
  </si>
  <si>
    <t>26.02.</t>
  </si>
  <si>
    <t>05.03.</t>
  </si>
  <si>
    <t>12.03.</t>
  </si>
  <si>
    <t>19.03.</t>
  </si>
  <si>
    <t>26.03.</t>
  </si>
  <si>
    <t>02.04.</t>
  </si>
  <si>
    <t>09.04.</t>
  </si>
  <si>
    <t>16.04.</t>
  </si>
  <si>
    <t>23.04.</t>
  </si>
  <si>
    <t>30.04.</t>
  </si>
  <si>
    <t>07.05.</t>
  </si>
  <si>
    <t>14.05.</t>
  </si>
  <si>
    <t>21.05.</t>
  </si>
  <si>
    <t>28.05.</t>
  </si>
  <si>
    <t>04.06.</t>
  </si>
  <si>
    <t>11.06.</t>
  </si>
  <si>
    <t>18.06.</t>
  </si>
  <si>
    <t>25.06.</t>
  </si>
  <si>
    <t>02.07.</t>
  </si>
  <si>
    <t>09.07.</t>
  </si>
  <si>
    <t>16.07.</t>
  </si>
  <si>
    <t>23.07.</t>
  </si>
  <si>
    <t>30.07.</t>
  </si>
  <si>
    <t>06.08.</t>
  </si>
  <si>
    <t>13.08.</t>
  </si>
  <si>
    <t>20.08.</t>
  </si>
  <si>
    <t>27.08.</t>
  </si>
  <si>
    <t>03.09.</t>
  </si>
  <si>
    <t>10.09.</t>
  </si>
  <si>
    <t>17.09.</t>
  </si>
  <si>
    <t>24.09.</t>
  </si>
  <si>
    <t>01.10.</t>
  </si>
  <si>
    <t>08.10.</t>
  </si>
  <si>
    <t>15.10.</t>
  </si>
  <si>
    <t>22.10.</t>
  </si>
  <si>
    <t>29.10.</t>
  </si>
  <si>
    <t>05.11.</t>
  </si>
  <si>
    <t>12.11.</t>
  </si>
  <si>
    <t>19.11.</t>
  </si>
  <si>
    <t>26.11.</t>
  </si>
  <si>
    <t>03.12.</t>
  </si>
  <si>
    <t>10.12.</t>
  </si>
  <si>
    <t>17.12.</t>
  </si>
  <si>
    <t>24.12.</t>
  </si>
  <si>
    <t>31.12.</t>
  </si>
  <si>
    <t>Gewinnzahlen und Quoten der 1. - 52. Veranstaltung 1995</t>
  </si>
  <si>
    <t>07.01.</t>
  </si>
  <si>
    <t>14.01.</t>
  </si>
  <si>
    <t>21.01.</t>
  </si>
  <si>
    <t>28.01.</t>
  </si>
  <si>
    <t>04.02.</t>
  </si>
  <si>
    <t>11.02.</t>
  </si>
  <si>
    <t>18.02.</t>
  </si>
  <si>
    <t>25.02.</t>
  </si>
  <si>
    <t>04.03.</t>
  </si>
  <si>
    <t>11.03.</t>
  </si>
  <si>
    <t>18.03.</t>
  </si>
  <si>
    <t>25.03.</t>
  </si>
  <si>
    <t>01.04.</t>
  </si>
  <si>
    <t>08.04.</t>
  </si>
  <si>
    <t>15.04.</t>
  </si>
  <si>
    <t>22.04.</t>
  </si>
  <si>
    <t>29.04.</t>
  </si>
  <si>
    <t>06.05.</t>
  </si>
  <si>
    <t>13.05.</t>
  </si>
  <si>
    <t>20.05.</t>
  </si>
  <si>
    <t>27.05.</t>
  </si>
  <si>
    <t>03.06.</t>
  </si>
  <si>
    <t>10.06.</t>
  </si>
  <si>
    <t>17.06.</t>
  </si>
  <si>
    <t>24.06.</t>
  </si>
  <si>
    <t>01.07.</t>
  </si>
  <si>
    <t>08.07.</t>
  </si>
  <si>
    <t>15.07.</t>
  </si>
  <si>
    <t>22.07.</t>
  </si>
  <si>
    <t>29.07.</t>
  </si>
  <si>
    <t>05.08.</t>
  </si>
  <si>
    <t>12.08.</t>
  </si>
  <si>
    <t>19.08.</t>
  </si>
  <si>
    <t>26.08.</t>
  </si>
  <si>
    <t>02.09.</t>
  </si>
  <si>
    <t>09.09.</t>
  </si>
  <si>
    <t>16.09.</t>
  </si>
  <si>
    <t>23.09.</t>
  </si>
  <si>
    <t>30.09.</t>
  </si>
  <si>
    <t>07.10.</t>
  </si>
  <si>
    <t>14.10.</t>
  </si>
  <si>
    <t>21.10.</t>
  </si>
  <si>
    <t>28.10.</t>
  </si>
  <si>
    <t>04.11.</t>
  </si>
  <si>
    <t>11.11.</t>
  </si>
  <si>
    <t>18.11.</t>
  </si>
  <si>
    <t>25.11.</t>
  </si>
  <si>
    <t>02.12.</t>
  </si>
  <si>
    <t>09.12.</t>
  </si>
  <si>
    <t>16.12.</t>
  </si>
  <si>
    <t>23.12.</t>
  </si>
  <si>
    <t>30.12.</t>
  </si>
  <si>
    <t>Gewinnzahlen und Quoten der 1. - 52. Veranstaltung 1996</t>
  </si>
  <si>
    <t>06.01.</t>
  </si>
  <si>
    <t>13.01.</t>
  </si>
  <si>
    <t>20.01.</t>
  </si>
  <si>
    <t>27.01.</t>
  </si>
  <si>
    <t>03.02.</t>
  </si>
  <si>
    <t>10.02.</t>
  </si>
  <si>
    <t>17.02.</t>
  </si>
  <si>
    <t>24.02.</t>
  </si>
  <si>
    <t>02.03.</t>
  </si>
  <si>
    <t>09.03.</t>
  </si>
  <si>
    <t>16.03.</t>
  </si>
  <si>
    <t>23.03.</t>
  </si>
  <si>
    <t>30.03.</t>
  </si>
  <si>
    <t>06.04.</t>
  </si>
  <si>
    <t>13.04.</t>
  </si>
  <si>
    <t>20.04.</t>
  </si>
  <si>
    <t>27.04.</t>
  </si>
  <si>
    <t>04.05.</t>
  </si>
  <si>
    <t>11.05.</t>
  </si>
  <si>
    <t>18.05.</t>
  </si>
  <si>
    <t>25.05.</t>
  </si>
  <si>
    <t>01.06.</t>
  </si>
  <si>
    <t>08.06.</t>
  </si>
  <si>
    <t>15.06.</t>
  </si>
  <si>
    <t>22.06.</t>
  </si>
  <si>
    <t>29.06.</t>
  </si>
  <si>
    <t>06.07.</t>
  </si>
  <si>
    <t>13.07.</t>
  </si>
  <si>
    <t>20.07.</t>
  </si>
  <si>
    <t>27.07.</t>
  </si>
  <si>
    <t>03.08.</t>
  </si>
  <si>
    <t>10.08.</t>
  </si>
  <si>
    <t>17.08.</t>
  </si>
  <si>
    <t>24.08.</t>
  </si>
  <si>
    <t>31.08.</t>
  </si>
  <si>
    <t>07.09.</t>
  </si>
  <si>
    <t>14.09.</t>
  </si>
  <si>
    <t>21.09.</t>
  </si>
  <si>
    <t>28.09.</t>
  </si>
  <si>
    <t>05.10.</t>
  </si>
  <si>
    <t>12.10.</t>
  </si>
  <si>
    <t>19.10.</t>
  </si>
  <si>
    <t>26.10.</t>
  </si>
  <si>
    <t>02.11.</t>
  </si>
  <si>
    <t>09.11.</t>
  </si>
  <si>
    <t>16.11.</t>
  </si>
  <si>
    <t>23.11.</t>
  </si>
  <si>
    <t>30.11.</t>
  </si>
  <si>
    <t>07.12.</t>
  </si>
  <si>
    <t>14.12.</t>
  </si>
  <si>
    <t>21.12.</t>
  </si>
  <si>
    <t>Gewinnzahlen und Quoten der 1. - 52. Veranstaltung 1997</t>
  </si>
  <si>
    <t>11.01.</t>
  </si>
  <si>
    <t>18.01.</t>
  </si>
  <si>
    <t>25.01.</t>
  </si>
  <si>
    <t>01.02.</t>
  </si>
  <si>
    <t>08.02.</t>
  </si>
  <si>
    <t>15.02.</t>
  </si>
  <si>
    <t>22.02.</t>
  </si>
  <si>
    <t>01.03.</t>
  </si>
  <si>
    <t>08.03.</t>
  </si>
  <si>
    <t>15.03.</t>
  </si>
  <si>
    <t>22.03.</t>
  </si>
  <si>
    <t>29.03.</t>
  </si>
  <si>
    <t>05.04.</t>
  </si>
  <si>
    <t>12.04.</t>
  </si>
  <si>
    <t>19.04.</t>
  </si>
  <si>
    <t>26.04.</t>
  </si>
  <si>
    <t>03.05.</t>
  </si>
  <si>
    <t>10.05.</t>
  </si>
  <si>
    <t>17.05.</t>
  </si>
  <si>
    <t>24.05.</t>
  </si>
  <si>
    <t>31.05.</t>
  </si>
  <si>
    <t>07.06.</t>
  </si>
  <si>
    <t>14.06.</t>
  </si>
  <si>
    <t>21.06.</t>
  </si>
  <si>
    <t>28.06.</t>
  </si>
  <si>
    <t>05.07.</t>
  </si>
  <si>
    <t>12.07.</t>
  </si>
  <si>
    <t>19.07.</t>
  </si>
  <si>
    <t>26.07.</t>
  </si>
  <si>
    <t>02.08.</t>
  </si>
  <si>
    <t>09.08.</t>
  </si>
  <si>
    <t>23.08.</t>
  </si>
  <si>
    <t>30.08.</t>
  </si>
  <si>
    <t>06.09.</t>
  </si>
  <si>
    <t>13.09.</t>
  </si>
  <si>
    <t>20.09.</t>
  </si>
  <si>
    <t>27.09.</t>
  </si>
  <si>
    <t>04.10.</t>
  </si>
  <si>
    <t>11.10.</t>
  </si>
  <si>
    <t>18.10.</t>
  </si>
  <si>
    <t>01.11.</t>
  </si>
  <si>
    <t>08.11.</t>
  </si>
  <si>
    <t>15.11.</t>
  </si>
  <si>
    <t>22.11.</t>
  </si>
  <si>
    <t>06.12.</t>
  </si>
  <si>
    <t>13.12.</t>
  </si>
  <si>
    <t>20.12.</t>
  </si>
  <si>
    <t>27.12.</t>
  </si>
  <si>
    <t>Gewinnzahlen und Quoten der 1. - 53. Veranstaltung 1998</t>
  </si>
  <si>
    <t>03.01.</t>
  </si>
  <si>
    <t>10.01.</t>
  </si>
  <si>
    <t>17.01.</t>
  </si>
  <si>
    <t>24.01.</t>
  </si>
  <si>
    <t>31.01.</t>
  </si>
  <si>
    <t>07.02.</t>
  </si>
  <si>
    <t>14.02.</t>
  </si>
  <si>
    <t>21.02.</t>
  </si>
  <si>
    <t>28.02.</t>
  </si>
  <si>
    <t>07.03.</t>
  </si>
  <si>
    <t>14.03.</t>
  </si>
  <si>
    <t>21.03.</t>
  </si>
  <si>
    <t>28.03.</t>
  </si>
  <si>
    <t>25.04.</t>
  </si>
  <si>
    <t>02.05.</t>
  </si>
  <si>
    <t>23.05.</t>
  </si>
  <si>
    <t>30.05.</t>
  </si>
  <si>
    <t>06.06.</t>
  </si>
  <si>
    <t>13.06.</t>
  </si>
  <si>
    <t>20.06.</t>
  </si>
  <si>
    <t>27.06.</t>
  </si>
  <si>
    <t>04.07.</t>
  </si>
  <si>
    <t>11.07.</t>
  </si>
  <si>
    <t>18.07.</t>
  </si>
  <si>
    <t>25.07.</t>
  </si>
  <si>
    <t>01.08.</t>
  </si>
  <si>
    <t>08.08.</t>
  </si>
  <si>
    <t>22.08.</t>
  </si>
  <si>
    <t>29.08.</t>
  </si>
  <si>
    <t>12.09.</t>
  </si>
  <si>
    <t>19.09.</t>
  </si>
  <si>
    <t>26.09.</t>
  </si>
  <si>
    <t>03.10.</t>
  </si>
  <si>
    <t>10.10.</t>
  </si>
  <si>
    <t>17.10.</t>
  </si>
  <si>
    <t>24.10.</t>
  </si>
  <si>
    <t>31.10.</t>
  </si>
  <si>
    <t>07.11.</t>
  </si>
  <si>
    <t>14.11.</t>
  </si>
  <si>
    <t>21.11.</t>
  </si>
  <si>
    <t>28.11.</t>
  </si>
  <si>
    <t>Gewinnzahlen und Quoten der 1. - 52. Veranstaltung 1999</t>
  </si>
  <si>
    <t>Spiel 77 Samstag / Spiel 77</t>
  </si>
  <si>
    <t>Ziehung</t>
  </si>
  <si>
    <t>MI</t>
  </si>
  <si>
    <t>SA</t>
  </si>
  <si>
    <t xml:space="preserve">Spiel 77 </t>
  </si>
  <si>
    <t xml:space="preserve"> unbesetzt</t>
  </si>
  <si>
    <t xml:space="preserve">        ab 170.000,00 Euro</t>
  </si>
  <si>
    <t>Euro</t>
  </si>
  <si>
    <t/>
  </si>
  <si>
    <t>ab 177.777,00 Euro</t>
  </si>
  <si>
    <t>(geänderter Spieleinsatz und Quoten ab 35.KW 2010)</t>
  </si>
  <si>
    <t xml:space="preserve">        ab 177.777,00 Euro</t>
  </si>
  <si>
    <t>Summe 2.HJ</t>
  </si>
  <si>
    <t>20Mio</t>
  </si>
  <si>
    <t>10Mio</t>
  </si>
  <si>
    <t>7,5Mio</t>
  </si>
  <si>
    <t>5Mio</t>
  </si>
  <si>
    <t>2,5Mio</t>
  </si>
  <si>
    <t>1,5Mio</t>
  </si>
  <si>
    <t>1Mio</t>
  </si>
  <si>
    <t>0,5Mio</t>
  </si>
  <si>
    <t>0,25Mio</t>
  </si>
  <si>
    <t>02.01.</t>
  </si>
  <si>
    <t>05.01.</t>
  </si>
  <si>
    <t>09.01.</t>
  </si>
  <si>
    <t>12.01.</t>
  </si>
  <si>
    <t>19.01.</t>
  </si>
  <si>
    <t>26.01.</t>
  </si>
  <si>
    <t>02.02.</t>
  </si>
  <si>
    <t>09.02.</t>
  </si>
  <si>
    <t>16.02.</t>
  </si>
  <si>
    <t>23.02.</t>
  </si>
  <si>
    <t>28.12.</t>
  </si>
  <si>
    <t>01.01.</t>
  </si>
  <si>
    <t>04.01.</t>
  </si>
  <si>
    <t>21.07.</t>
  </si>
  <si>
    <t>16.08.</t>
  </si>
  <si>
    <t>25.10.</t>
  </si>
  <si>
    <t>29.11.</t>
  </si>
  <si>
    <t>Gewinnzahlen und Quoten der 1. - 52. Kalenderwoche 2000</t>
  </si>
  <si>
    <t>Gewinnzahlen und Quoten der 27. - 52. Kalenderwoche 2014</t>
  </si>
  <si>
    <t>Gewinnzahlen und Quoten der 1. - 26. Kalenderwoche 2014</t>
  </si>
  <si>
    <t>Gewinnzahlen und Quoten der 27. - 52. Kalenderwoche 2013</t>
  </si>
  <si>
    <t>Gewinnzahlen und Quoten der 1. - 26. Kalenderwoche 2013</t>
  </si>
  <si>
    <t>Gewinnzahlen und Quoten der 27. - 52. Kalenderwoche 2012</t>
  </si>
  <si>
    <t>Gewinnzahlen und Quoten der 1. - 26. Kalenderwoche 2012</t>
  </si>
  <si>
    <t>Gewinnzahlen und Quoten der 27. - 52. Kalenderwoche 2011</t>
  </si>
  <si>
    <t>Gewinnzahlen und Quoten der 1. - 26. Kalenderwoche 2011</t>
  </si>
  <si>
    <t>Gewinnzahlen und Quoten der 27. - 52. Kalenderwoche 2010</t>
  </si>
  <si>
    <t>Gewinnzahlen und Quoten der 1. - 26. Kalenderwoche 2010</t>
  </si>
  <si>
    <t>Gewinnzahlen und Quoten der 27. - 53. Kalenderwoche 2009</t>
  </si>
  <si>
    <t>Gewinnzahlen und Quoten der 1. - 26. Kalenderwoche 2009</t>
  </si>
  <si>
    <t>Gewinnzahlen und Quoten der 27. - 52. Kalenderwoche 2008</t>
  </si>
  <si>
    <t>Gewinnzahlen und Quoten der 1. - 26. Kalenderwoche 2008</t>
  </si>
  <si>
    <t>Gewinnzahlen und Quoten der 27. - 52. Kalenderwoche 2007</t>
  </si>
  <si>
    <t>Gewinnzahlen und Quoten der 1. - 26. Kalenderwoche 2007</t>
  </si>
  <si>
    <t>Gewinnzahlen und Quoten der 27. - 52. Kalenderwoche 2006</t>
  </si>
  <si>
    <t>Gewinnzahlen und Quoten der 1. - 26. Kalenderwoche 2006</t>
  </si>
  <si>
    <t>Gewinnzahlen und Quoten der 27. - 52. Kalenderwoche 2005</t>
  </si>
  <si>
    <t>Gewinnzahlen und Quoten der 1. - 26. Kalenderwoche 2005</t>
  </si>
  <si>
    <t>Gewinnzahlen und Quoten der 27. - 53. Kalenderwoche 2004</t>
  </si>
  <si>
    <t>Gewinnzahlen und Quoten der 1. - 26. Kalenderwoche 2004</t>
  </si>
  <si>
    <t>Gewinnzahlen und Quoten der 27. - 52. Kalenderwoche 2003</t>
  </si>
  <si>
    <t>Gewinnzahlen und Quoten der 1. - 26. Kalenderwoche 2003</t>
  </si>
  <si>
    <t>Gewinnzahlen und Quoten der 27. - 52. Kalenderwoche 2002</t>
  </si>
  <si>
    <t>Gewinnzahlen und Quoten der 1. - 26. Kalenderwoche 2002</t>
  </si>
  <si>
    <t>Gewinnzahlen und Quoten der 27. - 52. Kalenderwoche 2001</t>
  </si>
  <si>
    <t>Gewinnzahlen und Quoten der 1. - 26. Kalenderwoche 2001</t>
  </si>
  <si>
    <t>KW</t>
  </si>
  <si>
    <t>Gewinnzahlen und Quoten der 1. - 26. Kalenderwoche 2015</t>
  </si>
  <si>
    <t>04.04.</t>
  </si>
  <si>
    <t>11.04.</t>
  </si>
  <si>
    <t>18.04.</t>
  </si>
  <si>
    <t>09.05.</t>
  </si>
  <si>
    <t>16.05.</t>
  </si>
  <si>
    <t>Gewinnzahlen und Quoten der 27. - 53. Kalenderwoche 2015</t>
  </si>
  <si>
    <t>15.08.</t>
  </si>
  <si>
    <t>05.09.</t>
  </si>
  <si>
    <t>05.12.</t>
  </si>
  <si>
    <t>12.12.</t>
  </si>
  <si>
    <t>19.12.</t>
  </si>
  <si>
    <t>26.12.</t>
  </si>
  <si>
    <t>Gewinnzahlen und Quoten der 1. - 26. Veranstaltung 2016</t>
  </si>
  <si>
    <t>Gewinnzahlen und Quoten der 27. - 52. Veranstaltung 2016</t>
  </si>
  <si>
    <t>Gewinnzahlen und Quoten der 1. - 26. Veranstaltung 2017</t>
  </si>
  <si>
    <t>Gewinnzahlen und Quoten der 27. - 52. Veranstaltung 2017</t>
  </si>
  <si>
    <t>Gewinnzahlen und Quoten der 1. - 26. Kalenderwoche 2018</t>
  </si>
  <si>
    <t>Gewinnzahlen und Quoten der 27. - 52. Kalenderwoche 2018</t>
  </si>
  <si>
    <t>Gewinnzahlen und Quoten der 1. - 26. Kalenderwoche 2019</t>
  </si>
  <si>
    <t>Gewinnzahlen und Quoten der 27. - 52. Kalenderwoche 2019</t>
  </si>
  <si>
    <t>Gewinnzahlen und Quoten der 1. - 26. Kalenderwoche 2020</t>
  </si>
  <si>
    <t>Gewinnzahlen und Quoten der 27. - 53. Kalenderwoche 2020</t>
  </si>
  <si>
    <t>Gewinnzahlen und Quoten der 1. - 26. Kalenderwoche 2021</t>
  </si>
  <si>
    <t>Gewinnzahlen und Quoten der 27. - 52. Kalenderwoche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</si>
</sst>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164" formatCode="#,##0.00\ &quot;DM&quot;;\-#,##0.00\ &quot;DM&quot;"/>
    <numFmt numFmtId="165" formatCode="#,##0.00\ &quot;DM&quot;;[Red]\-#,##0.00\ &quot;DM&quot;"/>
    <numFmt numFmtId="166" formatCode="&quot;DM&quot;#,##0.00;\-&quot;DM&quot;#,##0.00"/>
    <numFmt numFmtId="167" formatCode="0&quot;.&quot;"/>
    <numFmt numFmtId="168" formatCode="dd/mm/"/>
    <numFmt numFmtId="169" formatCode="#,##0\ \ \ "/>
    <numFmt numFmtId="170" formatCode="#,##0&quot;  x&quot;\ \ "/>
    <numFmt numFmtId="171" formatCode="&quot;$&quot;#,##0.00;\-&quot;$&quot;#,##0.00"/>
    <numFmt numFmtId="172" formatCode="#,##0.00\ \ \ "/>
    <numFmt numFmtId="173" formatCode="#,##0\ &quot;x&quot;\ \ \ \ "/>
    <numFmt numFmtId="174" formatCode="#,##0\ &quot;x&quot;\ \ \ \ \ \ \ \ \ \ \ "/>
    <numFmt numFmtId="175" formatCode="#,##0\ &quot;x&quot;\ \ \ \ \ \ \ \ \ "/>
    <numFmt numFmtId="176" formatCode="#,##0\ &quot;x&quot;"/>
    <numFmt numFmtId="177" formatCode="#,##0\ &quot;x&quot;\ \ \ \ \ \ \ \ "/>
    <numFmt numFmtId="178" formatCode="&quot;DM&quot;\ #,##0.00\ "/>
    <numFmt numFmtId="179" formatCode="#,##0.00&quot;     &quot;"/>
    <numFmt numFmtId="180" formatCode="#,##0.00&quot;   &quot;"/>
    <numFmt numFmtId="181" formatCode="#,##0.00&quot;      &quot;"/>
    <numFmt numFmtId="182" formatCode="#,##0&quot;  x   &quot;"/>
    <numFmt numFmtId="183" formatCode="0.000"/>
    <numFmt numFmtId="184" formatCode="#,##0.00&quot; Euro&quot;"/>
    <numFmt numFmtId="185" formatCode="#,##0.00\ \ "/>
    <numFmt numFmtId="186" formatCode="0.0%"/>
    <numFmt numFmtId="187" formatCode="00&quot;.&quot;"/>
  </numFmts>
  <fonts count="11" x14ac:knownFonts="1">
    <font>
      <sz val="8"/>
      <name val="Helv"/>
    </font>
    <font>
      <b/>
      <sz val="8"/>
      <name val="Helv"/>
    </font>
    <font>
      <sz val="10"/>
      <name val="Helv"/>
    </font>
    <font>
      <b/>
      <sz val="10"/>
      <name val="Helv"/>
    </font>
    <font>
      <b/>
      <sz val="6"/>
      <name val="Helv"/>
    </font>
    <font>
      <sz val="8"/>
      <color indexed="81"/>
      <name val="Tahoma"/>
      <family val="2"/>
    </font>
    <font>
      <sz val="8"/>
      <name val="Helv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  <xf numFmtId="0" fontId="9" fillId="0" borderId="0"/>
  </cellStyleXfs>
  <cellXfs count="370">
    <xf numFmtId="0" fontId="0" fillId="0" borderId="0" xfId="0"/>
    <xf numFmtId="0" fontId="3" fillId="0" borderId="0" xfId="0" applyNumberFormat="1" applyFont="1"/>
    <xf numFmtId="172" fontId="0" fillId="0" borderId="0" xfId="0" applyNumberFormat="1"/>
    <xf numFmtId="0" fontId="3" fillId="0" borderId="0" xfId="0" applyNumberFormat="1" applyFont="1" applyAlignment="1">
      <alignment horizontal="right"/>
    </xf>
    <xf numFmtId="0" fontId="4" fillId="0" borderId="0" xfId="0" applyNumberFormat="1" applyFont="1"/>
    <xf numFmtId="4" fontId="0" fillId="0" borderId="0" xfId="0" applyNumberFormat="1"/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/>
    <xf numFmtId="0" fontId="0" fillId="0" borderId="1" xfId="0" applyNumberFormat="1" applyBorder="1"/>
    <xf numFmtId="0" fontId="0" fillId="0" borderId="2" xfId="0" applyNumberFormat="1" applyBorder="1"/>
    <xf numFmtId="172" fontId="0" fillId="0" borderId="2" xfId="0" applyNumberFormat="1" applyBorder="1"/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4" xfId="0" applyNumberFormat="1" applyBorder="1" applyAlignment="1">
      <alignment horizontal="centerContinuous"/>
    </xf>
    <xf numFmtId="172" fontId="0" fillId="0" borderId="5" xfId="0" applyNumberFormat="1" applyBorder="1"/>
    <xf numFmtId="0" fontId="0" fillId="0" borderId="0" xfId="0" applyNumberFormat="1" applyAlignment="1">
      <alignment horizontal="center"/>
    </xf>
    <xf numFmtId="171" fontId="0" fillId="0" borderId="5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5" xfId="0" applyNumberFormat="1" applyBorder="1" applyAlignment="1">
      <alignment horizontal="center"/>
    </xf>
    <xf numFmtId="171" fontId="0" fillId="0" borderId="6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172" fontId="0" fillId="0" borderId="2" xfId="0" applyNumberFormat="1" applyBorder="1" applyAlignment="1"/>
    <xf numFmtId="170" fontId="0" fillId="0" borderId="5" xfId="0" applyNumberFormat="1" applyBorder="1" applyAlignment="1">
      <alignment horizontal="right"/>
    </xf>
    <xf numFmtId="3" fontId="0" fillId="0" borderId="0" xfId="0" applyNumberFormat="1"/>
    <xf numFmtId="167" fontId="0" fillId="0" borderId="4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172" fontId="0" fillId="0" borderId="5" xfId="0" applyNumberFormat="1" applyBorder="1" applyAlignment="1"/>
    <xf numFmtId="0" fontId="0" fillId="0" borderId="5" xfId="0" applyBorder="1"/>
    <xf numFmtId="167" fontId="0" fillId="0" borderId="8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2" fontId="0" fillId="0" borderId="6" xfId="0" applyNumberFormat="1" applyBorder="1" applyAlignment="1"/>
    <xf numFmtId="172" fontId="0" fillId="0" borderId="6" xfId="0" applyNumberFormat="1" applyBorder="1"/>
    <xf numFmtId="170" fontId="0" fillId="0" borderId="6" xfId="0" applyNumberFormat="1" applyBorder="1" applyAlignment="1">
      <alignment horizontal="right"/>
    </xf>
    <xf numFmtId="0" fontId="0" fillId="0" borderId="9" xfId="0" applyNumberFormat="1" applyBorder="1"/>
    <xf numFmtId="0" fontId="0" fillId="0" borderId="7" xfId="0" applyNumberFormat="1" applyBorder="1"/>
    <xf numFmtId="172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3" xfId="0" applyNumberFormat="1" applyBorder="1" applyAlignment="1">
      <alignment horizontal="center"/>
    </xf>
    <xf numFmtId="174" fontId="0" fillId="0" borderId="2" xfId="0" applyNumberFormat="1" applyBorder="1" applyAlignment="1">
      <alignment horizontal="right"/>
    </xf>
    <xf numFmtId="175" fontId="0" fillId="0" borderId="2" xfId="0" applyNumberFormat="1" applyBorder="1" applyAlignment="1">
      <alignment horizontal="right"/>
    </xf>
    <xf numFmtId="177" fontId="0" fillId="0" borderId="2" xfId="0" applyNumberFormat="1" applyBorder="1" applyAlignment="1"/>
    <xf numFmtId="173" fontId="0" fillId="0" borderId="2" xfId="0" applyNumberFormat="1" applyBorder="1" applyAlignment="1"/>
    <xf numFmtId="174" fontId="0" fillId="0" borderId="5" xfId="0" applyNumberFormat="1" applyBorder="1" applyAlignment="1">
      <alignment horizontal="right"/>
    </xf>
    <xf numFmtId="175" fontId="0" fillId="0" borderId="5" xfId="0" applyNumberFormat="1" applyBorder="1" applyAlignment="1">
      <alignment horizontal="right"/>
    </xf>
    <xf numFmtId="177" fontId="0" fillId="0" borderId="5" xfId="0" applyNumberFormat="1" applyBorder="1" applyAlignment="1"/>
    <xf numFmtId="173" fontId="0" fillId="0" borderId="5" xfId="0" applyNumberFormat="1" applyBorder="1" applyAlignment="1"/>
    <xf numFmtId="176" fontId="0" fillId="0" borderId="7" xfId="0" applyNumberFormat="1" applyBorder="1" applyAlignment="1">
      <alignment horizontal="center"/>
    </xf>
    <xf numFmtId="174" fontId="0" fillId="0" borderId="6" xfId="0" applyNumberFormat="1" applyBorder="1" applyAlignment="1">
      <alignment horizontal="right"/>
    </xf>
    <xf numFmtId="175" fontId="0" fillId="0" borderId="6" xfId="0" applyNumberFormat="1" applyBorder="1" applyAlignment="1">
      <alignment horizontal="right"/>
    </xf>
    <xf numFmtId="177" fontId="0" fillId="0" borderId="6" xfId="0" applyNumberFormat="1" applyBorder="1" applyAlignment="1"/>
    <xf numFmtId="173" fontId="0" fillId="0" borderId="6" xfId="0" applyNumberFormat="1" applyBorder="1" applyAlignment="1"/>
    <xf numFmtId="169" fontId="0" fillId="0" borderId="7" xfId="0" applyNumberFormat="1" applyBorder="1" applyAlignment="1">
      <alignment horizontal="center"/>
    </xf>
    <xf numFmtId="174" fontId="0" fillId="0" borderId="7" xfId="0" applyNumberFormat="1" applyBorder="1" applyAlignment="1">
      <alignment horizontal="right"/>
    </xf>
    <xf numFmtId="175" fontId="0" fillId="0" borderId="7" xfId="0" applyNumberFormat="1" applyBorder="1" applyAlignment="1">
      <alignment horizontal="right"/>
    </xf>
    <xf numFmtId="177" fontId="0" fillId="0" borderId="7" xfId="0" applyNumberFormat="1" applyBorder="1" applyAlignment="1">
      <alignment horizontal="center"/>
    </xf>
    <xf numFmtId="176" fontId="0" fillId="0" borderId="3" xfId="0" applyNumberFormat="1" applyBorder="1" applyAlignment="1">
      <alignment horizontal="right"/>
    </xf>
    <xf numFmtId="176" fontId="0" fillId="0" borderId="7" xfId="0" applyNumberFormat="1" applyBorder="1" applyAlignment="1">
      <alignment horizontal="right"/>
    </xf>
    <xf numFmtId="176" fontId="0" fillId="0" borderId="7" xfId="0" applyNumberFormat="1" applyBorder="1"/>
    <xf numFmtId="169" fontId="0" fillId="0" borderId="7" xfId="0" applyNumberFormat="1" applyBorder="1" applyAlignment="1">
      <alignment horizontal="right"/>
    </xf>
    <xf numFmtId="176" fontId="0" fillId="0" borderId="3" xfId="0" applyNumberFormat="1" applyBorder="1"/>
    <xf numFmtId="164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176" fontId="0" fillId="0" borderId="0" xfId="0" applyNumberFormat="1" applyBorder="1"/>
    <xf numFmtId="172" fontId="0" fillId="0" borderId="6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74" fontId="0" fillId="0" borderId="5" xfId="0" applyNumberFormat="1" applyFill="1" applyBorder="1" applyAlignment="1">
      <alignment horizontal="right"/>
    </xf>
    <xf numFmtId="167" fontId="0" fillId="0" borderId="0" xfId="0" applyNumberForma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172" fontId="0" fillId="0" borderId="0" xfId="0" applyNumberFormat="1" applyBorder="1" applyAlignment="1"/>
    <xf numFmtId="172" fontId="0" fillId="0" borderId="0" xfId="0" applyNumberFormat="1" applyBorder="1"/>
    <xf numFmtId="174" fontId="0" fillId="0" borderId="0" xfId="0" applyNumberFormat="1" applyBorder="1" applyAlignment="1">
      <alignment horizontal="right"/>
    </xf>
    <xf numFmtId="175" fontId="0" fillId="0" borderId="0" xfId="0" applyNumberFormat="1" applyBorder="1" applyAlignment="1">
      <alignment horizontal="right"/>
    </xf>
    <xf numFmtId="177" fontId="0" fillId="0" borderId="0" xfId="0" applyNumberFormat="1" applyBorder="1" applyAlignment="1"/>
    <xf numFmtId="173" fontId="0" fillId="0" borderId="0" xfId="0" applyNumberFormat="1" applyBorder="1" applyAlignment="1"/>
    <xf numFmtId="0" fontId="0" fillId="0" borderId="0" xfId="0" applyBorder="1"/>
    <xf numFmtId="3" fontId="0" fillId="0" borderId="0" xfId="0" applyNumberFormat="1" applyBorder="1"/>
    <xf numFmtId="0" fontId="0" fillId="0" borderId="0" xfId="0" applyNumberFormat="1" applyBorder="1"/>
    <xf numFmtId="169" fontId="0" fillId="0" borderId="0" xfId="0" applyNumberFormat="1" applyBorder="1" applyAlignment="1">
      <alignment horizontal="right"/>
    </xf>
    <xf numFmtId="172" fontId="0" fillId="0" borderId="0" xfId="0" applyNumberFormat="1" applyBorder="1" applyAlignment="1">
      <alignment horizontal="center"/>
    </xf>
    <xf numFmtId="177" fontId="0" fillId="0" borderId="0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0" fontId="0" fillId="0" borderId="10" xfId="0" applyNumberFormat="1" applyBorder="1"/>
    <xf numFmtId="175" fontId="0" fillId="0" borderId="8" xfId="0" applyNumberFormat="1" applyBorder="1" applyAlignment="1">
      <alignment horizontal="right"/>
    </xf>
    <xf numFmtId="174" fontId="0" fillId="0" borderId="8" xfId="0" applyNumberFormat="1" applyBorder="1" applyAlignment="1">
      <alignment horizontal="right"/>
    </xf>
    <xf numFmtId="0" fontId="4" fillId="0" borderId="0" xfId="0" applyNumberFormat="1" applyFont="1" applyBorder="1"/>
    <xf numFmtId="167" fontId="0" fillId="0" borderId="11" xfId="0" applyNumberFormat="1" applyBorder="1" applyAlignment="1">
      <alignment horizontal="center"/>
    </xf>
    <xf numFmtId="169" fontId="0" fillId="0" borderId="12" xfId="0" applyNumberFormat="1" applyBorder="1" applyAlignment="1">
      <alignment horizontal="right"/>
    </xf>
    <xf numFmtId="0" fontId="0" fillId="0" borderId="0" xfId="0" applyNumberFormat="1" applyFill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0" fillId="0" borderId="13" xfId="0" applyNumberFormat="1" applyBorder="1"/>
    <xf numFmtId="172" fontId="0" fillId="0" borderId="4" xfId="0" applyNumberFormat="1" applyBorder="1"/>
    <xf numFmtId="172" fontId="0" fillId="0" borderId="8" xfId="0" applyNumberFormat="1" applyBorder="1"/>
    <xf numFmtId="176" fontId="0" fillId="0" borderId="1" xfId="0" applyNumberFormat="1" applyBorder="1"/>
    <xf numFmtId="0" fontId="0" fillId="0" borderId="0" xfId="0" applyNumberFormat="1" applyBorder="1" applyAlignment="1">
      <alignment horizontal="centerContinuous"/>
    </xf>
    <xf numFmtId="0" fontId="0" fillId="0" borderId="0" xfId="0" applyBorder="1" applyAlignment="1">
      <alignment horizontal="centerContinuous"/>
    </xf>
    <xf numFmtId="4" fontId="0" fillId="0" borderId="0" xfId="0" applyNumberFormat="1" applyBorder="1"/>
    <xf numFmtId="176" fontId="0" fillId="0" borderId="14" xfId="0" applyNumberFormat="1" applyBorder="1"/>
    <xf numFmtId="0" fontId="0" fillId="0" borderId="4" xfId="0" applyNumberFormat="1" applyFill="1" applyBorder="1" applyAlignment="1">
      <alignment horizontal="center"/>
    </xf>
    <xf numFmtId="176" fontId="0" fillId="0" borderId="14" xfId="0" applyNumberFormat="1" applyFill="1" applyBorder="1"/>
    <xf numFmtId="0" fontId="0" fillId="0" borderId="5" xfId="0" applyNumberFormat="1" applyFill="1" applyBorder="1" applyAlignment="1">
      <alignment horizontal="center"/>
    </xf>
    <xf numFmtId="4" fontId="0" fillId="0" borderId="5" xfId="0" applyNumberFormat="1" applyFill="1" applyBorder="1" applyAlignment="1">
      <alignment horizontal="center"/>
    </xf>
    <xf numFmtId="172" fontId="0" fillId="0" borderId="5" xfId="0" applyNumberFormat="1" applyFill="1" applyBorder="1"/>
    <xf numFmtId="175" fontId="0" fillId="0" borderId="5" xfId="0" applyNumberFormat="1" applyFill="1" applyBorder="1" applyAlignment="1">
      <alignment horizontal="right"/>
    </xf>
    <xf numFmtId="177" fontId="0" fillId="0" borderId="5" xfId="0" applyNumberFormat="1" applyFill="1" applyBorder="1" applyAlignment="1"/>
    <xf numFmtId="167" fontId="0" fillId="0" borderId="14" xfId="0" applyNumberFormat="1" applyBorder="1" applyAlignment="1">
      <alignment horizontal="center"/>
    </xf>
    <xf numFmtId="3" fontId="6" fillId="0" borderId="0" xfId="0" applyNumberFormat="1" applyFont="1" applyBorder="1"/>
    <xf numFmtId="0" fontId="6" fillId="0" borderId="0" xfId="0" applyFont="1" applyBorder="1"/>
    <xf numFmtId="0" fontId="6" fillId="0" borderId="6" xfId="0" applyNumberFormat="1" applyFont="1" applyBorder="1" applyAlignment="1">
      <alignment horizontal="center"/>
    </xf>
    <xf numFmtId="172" fontId="6" fillId="0" borderId="6" xfId="0" applyNumberFormat="1" applyFont="1" applyBorder="1" applyAlignment="1"/>
    <xf numFmtId="0" fontId="0" fillId="0" borderId="4" xfId="0" applyBorder="1"/>
    <xf numFmtId="0" fontId="0" fillId="0" borderId="14" xfId="0" applyBorder="1"/>
    <xf numFmtId="3" fontId="0" fillId="0" borderId="8" xfId="0" applyNumberFormat="1" applyBorder="1" applyAlignment="1">
      <alignment horizontal="center"/>
    </xf>
    <xf numFmtId="174" fontId="0" fillId="0" borderId="13" xfId="0" applyNumberFormat="1" applyBorder="1" applyAlignment="1">
      <alignment horizontal="right"/>
    </xf>
    <xf numFmtId="3" fontId="0" fillId="0" borderId="13" xfId="0" applyNumberFormat="1" applyBorder="1" applyAlignment="1">
      <alignment horizontal="center"/>
    </xf>
    <xf numFmtId="0" fontId="0" fillId="0" borderId="11" xfId="0" applyNumberFormat="1" applyBorder="1"/>
    <xf numFmtId="169" fontId="0" fillId="0" borderId="10" xfId="0" applyNumberFormat="1" applyBorder="1" applyAlignment="1">
      <alignment horizontal="right"/>
    </xf>
    <xf numFmtId="172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174" fontId="0" fillId="0" borderId="10" xfId="0" applyNumberFormat="1" applyBorder="1" applyAlignment="1">
      <alignment horizontal="right"/>
    </xf>
    <xf numFmtId="175" fontId="0" fillId="0" borderId="10" xfId="0" applyNumberFormat="1" applyBorder="1" applyAlignment="1">
      <alignment horizontal="right"/>
    </xf>
    <xf numFmtId="177" fontId="0" fillId="0" borderId="10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173" fontId="0" fillId="0" borderId="5" xfId="0" applyNumberFormat="1" applyFill="1" applyBorder="1" applyAlignment="1"/>
    <xf numFmtId="173" fontId="0" fillId="0" borderId="4" xfId="0" applyNumberFormat="1" applyBorder="1" applyAlignment="1"/>
    <xf numFmtId="167" fontId="6" fillId="0" borderId="9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173" fontId="0" fillId="0" borderId="8" xfId="0" applyNumberFormat="1" applyBorder="1" applyAlignment="1"/>
    <xf numFmtId="176" fontId="0" fillId="0" borderId="0" xfId="0" applyNumberFormat="1" applyBorder="1" applyAlignment="1">
      <alignment horizontal="center"/>
    </xf>
    <xf numFmtId="172" fontId="0" fillId="0" borderId="7" xfId="0" applyNumberFormat="1" applyBorder="1"/>
    <xf numFmtId="170" fontId="0" fillId="0" borderId="0" xfId="0" applyNumberFormat="1" applyBorder="1"/>
    <xf numFmtId="0" fontId="0" fillId="0" borderId="14" xfId="0" applyNumberFormat="1" applyBorder="1" applyAlignment="1">
      <alignment horizontal="center"/>
    </xf>
    <xf numFmtId="0" fontId="0" fillId="0" borderId="0" xfId="0" applyFill="1" applyBorder="1"/>
    <xf numFmtId="0" fontId="4" fillId="0" borderId="0" xfId="0" applyNumberFormat="1" applyFont="1" applyFill="1" applyBorder="1"/>
    <xf numFmtId="0" fontId="0" fillId="0" borderId="1" xfId="0" applyNumberFormat="1" applyBorder="1" applyAlignment="1">
      <alignment horizontal="centerContinuous"/>
    </xf>
    <xf numFmtId="0" fontId="0" fillId="0" borderId="15" xfId="0" applyBorder="1"/>
    <xf numFmtId="0" fontId="0" fillId="0" borderId="3" xfId="0" applyNumberFormat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14" xfId="0" applyBorder="1" applyAlignment="1">
      <alignment horizontal="center"/>
    </xf>
    <xf numFmtId="0" fontId="0" fillId="0" borderId="8" xfId="0" applyBorder="1"/>
    <xf numFmtId="167" fontId="0" fillId="0" borderId="10" xfId="0" applyNumberFormat="1" applyFill="1" applyBorder="1" applyAlignment="1">
      <alignment horizontal="center"/>
    </xf>
    <xf numFmtId="0" fontId="0" fillId="0" borderId="10" xfId="0" applyNumberFormat="1" applyFill="1" applyBorder="1" applyAlignment="1">
      <alignment horizontal="center"/>
    </xf>
    <xf numFmtId="0" fontId="0" fillId="0" borderId="10" xfId="0" applyNumberFormat="1" applyFill="1" applyBorder="1"/>
    <xf numFmtId="176" fontId="0" fillId="0" borderId="10" xfId="0" applyNumberFormat="1" applyFill="1" applyBorder="1"/>
    <xf numFmtId="176" fontId="0" fillId="0" borderId="0" xfId="0" applyNumberFormat="1" applyBorder="1" applyAlignment="1">
      <alignment horizontal="right"/>
    </xf>
    <xf numFmtId="170" fontId="0" fillId="0" borderId="0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76" fontId="0" fillId="0" borderId="13" xfId="0" applyNumberFormat="1" applyBorder="1"/>
    <xf numFmtId="176" fontId="0" fillId="0" borderId="11" xfId="0" applyNumberFormat="1" applyBorder="1"/>
    <xf numFmtId="0" fontId="0" fillId="0" borderId="7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8" xfId="0" applyNumberFormat="1" applyBorder="1" applyAlignment="1">
      <alignment horizontal="right"/>
    </xf>
    <xf numFmtId="167" fontId="0" fillId="0" borderId="1" xfId="0" applyNumberFormat="1" applyFon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15" xfId="0" applyNumberFormat="1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167" fontId="0" fillId="0" borderId="8" xfId="0" applyNumberFormat="1" applyFont="1" applyBorder="1" applyAlignment="1">
      <alignment horizontal="center"/>
    </xf>
    <xf numFmtId="168" fontId="0" fillId="0" borderId="7" xfId="0" applyNumberFormat="1" applyFont="1" applyBorder="1" applyAlignment="1">
      <alignment horizontal="center"/>
    </xf>
    <xf numFmtId="168" fontId="0" fillId="0" borderId="8" xfId="0" applyNumberFormat="1" applyFont="1" applyBorder="1" applyAlignment="1">
      <alignment horizontal="center"/>
    </xf>
    <xf numFmtId="0" fontId="0" fillId="0" borderId="9" xfId="0" applyNumberFormat="1" applyFont="1" applyBorder="1" applyAlignment="1">
      <alignment horizontal="center"/>
    </xf>
    <xf numFmtId="0" fontId="0" fillId="0" borderId="7" xfId="0" applyNumberFormat="1" applyFont="1" applyBorder="1" applyAlignment="1">
      <alignment horizontal="center"/>
    </xf>
    <xf numFmtId="0" fontId="0" fillId="0" borderId="6" xfId="0" applyNumberFormat="1" applyFont="1" applyBorder="1" applyAlignment="1">
      <alignment horizontal="center"/>
    </xf>
    <xf numFmtId="169" fontId="0" fillId="0" borderId="0" xfId="0" applyNumberFormat="1"/>
    <xf numFmtId="181" fontId="0" fillId="0" borderId="2" xfId="0" applyNumberFormat="1" applyBorder="1" applyAlignment="1">
      <alignment horizontal="right"/>
    </xf>
    <xf numFmtId="181" fontId="0" fillId="0" borderId="5" xfId="0" applyNumberFormat="1" applyBorder="1" applyAlignment="1">
      <alignment horizontal="right"/>
    </xf>
    <xf numFmtId="181" fontId="0" fillId="0" borderId="8" xfId="0" applyNumberFormat="1" applyBorder="1" applyAlignment="1">
      <alignment horizontal="right"/>
    </xf>
    <xf numFmtId="176" fontId="0" fillId="0" borderId="9" xfId="0" applyNumberFormat="1" applyBorder="1" applyAlignment="1">
      <alignment horizontal="right"/>
    </xf>
    <xf numFmtId="165" fontId="0" fillId="0" borderId="5" xfId="0" applyNumberFormat="1" applyBorder="1" applyAlignment="1">
      <alignment horizontal="center"/>
    </xf>
    <xf numFmtId="176" fontId="0" fillId="0" borderId="14" xfId="0" applyNumberFormat="1" applyBorder="1" applyAlignment="1">
      <alignment horizontal="center"/>
    </xf>
    <xf numFmtId="176" fontId="0" fillId="0" borderId="14" xfId="0" applyNumberFormat="1" applyFill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179" fontId="0" fillId="0" borderId="5" xfId="0" applyNumberFormat="1" applyBorder="1" applyAlignment="1">
      <alignment horizontal="right"/>
    </xf>
    <xf numFmtId="167" fontId="0" fillId="0" borderId="14" xfId="0" applyNumberFormat="1" applyFill="1" applyBorder="1" applyAlignment="1">
      <alignment horizontal="center"/>
    </xf>
    <xf numFmtId="168" fontId="0" fillId="0" borderId="4" xfId="0" applyNumberFormat="1" applyFill="1" applyBorder="1" applyAlignment="1">
      <alignment horizontal="center"/>
    </xf>
    <xf numFmtId="179" fontId="0" fillId="0" borderId="5" xfId="0" applyNumberFormat="1" applyFill="1" applyBorder="1" applyAlignment="1">
      <alignment horizontal="right"/>
    </xf>
    <xf numFmtId="176" fontId="0" fillId="0" borderId="0" xfId="0" applyNumberFormat="1" applyFill="1" applyBorder="1" applyAlignment="1">
      <alignment horizontal="center"/>
    </xf>
    <xf numFmtId="172" fontId="0" fillId="0" borderId="5" xfId="0" applyNumberFormat="1" applyFill="1" applyBorder="1" applyAlignment="1"/>
    <xf numFmtId="0" fontId="0" fillId="0" borderId="0" xfId="0" applyFill="1"/>
    <xf numFmtId="0" fontId="4" fillId="0" borderId="0" xfId="0" applyNumberFormat="1" applyFont="1" applyFill="1"/>
    <xf numFmtId="174" fontId="0" fillId="0" borderId="4" xfId="0" applyNumberFormat="1" applyFill="1" applyBorder="1" applyAlignment="1">
      <alignment horizontal="right"/>
    </xf>
    <xf numFmtId="175" fontId="0" fillId="0" borderId="4" xfId="0" applyNumberFormat="1" applyFill="1" applyBorder="1" applyAlignment="1">
      <alignment horizontal="right"/>
    </xf>
    <xf numFmtId="173" fontId="0" fillId="0" borderId="4" xfId="0" applyNumberFormat="1" applyFill="1" applyBorder="1" applyAlignment="1"/>
    <xf numFmtId="3" fontId="0" fillId="0" borderId="0" xfId="0" applyNumberFormat="1" applyFill="1" applyBorder="1"/>
    <xf numFmtId="179" fontId="0" fillId="0" borderId="6" xfId="0" applyNumberFormat="1" applyBorder="1" applyAlignment="1">
      <alignment horizontal="right"/>
    </xf>
    <xf numFmtId="179" fontId="0" fillId="0" borderId="8" xfId="0" applyNumberFormat="1" applyBorder="1" applyAlignment="1">
      <alignment horizontal="right"/>
    </xf>
    <xf numFmtId="179" fontId="0" fillId="0" borderId="1" xfId="0" applyNumberFormat="1" applyBorder="1" applyAlignment="1">
      <alignment horizontal="right"/>
    </xf>
    <xf numFmtId="179" fontId="0" fillId="0" borderId="4" xfId="0" applyNumberFormat="1" applyBorder="1" applyAlignment="1">
      <alignment horizontal="right"/>
    </xf>
    <xf numFmtId="0" fontId="0" fillId="0" borderId="5" xfId="0" applyNumberFormat="1" applyBorder="1" applyAlignment="1">
      <alignment horizontal="centerContinuous"/>
    </xf>
    <xf numFmtId="174" fontId="0" fillId="0" borderId="5" xfId="0" applyNumberFormat="1" applyBorder="1" applyAlignment="1">
      <alignment horizontal="center"/>
    </xf>
    <xf numFmtId="178" fontId="0" fillId="0" borderId="5" xfId="0" applyNumberFormat="1" applyBorder="1" applyAlignment="1">
      <alignment horizontal="center"/>
    </xf>
    <xf numFmtId="174" fontId="0" fillId="0" borderId="5" xfId="0" applyNumberFormat="1" applyFill="1" applyBorder="1" applyAlignment="1">
      <alignment horizontal="center"/>
    </xf>
    <xf numFmtId="172" fontId="0" fillId="0" borderId="6" xfId="0" applyNumberFormat="1" applyFill="1" applyBorder="1"/>
    <xf numFmtId="174" fontId="0" fillId="0" borderId="6" xfId="0" applyNumberFormat="1" applyFill="1" applyBorder="1" applyAlignment="1">
      <alignment horizontal="center"/>
    </xf>
    <xf numFmtId="175" fontId="0" fillId="0" borderId="6" xfId="0" applyNumberFormat="1" applyFill="1" applyBorder="1" applyAlignment="1">
      <alignment horizontal="right"/>
    </xf>
    <xf numFmtId="177" fontId="0" fillId="0" borderId="6" xfId="0" applyNumberFormat="1" applyFill="1" applyBorder="1" applyAlignment="1"/>
    <xf numFmtId="173" fontId="0" fillId="0" borderId="6" xfId="0" applyNumberFormat="1" applyFill="1" applyBorder="1" applyAlignment="1"/>
    <xf numFmtId="174" fontId="0" fillId="0" borderId="4" xfId="0" applyNumberFormat="1" applyBorder="1" applyAlignment="1">
      <alignment horizontal="right"/>
    </xf>
    <xf numFmtId="175" fontId="0" fillId="0" borderId="4" xfId="0" applyNumberFormat="1" applyBorder="1" applyAlignment="1">
      <alignment horizontal="right"/>
    </xf>
    <xf numFmtId="0" fontId="0" fillId="0" borderId="5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180" fontId="0" fillId="0" borderId="3" xfId="0" applyNumberFormat="1" applyFont="1" applyBorder="1" applyAlignment="1">
      <alignment horizontal="right"/>
    </xf>
    <xf numFmtId="182" fontId="0" fillId="0" borderId="14" xfId="0" applyNumberFormat="1" applyFont="1" applyBorder="1" applyAlignment="1">
      <alignment horizontal="center"/>
    </xf>
    <xf numFmtId="180" fontId="0" fillId="0" borderId="2" xfId="0" applyNumberFormat="1" applyFont="1" applyBorder="1" applyAlignment="1">
      <alignment horizontal="right"/>
    </xf>
    <xf numFmtId="180" fontId="0" fillId="0" borderId="1" xfId="0" applyNumberFormat="1" applyFont="1" applyBorder="1" applyAlignment="1">
      <alignment horizontal="right"/>
    </xf>
    <xf numFmtId="182" fontId="0" fillId="0" borderId="2" xfId="0" applyNumberFormat="1" applyFont="1" applyBorder="1" applyAlignment="1">
      <alignment horizontal="right"/>
    </xf>
    <xf numFmtId="182" fontId="0" fillId="0" borderId="1" xfId="0" applyNumberFormat="1" applyFont="1" applyBorder="1" applyAlignment="1">
      <alignment horizontal="right"/>
    </xf>
    <xf numFmtId="182" fontId="0" fillId="0" borderId="0" xfId="0" applyNumberFormat="1"/>
    <xf numFmtId="180" fontId="0" fillId="0" borderId="6" xfId="0" applyNumberFormat="1" applyFont="1" applyBorder="1" applyAlignment="1">
      <alignment horizontal="right"/>
    </xf>
    <xf numFmtId="182" fontId="0" fillId="0" borderId="9" xfId="0" applyNumberFormat="1" applyFont="1" applyBorder="1" applyAlignment="1">
      <alignment horizontal="center"/>
    </xf>
    <xf numFmtId="180" fontId="0" fillId="0" borderId="8" xfId="0" applyNumberFormat="1" applyFont="1" applyBorder="1" applyAlignment="1">
      <alignment horizontal="right"/>
    </xf>
    <xf numFmtId="182" fontId="0" fillId="0" borderId="6" xfId="0" applyNumberFormat="1" applyFont="1" applyBorder="1" applyAlignment="1">
      <alignment horizontal="right"/>
    </xf>
    <xf numFmtId="182" fontId="0" fillId="0" borderId="8" xfId="0" applyNumberFormat="1" applyFont="1" applyBorder="1" applyAlignment="1">
      <alignment horizontal="right"/>
    </xf>
    <xf numFmtId="182" fontId="0" fillId="0" borderId="14" xfId="0" applyNumberFormat="1" applyBorder="1" applyAlignment="1">
      <alignment horizontal="center"/>
    </xf>
    <xf numFmtId="0" fontId="0" fillId="0" borderId="6" xfId="0" applyBorder="1"/>
    <xf numFmtId="182" fontId="0" fillId="0" borderId="2" xfId="0" applyNumberFormat="1" applyBorder="1" applyAlignment="1">
      <alignment horizontal="right"/>
    </xf>
    <xf numFmtId="182" fontId="0" fillId="0" borderId="9" xfId="0" applyNumberFormat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184" fontId="0" fillId="0" borderId="5" xfId="0" applyNumberFormat="1" applyBorder="1" applyAlignment="1">
      <alignment horizontal="center"/>
    </xf>
    <xf numFmtId="182" fontId="0" fillId="0" borderId="14" xfId="0" applyNumberFormat="1" applyFont="1" applyFill="1" applyBorder="1" applyAlignment="1">
      <alignment horizontal="right"/>
    </xf>
    <xf numFmtId="178" fontId="0" fillId="0" borderId="14" xfId="0" applyNumberFormat="1" applyBorder="1" applyAlignment="1">
      <alignment horizontal="centerContinuous"/>
    </xf>
    <xf numFmtId="178" fontId="0" fillId="0" borderId="5" xfId="0" applyNumberFormat="1" applyBorder="1" applyAlignment="1">
      <alignment horizontal="centerContinuous"/>
    </xf>
    <xf numFmtId="0" fontId="0" fillId="0" borderId="15" xfId="0" applyNumberFormat="1" applyBorder="1" applyAlignment="1">
      <alignment horizontal="centerContinuous"/>
    </xf>
    <xf numFmtId="0" fontId="0" fillId="0" borderId="2" xfId="0" applyNumberFormat="1" applyBorder="1" applyAlignment="1">
      <alignment horizontal="centerContinuous"/>
    </xf>
    <xf numFmtId="0" fontId="0" fillId="0" borderId="14" xfId="0" applyNumberFormat="1" applyBorder="1" applyAlignment="1">
      <alignment horizontal="centerContinuous"/>
    </xf>
    <xf numFmtId="176" fontId="0" fillId="0" borderId="9" xfId="0" applyNumberFormat="1" applyBorder="1" applyAlignment="1">
      <alignment horizontal="centerContinuous"/>
    </xf>
    <xf numFmtId="176" fontId="0" fillId="0" borderId="6" xfId="0" applyNumberFormat="1" applyBorder="1" applyAlignment="1">
      <alignment horizontal="centerContinuous"/>
    </xf>
    <xf numFmtId="176" fontId="0" fillId="0" borderId="15" xfId="0" applyNumberFormat="1" applyFill="1" applyBorder="1" applyAlignment="1">
      <alignment horizontal="centerContinuous"/>
    </xf>
    <xf numFmtId="176" fontId="0" fillId="0" borderId="2" xfId="0" applyNumberFormat="1" applyFill="1" applyBorder="1" applyAlignment="1">
      <alignment horizontal="centerContinuous"/>
    </xf>
    <xf numFmtId="176" fontId="0" fillId="0" borderId="14" xfId="0" applyNumberFormat="1" applyFill="1" applyBorder="1" applyAlignment="1">
      <alignment horizontal="centerContinuous"/>
    </xf>
    <xf numFmtId="176" fontId="0" fillId="0" borderId="5" xfId="0" applyNumberFormat="1" applyFill="1" applyBorder="1" applyAlignment="1">
      <alignment horizontal="centerContinuous"/>
    </xf>
    <xf numFmtId="176" fontId="0" fillId="0" borderId="9" xfId="0" applyNumberFormat="1" applyFill="1" applyBorder="1" applyAlignment="1">
      <alignment horizontal="centerContinuous"/>
    </xf>
    <xf numFmtId="176" fontId="0" fillId="0" borderId="6" xfId="0" applyNumberFormat="1" applyFill="1" applyBorder="1" applyAlignment="1">
      <alignment horizontal="centerContinuous"/>
    </xf>
    <xf numFmtId="1" fontId="0" fillId="0" borderId="0" xfId="0" applyNumberFormat="1"/>
    <xf numFmtId="180" fontId="0" fillId="0" borderId="0" xfId="0" applyNumberFormat="1" applyFont="1" applyBorder="1" applyAlignment="1">
      <alignment horizontal="right"/>
    </xf>
    <xf numFmtId="182" fontId="0" fillId="0" borderId="0" xfId="0" applyNumberFormat="1" applyFont="1" applyFill="1" applyBorder="1" applyAlignment="1">
      <alignment horizontal="right"/>
    </xf>
    <xf numFmtId="171" fontId="0" fillId="0" borderId="0" xfId="0" applyNumberFormat="1" applyFill="1" applyBorder="1" applyAlignment="1">
      <alignment horizontal="center"/>
    </xf>
    <xf numFmtId="173" fontId="0" fillId="0" borderId="1" xfId="0" applyNumberFormat="1" applyBorder="1" applyAlignment="1"/>
    <xf numFmtId="169" fontId="0" fillId="0" borderId="10" xfId="0" applyNumberFormat="1" applyBorder="1"/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center"/>
    </xf>
    <xf numFmtId="176" fontId="0" fillId="0" borderId="10" xfId="0" applyNumberFormat="1" applyBorder="1"/>
    <xf numFmtId="173" fontId="0" fillId="0" borderId="12" xfId="0" applyNumberFormat="1" applyBorder="1" applyAlignment="1"/>
    <xf numFmtId="177" fontId="0" fillId="0" borderId="10" xfId="0" applyNumberFormat="1" applyBorder="1" applyAlignment="1"/>
    <xf numFmtId="168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76" fontId="0" fillId="0" borderId="10" xfId="0" applyNumberFormat="1" applyBorder="1" applyAlignment="1">
      <alignment horizontal="center"/>
    </xf>
    <xf numFmtId="176" fontId="0" fillId="0" borderId="12" xfId="0" applyNumberFormat="1" applyBorder="1"/>
    <xf numFmtId="176" fontId="0" fillId="0" borderId="12" xfId="0" applyNumberFormat="1" applyBorder="1" applyAlignment="1">
      <alignment horizontal="center"/>
    </xf>
    <xf numFmtId="180" fontId="0" fillId="0" borderId="10" xfId="0" applyNumberFormat="1" applyBorder="1"/>
    <xf numFmtId="180" fontId="0" fillId="0" borderId="10" xfId="0" applyNumberFormat="1" applyFont="1" applyBorder="1" applyAlignment="1">
      <alignment horizontal="right"/>
    </xf>
    <xf numFmtId="169" fontId="0" fillId="0" borderId="12" xfId="0" applyNumberFormat="1" applyBorder="1"/>
    <xf numFmtId="168" fontId="6" fillId="0" borderId="8" xfId="0" applyNumberFormat="1" applyFont="1" applyBorder="1" applyAlignment="1">
      <alignment horizontal="center"/>
    </xf>
    <xf numFmtId="186" fontId="6" fillId="0" borderId="0" xfId="1" applyNumberFormat="1" applyFont="1"/>
    <xf numFmtId="182" fontId="0" fillId="0" borderId="0" xfId="0" applyNumberFormat="1" applyBorder="1"/>
    <xf numFmtId="0" fontId="0" fillId="0" borderId="7" xfId="0" applyBorder="1" applyAlignment="1">
      <alignment horizontal="right"/>
    </xf>
    <xf numFmtId="180" fontId="0" fillId="0" borderId="7" xfId="0" applyNumberFormat="1" applyBorder="1"/>
    <xf numFmtId="169" fontId="0" fillId="0" borderId="7" xfId="0" applyNumberFormat="1" applyBorder="1"/>
    <xf numFmtId="180" fontId="0" fillId="0" borderId="5" xfId="0" applyNumberFormat="1" applyFont="1" applyFill="1" applyBorder="1" applyAlignment="1">
      <alignment horizontal="right"/>
    </xf>
    <xf numFmtId="183" fontId="0" fillId="0" borderId="0" xfId="0" applyNumberFormat="1"/>
    <xf numFmtId="185" fontId="0" fillId="0" borderId="0" xfId="0" applyNumberFormat="1"/>
    <xf numFmtId="170" fontId="0" fillId="0" borderId="0" xfId="0" applyNumberFormat="1"/>
    <xf numFmtId="170" fontId="0" fillId="0" borderId="0" xfId="0" applyNumberFormat="1" applyAlignment="1">
      <alignment horizontal="centerContinuous"/>
    </xf>
    <xf numFmtId="168" fontId="0" fillId="0" borderId="3" xfId="0" applyNumberFormat="1" applyBorder="1" applyAlignment="1" applyProtection="1">
      <alignment horizontal="center"/>
      <protection locked="0"/>
    </xf>
    <xf numFmtId="180" fontId="0" fillId="0" borderId="4" xfId="0" applyNumberFormat="1" applyFont="1" applyBorder="1" applyAlignment="1">
      <alignment horizontal="right"/>
    </xf>
    <xf numFmtId="180" fontId="0" fillId="0" borderId="7" xfId="0" applyNumberFormat="1" applyFont="1" applyBorder="1" applyAlignment="1">
      <alignment horizontal="right"/>
    </xf>
    <xf numFmtId="168" fontId="0" fillId="0" borderId="7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NumberFormat="1" applyAlignment="1" applyProtection="1">
      <alignment horizontal="center"/>
      <protection locked="0"/>
    </xf>
    <xf numFmtId="0" fontId="0" fillId="0" borderId="4" xfId="0" applyNumberFormat="1" applyBorder="1" applyAlignment="1" applyProtection="1">
      <alignment horizontal="centerContinuous"/>
      <protection locked="0"/>
    </xf>
    <xf numFmtId="0" fontId="0" fillId="0" borderId="3" xfId="0" applyNumberFormat="1" applyBorder="1" applyAlignment="1" applyProtection="1">
      <alignment horizont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0" fontId="0" fillId="0" borderId="7" xfId="0" applyBorder="1"/>
    <xf numFmtId="0" fontId="0" fillId="0" borderId="13" xfId="0" applyBorder="1"/>
    <xf numFmtId="187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0" fontId="0" fillId="0" borderId="0" xfId="0" applyProtection="1">
      <protection locked="0"/>
    </xf>
    <xf numFmtId="0" fontId="0" fillId="0" borderId="3" xfId="0" applyNumberFormat="1" applyBorder="1" applyProtection="1">
      <protection locked="0"/>
    </xf>
    <xf numFmtId="0" fontId="0" fillId="0" borderId="1" xfId="0" applyNumberFormat="1" applyBorder="1" applyProtection="1">
      <protection locked="0"/>
    </xf>
    <xf numFmtId="0" fontId="0" fillId="0" borderId="0" xfId="0" applyNumberForma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0" fillId="0" borderId="4" xfId="0" applyNumberFormat="1" applyBorder="1" applyAlignment="1" applyProtection="1">
      <alignment horizontal="center"/>
      <protection locked="0"/>
    </xf>
    <xf numFmtId="186" fontId="0" fillId="0" borderId="0" xfId="1" applyNumberFormat="1" applyFont="1"/>
    <xf numFmtId="0" fontId="0" fillId="0" borderId="15" xfId="0" applyNumberFormat="1" applyBorder="1" applyAlignment="1" applyProtection="1">
      <alignment horizontal="center"/>
      <protection locked="0"/>
    </xf>
    <xf numFmtId="0" fontId="0" fillId="0" borderId="0" xfId="0" applyNumberFormat="1" applyBorder="1" applyAlignment="1" applyProtection="1">
      <alignment horizontal="center"/>
      <protection locked="0"/>
    </xf>
    <xf numFmtId="0" fontId="0" fillId="0" borderId="7" xfId="0" applyNumberFormat="1" applyBorder="1" applyAlignment="1" applyProtection="1">
      <alignment horizontal="center"/>
      <protection locked="0"/>
    </xf>
    <xf numFmtId="0" fontId="0" fillId="0" borderId="8" xfId="0" applyNumberFormat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right"/>
      <protection locked="0"/>
    </xf>
    <xf numFmtId="0" fontId="0" fillId="0" borderId="3" xfId="0" applyNumberFormat="1" applyBorder="1" applyAlignment="1" applyProtection="1">
      <alignment horizontal="center"/>
    </xf>
    <xf numFmtId="0" fontId="0" fillId="0" borderId="1" xfId="0" applyNumberFormat="1" applyBorder="1" applyAlignment="1" applyProtection="1">
      <alignment horizontal="center"/>
    </xf>
    <xf numFmtId="180" fontId="0" fillId="0" borderId="3" xfId="0" applyNumberFormat="1" applyFont="1" applyBorder="1" applyAlignment="1" applyProtection="1">
      <alignment horizontal="right"/>
    </xf>
    <xf numFmtId="182" fontId="0" fillId="0" borderId="14" xfId="0" applyNumberFormat="1" applyBorder="1" applyAlignment="1" applyProtection="1">
      <alignment horizontal="center"/>
    </xf>
    <xf numFmtId="180" fontId="0" fillId="0" borderId="2" xfId="0" applyNumberFormat="1" applyFont="1" applyBorder="1" applyAlignment="1" applyProtection="1">
      <alignment horizontal="right"/>
    </xf>
    <xf numFmtId="180" fontId="0" fillId="0" borderId="1" xfId="0" applyNumberFormat="1" applyFont="1" applyBorder="1" applyAlignment="1" applyProtection="1">
      <alignment horizontal="right"/>
    </xf>
    <xf numFmtId="182" fontId="0" fillId="0" borderId="2" xfId="0" applyNumberFormat="1" applyFont="1" applyBorder="1" applyAlignment="1" applyProtection="1">
      <alignment horizontal="right"/>
    </xf>
    <xf numFmtId="182" fontId="0" fillId="0" borderId="1" xfId="0" applyNumberFormat="1" applyFont="1" applyBorder="1" applyAlignment="1" applyProtection="1">
      <alignment horizontal="right"/>
    </xf>
    <xf numFmtId="0" fontId="3" fillId="0" borderId="0" xfId="0" applyNumberFormat="1" applyFont="1" applyProtection="1"/>
    <xf numFmtId="0" fontId="0" fillId="0" borderId="0" xfId="0" applyProtection="1"/>
    <xf numFmtId="0" fontId="3" fillId="0" borderId="0" xfId="0" applyNumberFormat="1" applyFont="1" applyAlignment="1" applyProtection="1">
      <alignment horizontal="right"/>
    </xf>
    <xf numFmtId="0" fontId="0" fillId="0" borderId="0" xfId="0" applyNumberFormat="1" applyProtection="1"/>
    <xf numFmtId="0" fontId="0" fillId="0" borderId="2" xfId="0" applyNumberFormat="1" applyBorder="1" applyAlignment="1" applyProtection="1">
      <alignment horizontal="center"/>
    </xf>
    <xf numFmtId="0" fontId="0" fillId="0" borderId="2" xfId="0" applyNumberFormat="1" applyFont="1" applyBorder="1" applyAlignment="1" applyProtection="1">
      <alignment horizontal="center"/>
    </xf>
    <xf numFmtId="0" fontId="0" fillId="0" borderId="3" xfId="0" applyNumberFormat="1" applyBorder="1" applyProtection="1"/>
    <xf numFmtId="0" fontId="0" fillId="0" borderId="1" xfId="0" applyNumberFormat="1" applyBorder="1" applyProtection="1"/>
    <xf numFmtId="172" fontId="0" fillId="0" borderId="2" xfId="0" applyNumberFormat="1" applyBorder="1" applyProtection="1"/>
    <xf numFmtId="0" fontId="0" fillId="0" borderId="4" xfId="0" applyNumberFormat="1" applyBorder="1" applyAlignment="1" applyProtection="1">
      <alignment horizontal="center"/>
    </xf>
    <xf numFmtId="0" fontId="0" fillId="0" borderId="5" xfId="0" applyNumberFormat="1" applyBorder="1" applyAlignment="1" applyProtection="1">
      <alignment horizontal="center"/>
    </xf>
    <xf numFmtId="0" fontId="0" fillId="0" borderId="4" xfId="0" applyBorder="1" applyProtection="1"/>
    <xf numFmtId="0" fontId="0" fillId="0" borderId="0" xfId="0" applyNumberFormat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0" fontId="0" fillId="0" borderId="4" xfId="0" applyNumberFormat="1" applyBorder="1" applyAlignment="1" applyProtection="1">
      <alignment horizontal="centerContinuous"/>
    </xf>
    <xf numFmtId="0" fontId="0" fillId="0" borderId="5" xfId="0" applyNumberFormat="1" applyBorder="1" applyAlignment="1" applyProtection="1">
      <alignment horizontal="centerContinuous"/>
    </xf>
    <xf numFmtId="172" fontId="0" fillId="0" borderId="5" xfId="0" applyNumberFormat="1" applyBorder="1" applyProtection="1"/>
    <xf numFmtId="0" fontId="0" fillId="0" borderId="5" xfId="0" applyNumberFormat="1" applyFont="1" applyBorder="1" applyAlignment="1" applyProtection="1">
      <alignment horizontal="center"/>
    </xf>
    <xf numFmtId="0" fontId="0" fillId="0" borderId="0" xfId="0" applyNumberFormat="1" applyAlignment="1" applyProtection="1">
      <alignment horizontal="center"/>
    </xf>
    <xf numFmtId="184" fontId="0" fillId="0" borderId="5" xfId="0" applyNumberFormat="1" applyBorder="1" applyAlignment="1" applyProtection="1">
      <alignment horizontal="center"/>
    </xf>
    <xf numFmtId="0" fontId="0" fillId="0" borderId="8" xfId="0" applyNumberFormat="1" applyBorder="1" applyAlignment="1" applyProtection="1">
      <alignment horizontal="center"/>
    </xf>
    <xf numFmtId="0" fontId="0" fillId="0" borderId="6" xfId="0" applyNumberFormat="1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172" fontId="0" fillId="0" borderId="5" xfId="0" applyNumberFormat="1" applyBorder="1" applyAlignment="1" applyProtection="1">
      <alignment horizontal="center"/>
    </xf>
    <xf numFmtId="171" fontId="0" fillId="0" borderId="6" xfId="0" applyNumberFormat="1" applyBorder="1" applyAlignment="1" applyProtection="1">
      <alignment horizontal="center"/>
    </xf>
    <xf numFmtId="167" fontId="0" fillId="0" borderId="1" xfId="0" applyNumberFormat="1" applyFont="1" applyBorder="1" applyAlignment="1" applyProtection="1">
      <alignment horizontal="center"/>
    </xf>
    <xf numFmtId="168" fontId="0" fillId="0" borderId="3" xfId="0" applyNumberFormat="1" applyBorder="1" applyAlignment="1" applyProtection="1">
      <alignment horizontal="center"/>
    </xf>
    <xf numFmtId="168" fontId="0" fillId="0" borderId="1" xfId="0" applyNumberFormat="1" applyBorder="1" applyAlignment="1" applyProtection="1">
      <alignment horizontal="center"/>
    </xf>
    <xf numFmtId="182" fontId="0" fillId="0" borderId="14" xfId="0" applyNumberFormat="1" applyFont="1" applyBorder="1" applyAlignment="1" applyProtection="1">
      <alignment horizontal="center"/>
    </xf>
    <xf numFmtId="167" fontId="0" fillId="0" borderId="8" xfId="0" applyNumberFormat="1" applyFont="1" applyBorder="1" applyAlignment="1" applyProtection="1">
      <alignment horizontal="center"/>
    </xf>
    <xf numFmtId="168" fontId="0" fillId="0" borderId="7" xfId="0" applyNumberFormat="1" applyFont="1" applyBorder="1" applyAlignment="1" applyProtection="1">
      <alignment horizontal="center"/>
    </xf>
    <xf numFmtId="168" fontId="0" fillId="0" borderId="8" xfId="0" applyNumberFormat="1" applyFont="1" applyBorder="1" applyAlignment="1" applyProtection="1">
      <alignment horizontal="center"/>
    </xf>
    <xf numFmtId="180" fontId="0" fillId="0" borderId="6" xfId="0" applyNumberFormat="1" applyFont="1" applyBorder="1" applyAlignment="1" applyProtection="1">
      <alignment horizontal="right"/>
    </xf>
    <xf numFmtId="182" fontId="0" fillId="0" borderId="9" xfId="0" applyNumberFormat="1" applyBorder="1" applyAlignment="1" applyProtection="1">
      <alignment horizontal="center"/>
    </xf>
    <xf numFmtId="180" fontId="0" fillId="0" borderId="8" xfId="0" applyNumberFormat="1" applyFont="1" applyBorder="1" applyAlignment="1" applyProtection="1">
      <alignment horizontal="right"/>
    </xf>
    <xf numFmtId="182" fontId="0" fillId="0" borderId="6" xfId="0" applyNumberFormat="1" applyFont="1" applyBorder="1" applyAlignment="1" applyProtection="1">
      <alignment horizontal="right"/>
    </xf>
    <xf numFmtId="182" fontId="0" fillId="0" borderId="8" xfId="0" applyNumberFormat="1" applyFont="1" applyBorder="1" applyAlignment="1" applyProtection="1">
      <alignment horizontal="right"/>
    </xf>
    <xf numFmtId="0" fontId="0" fillId="0" borderId="15" xfId="0" applyNumberFormat="1" applyBorder="1" applyAlignment="1" applyProtection="1">
      <alignment horizontal="center"/>
    </xf>
    <xf numFmtId="0" fontId="0" fillId="0" borderId="0" xfId="0" applyNumberFormat="1" applyBorder="1" applyAlignment="1" applyProtection="1">
      <alignment horizontal="center"/>
    </xf>
    <xf numFmtId="182" fontId="0" fillId="0" borderId="9" xfId="0" applyNumberFormat="1" applyFont="1" applyBorder="1" applyAlignment="1" applyProtection="1">
      <alignment horizontal="center"/>
    </xf>
    <xf numFmtId="180" fontId="0" fillId="0" borderId="4" xfId="0" applyNumberFormat="1" applyFont="1" applyBorder="1" applyAlignment="1" applyProtection="1">
      <alignment horizontal="right"/>
    </xf>
    <xf numFmtId="180" fontId="0" fillId="0" borderId="7" xfId="0" applyNumberFormat="1" applyFont="1" applyBorder="1" applyAlignment="1" applyProtection="1">
      <alignment horizontal="right"/>
    </xf>
    <xf numFmtId="0" fontId="0" fillId="0" borderId="7" xfId="0" applyNumberFormat="1" applyBorder="1" applyAlignment="1" applyProtection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9" xfId="0" applyNumberFormat="1" applyBorder="1" applyAlignment="1" applyProtection="1">
      <alignment horizontal="center"/>
      <protection locked="0"/>
    </xf>
    <xf numFmtId="167" fontId="0" fillId="0" borderId="4" xfId="0" applyNumberFormat="1" applyFont="1" applyBorder="1" applyAlignment="1">
      <alignment horizontal="center"/>
    </xf>
    <xf numFmtId="180" fontId="0" fillId="0" borderId="5" xfId="0" applyNumberFormat="1" applyFont="1" applyBorder="1" applyAlignment="1">
      <alignment horizontal="right"/>
    </xf>
    <xf numFmtId="182" fontId="0" fillId="0" borderId="5" xfId="0" applyNumberFormat="1" applyFont="1" applyBorder="1" applyAlignment="1">
      <alignment horizontal="right"/>
    </xf>
    <xf numFmtId="182" fontId="0" fillId="0" borderId="4" xfId="0" applyNumberFormat="1" applyFont="1" applyBorder="1" applyAlignment="1">
      <alignment horizontal="right"/>
    </xf>
    <xf numFmtId="0" fontId="0" fillId="0" borderId="5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</cellXfs>
  <cellStyles count="6">
    <cellStyle name="Prozent" xfId="1" builtinId="5"/>
    <cellStyle name="Prozent 2" xfId="2"/>
    <cellStyle name="Standard" xfId="0" builtinId="0"/>
    <cellStyle name="Standard 2 2" xfId="3"/>
    <cellStyle name="Standard 4" xfId="4"/>
    <cellStyle name="Standard 5" xf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OE540%20Statistik%20u%20Vergleichsrechnung\GEWINNE\GEWZQU\LoM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OE540%20Statistik%20u%20Vergleichsrechnung\GEWINNE\GEWZQU\19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1_aktue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MI96"/>
    </sheetNames>
    <sheetDataSet>
      <sheetData sheetId="0">
        <row r="2">
          <cell r="A2" t="str">
            <v>Lotto am Mittwoch 2mal 6 aus 49</v>
          </cell>
          <cell r="AF2" t="str">
            <v>Gewinnzahlen und Quoten der 1. - 26. Veranstaltung 1996</v>
          </cell>
        </row>
        <row r="3">
          <cell r="A3" t="str">
            <v>Alle Zahlenangaben ohne Gewähr</v>
          </cell>
          <cell r="AB3" t="str">
            <v xml:space="preserve">         (Öffentliche Ziehung im Deutschen Fernsehen - ZDF)</v>
          </cell>
        </row>
        <row r="4">
          <cell r="J4" t="str">
            <v>Zu-</v>
          </cell>
          <cell r="L4" t="str">
            <v>Spieleinsatz</v>
          </cell>
          <cell r="M4" t="str">
            <v>Gewinnklasse I</v>
          </cell>
          <cell r="P4" t="str">
            <v>Gewinnklasse II</v>
          </cell>
          <cell r="S4" t="str">
            <v xml:space="preserve"> Gewinnklasse III</v>
          </cell>
          <cell r="V4" t="str">
            <v>Gewinnklasse IV</v>
          </cell>
          <cell r="Y4" t="str">
            <v>Gewinnklasse V</v>
          </cell>
          <cell r="AB4" t="str">
            <v>Gewinnklasse VI</v>
          </cell>
          <cell r="AE4" t="str">
            <v>Gewinnklasse VII</v>
          </cell>
        </row>
        <row r="5">
          <cell r="A5" t="str">
            <v>VA</v>
          </cell>
          <cell r="B5">
            <v>1996</v>
          </cell>
          <cell r="C5" t="str">
            <v>Ziehung</v>
          </cell>
          <cell r="D5" t="str">
            <v>Gewinnzahlen in</v>
          </cell>
          <cell r="J5" t="str">
            <v>satz-</v>
          </cell>
          <cell r="K5" t="str">
            <v>Super-</v>
          </cell>
          <cell r="L5" t="str">
            <v>A und B</v>
          </cell>
          <cell r="M5" t="str">
            <v xml:space="preserve"> 6 Treffer + 1 Superzahl</v>
          </cell>
          <cell r="P5" t="str">
            <v xml:space="preserve"> 6 Treffer</v>
          </cell>
          <cell r="S5" t="str">
            <v>5 Treffer + Zusatzzahl</v>
          </cell>
          <cell r="V5" t="str">
            <v>5 Treffer</v>
          </cell>
          <cell r="Y5" t="str">
            <v>4 Treffer</v>
          </cell>
          <cell r="AB5" t="str">
            <v>3 Treffer + Zusatzzahl</v>
          </cell>
          <cell r="AE5" t="str">
            <v>3 Treffer</v>
          </cell>
        </row>
        <row r="6">
          <cell r="D6" t="str">
            <v>gezogener Reihenfolge</v>
          </cell>
          <cell r="J6" t="str">
            <v>zahl</v>
          </cell>
          <cell r="K6" t="str">
            <v>zahl</v>
          </cell>
          <cell r="L6" t="str">
            <v>DM</v>
          </cell>
          <cell r="M6" t="str">
            <v>Gewinne/Jackpot      DM</v>
          </cell>
          <cell r="P6" t="str">
            <v>Gewinne/Jackpot      DM</v>
          </cell>
          <cell r="S6" t="str">
            <v>Gewinne</v>
          </cell>
          <cell r="T6" t="str">
            <v>DM</v>
          </cell>
          <cell r="V6" t="str">
            <v>Gewinne</v>
          </cell>
          <cell r="W6" t="str">
            <v>DM</v>
          </cell>
          <cell r="Y6" t="str">
            <v>Gewinne</v>
          </cell>
          <cell r="Z6" t="str">
            <v>DM</v>
          </cell>
          <cell r="AB6" t="str">
            <v>Gewinne</v>
          </cell>
          <cell r="AC6" t="str">
            <v>DM</v>
          </cell>
          <cell r="AE6" t="str">
            <v>Gewinne</v>
          </cell>
          <cell r="AF6" t="str">
            <v>DM</v>
          </cell>
        </row>
        <row r="7">
          <cell r="A7">
            <v>1</v>
          </cell>
          <cell r="B7" t="str">
            <v>03.01.</v>
          </cell>
          <cell r="C7" t="str">
            <v>A</v>
          </cell>
          <cell r="D7">
            <v>25</v>
          </cell>
          <cell r="E7">
            <v>10</v>
          </cell>
          <cell r="F7">
            <v>39</v>
          </cell>
          <cell r="G7">
            <v>30</v>
          </cell>
          <cell r="H7">
            <v>45</v>
          </cell>
          <cell r="I7">
            <v>47</v>
          </cell>
          <cell r="J7">
            <v>37</v>
          </cell>
          <cell r="K7" t="str">
            <v>2+6</v>
          </cell>
          <cell r="L7">
            <v>27342578.75</v>
          </cell>
          <cell r="M7" t="str">
            <v>JP</v>
          </cell>
          <cell r="N7">
            <v>3216791.2</v>
          </cell>
          <cell r="O7" t="str">
            <v>JP</v>
          </cell>
          <cell r="P7">
            <v>2</v>
          </cell>
          <cell r="Q7">
            <v>683564.4</v>
          </cell>
          <cell r="R7" t="str">
            <v/>
          </cell>
          <cell r="S7">
            <v>17</v>
          </cell>
          <cell r="T7">
            <v>48251.6</v>
          </cell>
          <cell r="U7" t="str">
            <v/>
          </cell>
          <cell r="V7">
            <v>863</v>
          </cell>
          <cell r="W7">
            <v>3009.9</v>
          </cell>
          <cell r="X7" t="str">
            <v/>
          </cell>
          <cell r="Y7">
            <v>45132</v>
          </cell>
          <cell r="Z7">
            <v>51.4</v>
          </cell>
          <cell r="AA7" t="str">
            <v/>
          </cell>
          <cell r="AB7">
            <v>56568</v>
          </cell>
          <cell r="AC7">
            <v>21.7</v>
          </cell>
          <cell r="AD7" t="str">
            <v/>
          </cell>
          <cell r="AE7">
            <v>741725</v>
          </cell>
          <cell r="AF7">
            <v>4.9000000000000004</v>
          </cell>
        </row>
        <row r="8">
          <cell r="C8" t="str">
            <v>B</v>
          </cell>
          <cell r="D8">
            <v>19</v>
          </cell>
          <cell r="E8">
            <v>24</v>
          </cell>
          <cell r="F8">
            <v>25</v>
          </cell>
          <cell r="G8">
            <v>35</v>
          </cell>
          <cell r="H8">
            <v>30</v>
          </cell>
          <cell r="I8">
            <v>41</v>
          </cell>
          <cell r="J8">
            <v>20</v>
          </cell>
          <cell r="K8" t="str">
            <v>2+6</v>
          </cell>
        </row>
        <row r="9">
          <cell r="A9">
            <v>2</v>
          </cell>
          <cell r="B9" t="str">
            <v>10.01.</v>
          </cell>
          <cell r="C9" t="str">
            <v>A</v>
          </cell>
          <cell r="D9">
            <v>30</v>
          </cell>
          <cell r="E9">
            <v>23</v>
          </cell>
          <cell r="F9">
            <v>47</v>
          </cell>
          <cell r="G9">
            <v>41</v>
          </cell>
          <cell r="H9">
            <v>15</v>
          </cell>
          <cell r="I9">
            <v>44</v>
          </cell>
          <cell r="J9">
            <v>45</v>
          </cell>
          <cell r="K9" t="str">
            <v>3+9</v>
          </cell>
          <cell r="L9">
            <v>31661275</v>
          </cell>
          <cell r="M9" t="str">
            <v>JP</v>
          </cell>
          <cell r="N9">
            <v>5116467.7</v>
          </cell>
          <cell r="O9" t="str">
            <v>JP</v>
          </cell>
          <cell r="P9" t="str">
            <v>JP</v>
          </cell>
          <cell r="Q9">
            <v>1583063.7</v>
          </cell>
          <cell r="R9" t="str">
            <v>JP</v>
          </cell>
          <cell r="S9">
            <v>8</v>
          </cell>
          <cell r="T9">
            <v>118729.7</v>
          </cell>
          <cell r="U9" t="str">
            <v/>
          </cell>
          <cell r="V9">
            <v>893</v>
          </cell>
          <cell r="W9">
            <v>3368.2</v>
          </cell>
          <cell r="X9" t="str">
            <v/>
          </cell>
          <cell r="Y9">
            <v>38462</v>
          </cell>
          <cell r="Z9">
            <v>69.900000000000006</v>
          </cell>
          <cell r="AA9" t="str">
            <v/>
          </cell>
          <cell r="AB9">
            <v>55352</v>
          </cell>
          <cell r="AC9">
            <v>25.7</v>
          </cell>
          <cell r="AD9" t="str">
            <v/>
          </cell>
          <cell r="AE9">
            <v>712850</v>
          </cell>
          <cell r="AF9">
            <v>5.9</v>
          </cell>
        </row>
        <row r="10">
          <cell r="C10" t="str">
            <v>B</v>
          </cell>
          <cell r="D10">
            <v>44</v>
          </cell>
          <cell r="E10">
            <v>5</v>
          </cell>
          <cell r="F10">
            <v>39</v>
          </cell>
          <cell r="G10">
            <v>38</v>
          </cell>
          <cell r="H10">
            <v>37</v>
          </cell>
          <cell r="I10">
            <v>43</v>
          </cell>
          <cell r="J10">
            <v>31</v>
          </cell>
          <cell r="K10" t="str">
            <v>3+9</v>
          </cell>
        </row>
        <row r="11">
          <cell r="A11">
            <v>3</v>
          </cell>
          <cell r="B11" t="str">
            <v>17.01.</v>
          </cell>
          <cell r="C11" t="str">
            <v>A</v>
          </cell>
          <cell r="D11">
            <v>46</v>
          </cell>
          <cell r="E11">
            <v>18</v>
          </cell>
          <cell r="F11">
            <v>7</v>
          </cell>
          <cell r="G11">
            <v>26</v>
          </cell>
          <cell r="H11">
            <v>49</v>
          </cell>
          <cell r="I11">
            <v>22</v>
          </cell>
          <cell r="J11">
            <v>5</v>
          </cell>
          <cell r="K11" t="str">
            <v>7+1</v>
          </cell>
          <cell r="L11">
            <v>30712228.75</v>
          </cell>
          <cell r="M11" t="str">
            <v>JP</v>
          </cell>
          <cell r="N11">
            <v>6959201.4000000004</v>
          </cell>
          <cell r="O11" t="str">
            <v>JP</v>
          </cell>
          <cell r="P11">
            <v>2</v>
          </cell>
          <cell r="Q11">
            <v>1559337.5</v>
          </cell>
          <cell r="R11" t="str">
            <v/>
          </cell>
          <cell r="S11">
            <v>18</v>
          </cell>
          <cell r="T11">
            <v>51187</v>
          </cell>
          <cell r="U11" t="str">
            <v/>
          </cell>
          <cell r="V11">
            <v>699</v>
          </cell>
          <cell r="W11">
            <v>4174</v>
          </cell>
          <cell r="X11" t="str">
            <v/>
          </cell>
          <cell r="Y11">
            <v>41240</v>
          </cell>
          <cell r="Z11">
            <v>63.3</v>
          </cell>
          <cell r="AA11" t="str">
            <v/>
          </cell>
          <cell r="AB11">
            <v>52259</v>
          </cell>
          <cell r="AC11">
            <v>26.4</v>
          </cell>
          <cell r="AD11" t="str">
            <v/>
          </cell>
          <cell r="AE11">
            <v>754967</v>
          </cell>
          <cell r="AF11">
            <v>5.4</v>
          </cell>
        </row>
        <row r="12">
          <cell r="C12" t="str">
            <v>B</v>
          </cell>
          <cell r="D12">
            <v>20</v>
          </cell>
          <cell r="E12">
            <v>18</v>
          </cell>
          <cell r="F12">
            <v>40</v>
          </cell>
          <cell r="G12">
            <v>46</v>
          </cell>
          <cell r="H12">
            <v>43</v>
          </cell>
          <cell r="I12">
            <v>32</v>
          </cell>
          <cell r="J12">
            <v>29</v>
          </cell>
          <cell r="K12" t="str">
            <v>7+1</v>
          </cell>
        </row>
        <row r="13">
          <cell r="A13">
            <v>4</v>
          </cell>
          <cell r="B13" t="str">
            <v>24.01.</v>
          </cell>
          <cell r="C13" t="str">
            <v>A</v>
          </cell>
          <cell r="D13">
            <v>36</v>
          </cell>
          <cell r="E13">
            <v>7</v>
          </cell>
          <cell r="F13">
            <v>39</v>
          </cell>
          <cell r="G13">
            <v>1</v>
          </cell>
          <cell r="H13">
            <v>43</v>
          </cell>
          <cell r="I13">
            <v>34</v>
          </cell>
          <cell r="J13">
            <v>40</v>
          </cell>
          <cell r="K13" t="str">
            <v>9+7</v>
          </cell>
          <cell r="L13">
            <v>30757988.75</v>
          </cell>
          <cell r="M13">
            <v>1</v>
          </cell>
          <cell r="N13">
            <v>8804680.6999999993</v>
          </cell>
          <cell r="O13" t="str">
            <v/>
          </cell>
          <cell r="P13">
            <v>10</v>
          </cell>
          <cell r="Q13">
            <v>153789.9</v>
          </cell>
          <cell r="R13" t="str">
            <v/>
          </cell>
          <cell r="S13">
            <v>23</v>
          </cell>
          <cell r="T13">
            <v>40119.1</v>
          </cell>
          <cell r="U13" t="str">
            <v/>
          </cell>
          <cell r="V13">
            <v>2084</v>
          </cell>
          <cell r="W13">
            <v>1402.1</v>
          </cell>
          <cell r="X13" t="str">
            <v/>
          </cell>
          <cell r="Y13">
            <v>43714</v>
          </cell>
          <cell r="Z13">
            <v>59.8</v>
          </cell>
          <cell r="AA13" t="str">
            <v/>
          </cell>
          <cell r="AB13">
            <v>51112</v>
          </cell>
          <cell r="AC13">
            <v>27</v>
          </cell>
          <cell r="AD13" t="str">
            <v/>
          </cell>
          <cell r="AE13">
            <v>789933</v>
          </cell>
          <cell r="AF13">
            <v>5.2</v>
          </cell>
        </row>
        <row r="14">
          <cell r="C14" t="str">
            <v>B</v>
          </cell>
          <cell r="D14">
            <v>10</v>
          </cell>
          <cell r="E14">
            <v>17</v>
          </cell>
          <cell r="F14">
            <v>35</v>
          </cell>
          <cell r="G14">
            <v>41</v>
          </cell>
          <cell r="H14">
            <v>49</v>
          </cell>
          <cell r="I14">
            <v>7</v>
          </cell>
          <cell r="J14">
            <v>24</v>
          </cell>
          <cell r="K14" t="str">
            <v>9+7</v>
          </cell>
        </row>
        <row r="15">
          <cell r="A15">
            <v>5</v>
          </cell>
          <cell r="B15" t="str">
            <v>31.01.</v>
          </cell>
          <cell r="C15" t="str">
            <v>A</v>
          </cell>
          <cell r="D15">
            <v>31</v>
          </cell>
          <cell r="E15">
            <v>16</v>
          </cell>
          <cell r="F15">
            <v>44</v>
          </cell>
          <cell r="G15">
            <v>19</v>
          </cell>
          <cell r="H15">
            <v>29</v>
          </cell>
          <cell r="I15">
            <v>9</v>
          </cell>
          <cell r="J15">
            <v>46</v>
          </cell>
          <cell r="K15" t="str">
            <v>2+1</v>
          </cell>
          <cell r="L15">
            <v>29224587.5</v>
          </cell>
          <cell r="M15">
            <v>1</v>
          </cell>
          <cell r="N15">
            <v>1753475.2</v>
          </cell>
          <cell r="O15" t="str">
            <v/>
          </cell>
          <cell r="P15">
            <v>3</v>
          </cell>
          <cell r="Q15">
            <v>487076.4</v>
          </cell>
          <cell r="R15" t="str">
            <v/>
          </cell>
          <cell r="S15">
            <v>26</v>
          </cell>
          <cell r="T15">
            <v>33720.6</v>
          </cell>
          <cell r="U15" t="str">
            <v/>
          </cell>
          <cell r="V15">
            <v>886</v>
          </cell>
          <cell r="W15">
            <v>3133.5</v>
          </cell>
          <cell r="X15" t="str">
            <v/>
          </cell>
          <cell r="Y15">
            <v>50277</v>
          </cell>
          <cell r="Z15">
            <v>49.4</v>
          </cell>
          <cell r="AA15" t="str">
            <v/>
          </cell>
          <cell r="AB15">
            <v>59865</v>
          </cell>
          <cell r="AC15">
            <v>21.9</v>
          </cell>
          <cell r="AD15" t="str">
            <v/>
          </cell>
          <cell r="AE15">
            <v>797186</v>
          </cell>
          <cell r="AF15">
            <v>4.9000000000000004</v>
          </cell>
        </row>
        <row r="16">
          <cell r="C16" t="str">
            <v>B</v>
          </cell>
          <cell r="D16">
            <v>17</v>
          </cell>
          <cell r="E16">
            <v>14</v>
          </cell>
          <cell r="F16">
            <v>30</v>
          </cell>
          <cell r="G16">
            <v>16</v>
          </cell>
          <cell r="H16">
            <v>15</v>
          </cell>
          <cell r="I16">
            <v>3</v>
          </cell>
          <cell r="J16">
            <v>12</v>
          </cell>
          <cell r="K16" t="str">
            <v>2+1</v>
          </cell>
        </row>
        <row r="17">
          <cell r="A17">
            <v>6</v>
          </cell>
          <cell r="B17" t="str">
            <v>07.02.</v>
          </cell>
          <cell r="C17" t="str">
            <v>A</v>
          </cell>
          <cell r="D17">
            <v>1</v>
          </cell>
          <cell r="E17">
            <v>47</v>
          </cell>
          <cell r="F17">
            <v>2</v>
          </cell>
          <cell r="G17">
            <v>20</v>
          </cell>
          <cell r="H17">
            <v>14</v>
          </cell>
          <cell r="I17">
            <v>7</v>
          </cell>
          <cell r="J17">
            <v>38</v>
          </cell>
          <cell r="K17" t="str">
            <v>5+1</v>
          </cell>
          <cell r="L17">
            <v>78855990</v>
          </cell>
          <cell r="M17" t="str">
            <v>JP</v>
          </cell>
          <cell r="N17">
            <v>4731359.4000000004</v>
          </cell>
          <cell r="O17" t="str">
            <v>JP</v>
          </cell>
          <cell r="P17" t="str">
            <v>JP</v>
          </cell>
          <cell r="Q17">
            <v>3942799.5</v>
          </cell>
          <cell r="R17" t="str">
            <v>JP</v>
          </cell>
          <cell r="S17">
            <v>33</v>
          </cell>
          <cell r="T17">
            <v>71687.199999999997</v>
          </cell>
          <cell r="U17" t="str">
            <v/>
          </cell>
          <cell r="V17">
            <v>1824</v>
          </cell>
          <cell r="W17">
            <v>4107</v>
          </cell>
          <cell r="X17" t="str">
            <v/>
          </cell>
          <cell r="Y17">
            <v>119713</v>
          </cell>
          <cell r="Z17">
            <v>55.9</v>
          </cell>
          <cell r="AA17" t="str">
            <v/>
          </cell>
          <cell r="AB17">
            <v>147297</v>
          </cell>
          <cell r="AC17">
            <v>24</v>
          </cell>
          <cell r="AD17" t="str">
            <v/>
          </cell>
          <cell r="AE17">
            <v>2009476</v>
          </cell>
          <cell r="AF17">
            <v>5.2</v>
          </cell>
        </row>
        <row r="18">
          <cell r="C18" t="str">
            <v>B</v>
          </cell>
          <cell r="D18">
            <v>31</v>
          </cell>
          <cell r="E18">
            <v>34</v>
          </cell>
          <cell r="F18">
            <v>33</v>
          </cell>
          <cell r="G18">
            <v>7</v>
          </cell>
          <cell r="H18">
            <v>35</v>
          </cell>
          <cell r="I18">
            <v>47</v>
          </cell>
          <cell r="J18">
            <v>11</v>
          </cell>
          <cell r="K18" t="str">
            <v>5+1</v>
          </cell>
        </row>
        <row r="19">
          <cell r="A19">
            <v>7</v>
          </cell>
          <cell r="B19" t="str">
            <v>14.02.</v>
          </cell>
          <cell r="C19" t="str">
            <v>A</v>
          </cell>
          <cell r="D19">
            <v>14</v>
          </cell>
          <cell r="E19">
            <v>3</v>
          </cell>
          <cell r="F19">
            <v>28</v>
          </cell>
          <cell r="G19">
            <v>15</v>
          </cell>
          <cell r="H19">
            <v>12</v>
          </cell>
          <cell r="I19">
            <v>18</v>
          </cell>
          <cell r="J19">
            <v>21</v>
          </cell>
          <cell r="K19" t="str">
            <v>9+7</v>
          </cell>
          <cell r="L19">
            <v>31506178.75</v>
          </cell>
          <cell r="M19" t="str">
            <v>JP</v>
          </cell>
          <cell r="N19">
            <v>6621730.0999999996</v>
          </cell>
          <cell r="O19" t="str">
            <v>JP</v>
          </cell>
          <cell r="P19">
            <v>2</v>
          </cell>
          <cell r="Q19">
            <v>2759054.2</v>
          </cell>
          <cell r="R19" t="str">
            <v/>
          </cell>
          <cell r="S19">
            <v>15</v>
          </cell>
          <cell r="T19">
            <v>63012.3</v>
          </cell>
          <cell r="U19" t="str">
            <v/>
          </cell>
          <cell r="V19">
            <v>816</v>
          </cell>
          <cell r="W19">
            <v>3667.9</v>
          </cell>
          <cell r="X19" t="str">
            <v/>
          </cell>
          <cell r="Y19">
            <v>53318</v>
          </cell>
          <cell r="Z19">
            <v>50.2</v>
          </cell>
          <cell r="AA19" t="str">
            <v/>
          </cell>
          <cell r="AB19">
            <v>65375</v>
          </cell>
          <cell r="AC19">
            <v>21.6</v>
          </cell>
          <cell r="AD19" t="str">
            <v/>
          </cell>
          <cell r="AE19">
            <v>890055</v>
          </cell>
          <cell r="AF19">
            <v>4.7</v>
          </cell>
        </row>
        <row r="20">
          <cell r="C20" t="str">
            <v>B</v>
          </cell>
          <cell r="D20">
            <v>12</v>
          </cell>
          <cell r="E20">
            <v>18</v>
          </cell>
          <cell r="F20">
            <v>44</v>
          </cell>
          <cell r="G20">
            <v>42</v>
          </cell>
          <cell r="H20">
            <v>4</v>
          </cell>
          <cell r="I20">
            <v>19</v>
          </cell>
          <cell r="J20">
            <v>49</v>
          </cell>
          <cell r="K20" t="str">
            <v>9+7</v>
          </cell>
        </row>
        <row r="21">
          <cell r="A21">
            <v>8</v>
          </cell>
          <cell r="B21" t="str">
            <v>21.02.</v>
          </cell>
          <cell r="C21" t="str">
            <v>A</v>
          </cell>
          <cell r="D21">
            <v>31</v>
          </cell>
          <cell r="E21">
            <v>28</v>
          </cell>
          <cell r="F21">
            <v>23</v>
          </cell>
          <cell r="G21">
            <v>39</v>
          </cell>
          <cell r="H21">
            <v>21</v>
          </cell>
          <cell r="I21">
            <v>20</v>
          </cell>
          <cell r="J21">
            <v>5</v>
          </cell>
          <cell r="K21" t="str">
            <v>9+5</v>
          </cell>
          <cell r="L21">
            <v>30878938.75</v>
          </cell>
          <cell r="M21">
            <v>1</v>
          </cell>
          <cell r="N21">
            <v>8474466.4000000004</v>
          </cell>
          <cell r="O21" t="str">
            <v/>
          </cell>
          <cell r="P21">
            <v>1</v>
          </cell>
          <cell r="Q21">
            <v>1543946.9</v>
          </cell>
          <cell r="R21" t="str">
            <v/>
          </cell>
          <cell r="S21">
            <v>19</v>
          </cell>
          <cell r="T21">
            <v>48756.2</v>
          </cell>
          <cell r="U21" t="str">
            <v/>
          </cell>
          <cell r="V21">
            <v>875</v>
          </cell>
          <cell r="W21">
            <v>3352.5</v>
          </cell>
          <cell r="X21" t="str">
            <v/>
          </cell>
          <cell r="Y21">
            <v>43023</v>
          </cell>
          <cell r="Z21">
            <v>61</v>
          </cell>
          <cell r="AA21" t="str">
            <v/>
          </cell>
          <cell r="AB21">
            <v>70345</v>
          </cell>
          <cell r="AC21">
            <v>19.7</v>
          </cell>
          <cell r="AD21" t="str">
            <v/>
          </cell>
          <cell r="AE21">
            <v>764487</v>
          </cell>
          <cell r="AF21">
            <v>5.4</v>
          </cell>
        </row>
        <row r="22">
          <cell r="C22" t="str">
            <v>B</v>
          </cell>
          <cell r="D22">
            <v>3</v>
          </cell>
          <cell r="E22">
            <v>23</v>
          </cell>
          <cell r="F22">
            <v>46</v>
          </cell>
          <cell r="G22">
            <v>45</v>
          </cell>
          <cell r="H22">
            <v>5</v>
          </cell>
          <cell r="I22">
            <v>24</v>
          </cell>
          <cell r="J22">
            <v>12</v>
          </cell>
          <cell r="K22" t="str">
            <v>9+5</v>
          </cell>
        </row>
        <row r="23">
          <cell r="A23">
            <v>9</v>
          </cell>
          <cell r="B23" t="str">
            <v>28.02.</v>
          </cell>
          <cell r="C23" t="str">
            <v>A</v>
          </cell>
          <cell r="D23">
            <v>2</v>
          </cell>
          <cell r="E23">
            <v>28</v>
          </cell>
          <cell r="F23">
            <v>31</v>
          </cell>
          <cell r="G23">
            <v>42</v>
          </cell>
          <cell r="H23">
            <v>10</v>
          </cell>
          <cell r="I23">
            <v>7</v>
          </cell>
          <cell r="J23">
            <v>37</v>
          </cell>
          <cell r="K23" t="str">
            <v>3+0</v>
          </cell>
          <cell r="L23">
            <v>33181873.75</v>
          </cell>
          <cell r="M23">
            <v>1</v>
          </cell>
          <cell r="N23">
            <v>1990912.4</v>
          </cell>
          <cell r="O23" t="str">
            <v/>
          </cell>
          <cell r="P23">
            <v>7</v>
          </cell>
          <cell r="Q23">
            <v>237013.3</v>
          </cell>
          <cell r="R23" t="str">
            <v/>
          </cell>
          <cell r="S23">
            <v>40</v>
          </cell>
          <cell r="T23">
            <v>24886.400000000001</v>
          </cell>
          <cell r="U23" t="str">
            <v/>
          </cell>
          <cell r="V23">
            <v>1448</v>
          </cell>
          <cell r="W23">
            <v>2176.9</v>
          </cell>
          <cell r="X23" t="str">
            <v/>
          </cell>
          <cell r="Y23">
            <v>61603</v>
          </cell>
          <cell r="Z23">
            <v>45.7</v>
          </cell>
          <cell r="AA23" t="str">
            <v/>
          </cell>
          <cell r="AB23">
            <v>78761</v>
          </cell>
          <cell r="AC23">
            <v>18.899999999999999</v>
          </cell>
          <cell r="AD23" t="str">
            <v/>
          </cell>
          <cell r="AE23">
            <v>965611</v>
          </cell>
          <cell r="AF23">
            <v>4.5999999999999996</v>
          </cell>
        </row>
        <row r="24">
          <cell r="C24" t="str">
            <v>B</v>
          </cell>
          <cell r="D24">
            <v>27</v>
          </cell>
          <cell r="E24">
            <v>24</v>
          </cell>
          <cell r="F24">
            <v>39</v>
          </cell>
          <cell r="G24">
            <v>38</v>
          </cell>
          <cell r="H24">
            <v>25</v>
          </cell>
          <cell r="I24">
            <v>40</v>
          </cell>
          <cell r="J24">
            <v>12</v>
          </cell>
          <cell r="K24" t="str">
            <v>3+0</v>
          </cell>
        </row>
        <row r="25">
          <cell r="A25">
            <v>10</v>
          </cell>
          <cell r="B25" t="str">
            <v>06.03.</v>
          </cell>
          <cell r="C25" t="str">
            <v>A</v>
          </cell>
          <cell r="D25">
            <v>13</v>
          </cell>
          <cell r="E25">
            <v>49</v>
          </cell>
          <cell r="F25">
            <v>14</v>
          </cell>
          <cell r="G25">
            <v>3</v>
          </cell>
          <cell r="H25">
            <v>10</v>
          </cell>
          <cell r="I25">
            <v>19</v>
          </cell>
          <cell r="J25">
            <v>39</v>
          </cell>
          <cell r="K25" t="str">
            <v>5+9</v>
          </cell>
          <cell r="L25">
            <v>30082287.5</v>
          </cell>
          <cell r="M25" t="str">
            <v>JP</v>
          </cell>
          <cell r="N25">
            <v>1804937.2</v>
          </cell>
          <cell r="O25" t="str">
            <v>JP</v>
          </cell>
          <cell r="P25">
            <v>3</v>
          </cell>
          <cell r="Q25">
            <v>501371.4</v>
          </cell>
          <cell r="R25" t="str">
            <v/>
          </cell>
          <cell r="S25">
            <v>18</v>
          </cell>
          <cell r="T25">
            <v>50137.1</v>
          </cell>
          <cell r="U25" t="str">
            <v/>
          </cell>
          <cell r="V25">
            <v>846</v>
          </cell>
          <cell r="W25">
            <v>3378</v>
          </cell>
          <cell r="X25" t="str">
            <v/>
          </cell>
          <cell r="Y25">
            <v>53241</v>
          </cell>
          <cell r="Z25">
            <v>48</v>
          </cell>
          <cell r="AA25" t="str">
            <v/>
          </cell>
          <cell r="AB25">
            <v>61133</v>
          </cell>
          <cell r="AC25">
            <v>22.1</v>
          </cell>
          <cell r="AD25" t="str">
            <v/>
          </cell>
          <cell r="AE25">
            <v>919327</v>
          </cell>
          <cell r="AF25">
            <v>4.4000000000000004</v>
          </cell>
        </row>
        <row r="26">
          <cell r="C26" t="str">
            <v>B</v>
          </cell>
          <cell r="D26">
            <v>5</v>
          </cell>
          <cell r="E26">
            <v>11</v>
          </cell>
          <cell r="F26">
            <v>32</v>
          </cell>
          <cell r="G26">
            <v>19</v>
          </cell>
          <cell r="H26">
            <v>48</v>
          </cell>
          <cell r="I26">
            <v>15</v>
          </cell>
          <cell r="J26">
            <v>45</v>
          </cell>
          <cell r="K26" t="str">
            <v>5+9</v>
          </cell>
        </row>
        <row r="27">
          <cell r="A27">
            <v>11</v>
          </cell>
          <cell r="B27" t="str">
            <v>13.03.</v>
          </cell>
          <cell r="C27" t="str">
            <v>A</v>
          </cell>
          <cell r="D27">
            <v>28</v>
          </cell>
          <cell r="E27">
            <v>4</v>
          </cell>
          <cell r="F27">
            <v>3</v>
          </cell>
          <cell r="G27">
            <v>13</v>
          </cell>
          <cell r="H27">
            <v>16</v>
          </cell>
          <cell r="I27">
            <v>36</v>
          </cell>
          <cell r="J27">
            <v>6</v>
          </cell>
          <cell r="K27" t="str">
            <v>4+2</v>
          </cell>
          <cell r="L27">
            <v>29521688.75</v>
          </cell>
          <cell r="M27" t="str">
            <v>JP</v>
          </cell>
          <cell r="N27">
            <v>3576238.5</v>
          </cell>
          <cell r="O27" t="str">
            <v>JP</v>
          </cell>
          <cell r="P27" t="str">
            <v>JP</v>
          </cell>
          <cell r="Q27">
            <v>1476084.4</v>
          </cell>
          <cell r="R27" t="str">
            <v>JP</v>
          </cell>
          <cell r="S27">
            <v>56</v>
          </cell>
          <cell r="T27">
            <v>15815.1</v>
          </cell>
          <cell r="U27" t="str">
            <v/>
          </cell>
          <cell r="V27">
            <v>1002</v>
          </cell>
          <cell r="W27">
            <v>2798.9</v>
          </cell>
          <cell r="X27" t="str">
            <v/>
          </cell>
          <cell r="Y27">
            <v>52682</v>
          </cell>
          <cell r="Z27">
            <v>47.6</v>
          </cell>
          <cell r="AA27" t="str">
            <v/>
          </cell>
          <cell r="AB27">
            <v>67614</v>
          </cell>
          <cell r="AC27">
            <v>19.600000000000001</v>
          </cell>
          <cell r="AD27" t="str">
            <v/>
          </cell>
          <cell r="AE27">
            <v>842584</v>
          </cell>
          <cell r="AF27">
            <v>4.7</v>
          </cell>
        </row>
        <row r="28">
          <cell r="C28" t="str">
            <v>B</v>
          </cell>
          <cell r="D28">
            <v>6</v>
          </cell>
          <cell r="E28">
            <v>36</v>
          </cell>
          <cell r="F28">
            <v>33</v>
          </cell>
          <cell r="G28">
            <v>3</v>
          </cell>
          <cell r="H28">
            <v>13</v>
          </cell>
          <cell r="I28">
            <v>22</v>
          </cell>
          <cell r="J28">
            <v>16</v>
          </cell>
          <cell r="K28" t="str">
            <v>4+2</v>
          </cell>
        </row>
        <row r="29">
          <cell r="A29">
            <v>12</v>
          </cell>
          <cell r="B29" t="str">
            <v>20.03.</v>
          </cell>
          <cell r="C29" t="str">
            <v>A</v>
          </cell>
          <cell r="D29">
            <v>37</v>
          </cell>
          <cell r="E29">
            <v>40</v>
          </cell>
          <cell r="F29">
            <v>45</v>
          </cell>
          <cell r="G29">
            <v>14</v>
          </cell>
          <cell r="H29">
            <v>18</v>
          </cell>
          <cell r="I29">
            <v>4</v>
          </cell>
          <cell r="J29">
            <v>27</v>
          </cell>
          <cell r="K29" t="str">
            <v>3+1</v>
          </cell>
          <cell r="L29">
            <v>34549665</v>
          </cell>
          <cell r="M29" t="str">
            <v>JP</v>
          </cell>
          <cell r="N29">
            <v>5649218.4000000004</v>
          </cell>
          <cell r="O29" t="str">
            <v>JP</v>
          </cell>
          <cell r="P29">
            <v>2</v>
          </cell>
          <cell r="Q29">
            <v>1601783.8</v>
          </cell>
          <cell r="R29" t="str">
            <v/>
          </cell>
          <cell r="S29">
            <v>17</v>
          </cell>
          <cell r="T29">
            <v>60969.9</v>
          </cell>
          <cell r="U29" t="str">
            <v/>
          </cell>
          <cell r="V29">
            <v>605</v>
          </cell>
          <cell r="W29">
            <v>5425.1</v>
          </cell>
          <cell r="X29" t="str">
            <v/>
          </cell>
          <cell r="Y29">
            <v>37249</v>
          </cell>
          <cell r="Z29">
            <v>78.8</v>
          </cell>
          <cell r="AA29" t="str">
            <v/>
          </cell>
          <cell r="AB29">
            <v>57373</v>
          </cell>
          <cell r="AC29">
            <v>27</v>
          </cell>
          <cell r="AD29" t="str">
            <v/>
          </cell>
          <cell r="AE29">
            <v>704424</v>
          </cell>
          <cell r="AF29">
            <v>6.6</v>
          </cell>
        </row>
        <row r="30">
          <cell r="C30" t="str">
            <v>B</v>
          </cell>
          <cell r="D30">
            <v>20</v>
          </cell>
          <cell r="E30">
            <v>15</v>
          </cell>
          <cell r="F30">
            <v>34</v>
          </cell>
          <cell r="G30">
            <v>48</v>
          </cell>
          <cell r="H30">
            <v>44</v>
          </cell>
          <cell r="I30">
            <v>13</v>
          </cell>
          <cell r="J30">
            <v>46</v>
          </cell>
          <cell r="K30" t="str">
            <v>3+1</v>
          </cell>
        </row>
        <row r="31">
          <cell r="A31">
            <v>13</v>
          </cell>
          <cell r="B31" t="str">
            <v>27.03.</v>
          </cell>
          <cell r="C31" t="str">
            <v>A</v>
          </cell>
          <cell r="D31">
            <v>21</v>
          </cell>
          <cell r="E31">
            <v>19</v>
          </cell>
          <cell r="F31">
            <v>16</v>
          </cell>
          <cell r="G31">
            <v>43</v>
          </cell>
          <cell r="H31">
            <v>41</v>
          </cell>
          <cell r="I31">
            <v>3</v>
          </cell>
          <cell r="J31">
            <v>11</v>
          </cell>
          <cell r="K31" t="str">
            <v>9+1</v>
          </cell>
          <cell r="L31">
            <v>31469285</v>
          </cell>
          <cell r="M31">
            <v>1</v>
          </cell>
          <cell r="N31">
            <v>7537375.5</v>
          </cell>
          <cell r="O31" t="str">
            <v/>
          </cell>
          <cell r="P31">
            <v>2</v>
          </cell>
          <cell r="Q31">
            <v>786732.1</v>
          </cell>
          <cell r="R31" t="str">
            <v/>
          </cell>
          <cell r="S31">
            <v>27</v>
          </cell>
          <cell r="T31">
            <v>34965.800000000003</v>
          </cell>
          <cell r="U31" t="str">
            <v/>
          </cell>
          <cell r="V31">
            <v>988</v>
          </cell>
          <cell r="W31">
            <v>3025.8</v>
          </cell>
          <cell r="X31" t="str">
            <v/>
          </cell>
          <cell r="Y31">
            <v>53201</v>
          </cell>
          <cell r="Z31">
            <v>50.2</v>
          </cell>
          <cell r="AA31" t="str">
            <v/>
          </cell>
          <cell r="AB31">
            <v>75871</v>
          </cell>
          <cell r="AC31">
            <v>18.600000000000001</v>
          </cell>
          <cell r="AD31" t="str">
            <v/>
          </cell>
          <cell r="AE31">
            <v>903939</v>
          </cell>
          <cell r="AF31">
            <v>4.5999999999999996</v>
          </cell>
        </row>
        <row r="32">
          <cell r="C32" t="str">
            <v>B</v>
          </cell>
          <cell r="D32">
            <v>18</v>
          </cell>
          <cell r="E32">
            <v>6</v>
          </cell>
          <cell r="F32">
            <v>33</v>
          </cell>
          <cell r="G32">
            <v>7</v>
          </cell>
          <cell r="H32">
            <v>32</v>
          </cell>
          <cell r="I32">
            <v>42</v>
          </cell>
          <cell r="J32">
            <v>10</v>
          </cell>
          <cell r="K32" t="str">
            <v>9+1</v>
          </cell>
        </row>
        <row r="33">
          <cell r="A33">
            <v>14</v>
          </cell>
          <cell r="B33" t="str">
            <v>03.04.</v>
          </cell>
          <cell r="C33" t="str">
            <v>A</v>
          </cell>
          <cell r="D33">
            <v>16</v>
          </cell>
          <cell r="E33">
            <v>41</v>
          </cell>
          <cell r="F33">
            <v>24</v>
          </cell>
          <cell r="G33">
            <v>1</v>
          </cell>
          <cell r="H33">
            <v>13</v>
          </cell>
          <cell r="I33">
            <v>19</v>
          </cell>
          <cell r="J33">
            <v>7</v>
          </cell>
          <cell r="K33" t="str">
            <v>0+8</v>
          </cell>
          <cell r="L33">
            <v>29768475</v>
          </cell>
          <cell r="M33" t="str">
            <v>JP</v>
          </cell>
          <cell r="N33">
            <v>1786108.5</v>
          </cell>
          <cell r="O33" t="str">
            <v>JP</v>
          </cell>
          <cell r="P33">
            <v>1</v>
          </cell>
          <cell r="Q33">
            <v>1488423.7</v>
          </cell>
          <cell r="R33" t="str">
            <v/>
          </cell>
          <cell r="S33">
            <v>22</v>
          </cell>
          <cell r="T33">
            <v>40593.300000000003</v>
          </cell>
          <cell r="U33" t="str">
            <v/>
          </cell>
          <cell r="V33">
            <v>665</v>
          </cell>
          <cell r="W33">
            <v>4252.6000000000004</v>
          </cell>
          <cell r="X33" t="str">
            <v/>
          </cell>
          <cell r="Y33">
            <v>43489</v>
          </cell>
          <cell r="Z33">
            <v>58.1</v>
          </cell>
          <cell r="AA33" t="str">
            <v/>
          </cell>
          <cell r="AB33">
            <v>79912</v>
          </cell>
          <cell r="AC33">
            <v>16.7</v>
          </cell>
          <cell r="AD33" t="str">
            <v/>
          </cell>
          <cell r="AE33">
            <v>768897</v>
          </cell>
          <cell r="AF33">
            <v>5.2</v>
          </cell>
        </row>
        <row r="34">
          <cell r="C34" t="str">
            <v>B</v>
          </cell>
          <cell r="D34">
            <v>4</v>
          </cell>
          <cell r="E34">
            <v>37</v>
          </cell>
          <cell r="F34">
            <v>2</v>
          </cell>
          <cell r="G34">
            <v>28</v>
          </cell>
          <cell r="H34">
            <v>42</v>
          </cell>
          <cell r="I34">
            <v>11</v>
          </cell>
          <cell r="J34">
            <v>6</v>
          </cell>
          <cell r="K34" t="str">
            <v>0+8</v>
          </cell>
        </row>
        <row r="35">
          <cell r="A35">
            <v>15</v>
          </cell>
          <cell r="B35" t="str">
            <v>10.04.</v>
          </cell>
          <cell r="C35" t="str">
            <v>A</v>
          </cell>
          <cell r="D35">
            <v>30</v>
          </cell>
          <cell r="E35">
            <v>11</v>
          </cell>
          <cell r="F35">
            <v>42</v>
          </cell>
          <cell r="G35">
            <v>28</v>
          </cell>
          <cell r="H35">
            <v>39</v>
          </cell>
          <cell r="I35">
            <v>49</v>
          </cell>
          <cell r="J35">
            <v>38</v>
          </cell>
          <cell r="K35" t="str">
            <v>3+2</v>
          </cell>
          <cell r="L35">
            <v>27046101.25</v>
          </cell>
          <cell r="M35" t="str">
            <v>JP</v>
          </cell>
          <cell r="N35">
            <v>3408874.5</v>
          </cell>
          <cell r="O35" t="str">
            <v>JP</v>
          </cell>
          <cell r="P35" t="str">
            <v>JP</v>
          </cell>
          <cell r="Q35">
            <v>1352305</v>
          </cell>
          <cell r="R35" t="str">
            <v>JP</v>
          </cell>
          <cell r="S35">
            <v>11</v>
          </cell>
          <cell r="T35">
            <v>73762</v>
          </cell>
          <cell r="U35" t="str">
            <v/>
          </cell>
          <cell r="V35">
            <v>560</v>
          </cell>
          <cell r="W35">
            <v>4588.1000000000004</v>
          </cell>
          <cell r="X35" t="str">
            <v/>
          </cell>
          <cell r="Y35">
            <v>34477</v>
          </cell>
          <cell r="Z35">
            <v>66.599999999999994</v>
          </cell>
          <cell r="AA35" t="str">
            <v/>
          </cell>
          <cell r="AB35">
            <v>43123</v>
          </cell>
          <cell r="AC35">
            <v>28.2</v>
          </cell>
          <cell r="AD35" t="str">
            <v/>
          </cell>
          <cell r="AE35">
            <v>666818</v>
          </cell>
          <cell r="AF35">
            <v>5.4</v>
          </cell>
        </row>
        <row r="36">
          <cell r="C36" t="str">
            <v>B</v>
          </cell>
          <cell r="D36">
            <v>41</v>
          </cell>
          <cell r="E36">
            <v>7</v>
          </cell>
          <cell r="F36">
            <v>43</v>
          </cell>
          <cell r="G36">
            <v>36</v>
          </cell>
          <cell r="H36">
            <v>11</v>
          </cell>
          <cell r="I36">
            <v>12</v>
          </cell>
          <cell r="J36">
            <v>47</v>
          </cell>
          <cell r="K36" t="str">
            <v>3+2</v>
          </cell>
        </row>
        <row r="37">
          <cell r="A37">
            <v>16</v>
          </cell>
          <cell r="B37" t="str">
            <v>17.04.</v>
          </cell>
          <cell r="C37" t="str">
            <v>A</v>
          </cell>
          <cell r="D37">
            <v>47</v>
          </cell>
          <cell r="E37">
            <v>6</v>
          </cell>
          <cell r="F37">
            <v>37</v>
          </cell>
          <cell r="G37">
            <v>20</v>
          </cell>
          <cell r="H37">
            <v>11</v>
          </cell>
          <cell r="I37">
            <v>15</v>
          </cell>
          <cell r="J37">
            <v>10</v>
          </cell>
          <cell r="K37" t="str">
            <v>4+9</v>
          </cell>
          <cell r="L37">
            <v>29322691.25</v>
          </cell>
          <cell r="M37" t="str">
            <v>JP</v>
          </cell>
          <cell r="N37">
            <v>5168235.9000000004</v>
          </cell>
          <cell r="O37" t="str">
            <v>JP</v>
          </cell>
          <cell r="P37">
            <v>2</v>
          </cell>
          <cell r="Q37">
            <v>1409219.7</v>
          </cell>
          <cell r="R37" t="str">
            <v/>
          </cell>
          <cell r="S37">
            <v>12</v>
          </cell>
          <cell r="T37">
            <v>73306.7</v>
          </cell>
          <cell r="U37" t="str">
            <v/>
          </cell>
          <cell r="V37">
            <v>717</v>
          </cell>
          <cell r="W37">
            <v>3885.1</v>
          </cell>
          <cell r="X37" t="str">
            <v/>
          </cell>
          <cell r="Y37">
            <v>41345</v>
          </cell>
          <cell r="Z37">
            <v>60.2</v>
          </cell>
          <cell r="AA37" t="str">
            <v/>
          </cell>
          <cell r="AB37">
            <v>50609</v>
          </cell>
          <cell r="AC37">
            <v>26</v>
          </cell>
          <cell r="AD37" t="str">
            <v/>
          </cell>
          <cell r="AE37">
            <v>738027</v>
          </cell>
          <cell r="AF37">
            <v>5.3</v>
          </cell>
        </row>
        <row r="38">
          <cell r="C38" t="str">
            <v>B</v>
          </cell>
          <cell r="D38">
            <v>3</v>
          </cell>
          <cell r="E38">
            <v>26</v>
          </cell>
          <cell r="F38">
            <v>25</v>
          </cell>
          <cell r="G38">
            <v>47</v>
          </cell>
          <cell r="H38">
            <v>30</v>
          </cell>
          <cell r="I38">
            <v>16</v>
          </cell>
          <cell r="J38">
            <v>42</v>
          </cell>
          <cell r="K38" t="str">
            <v>4+9</v>
          </cell>
        </row>
        <row r="39">
          <cell r="A39">
            <v>17</v>
          </cell>
          <cell r="B39" t="str">
            <v>24.04.</v>
          </cell>
          <cell r="C39" t="str">
            <v>A</v>
          </cell>
          <cell r="D39">
            <v>28</v>
          </cell>
          <cell r="E39">
            <v>25</v>
          </cell>
          <cell r="F39">
            <v>30</v>
          </cell>
          <cell r="G39">
            <v>31</v>
          </cell>
          <cell r="H39">
            <v>7</v>
          </cell>
          <cell r="I39">
            <v>22</v>
          </cell>
          <cell r="J39">
            <v>13</v>
          </cell>
          <cell r="K39" t="str">
            <v>0+3</v>
          </cell>
          <cell r="L39">
            <v>29728733.75</v>
          </cell>
          <cell r="M39" t="str">
            <v>JP</v>
          </cell>
          <cell r="N39">
            <v>6951959.9000000004</v>
          </cell>
          <cell r="O39" t="str">
            <v>JP</v>
          </cell>
          <cell r="P39">
            <v>2</v>
          </cell>
          <cell r="Q39">
            <v>743218.3</v>
          </cell>
          <cell r="R39" t="str">
            <v/>
          </cell>
          <cell r="S39">
            <v>29</v>
          </cell>
          <cell r="T39">
            <v>30753.8</v>
          </cell>
          <cell r="U39" t="str">
            <v/>
          </cell>
          <cell r="V39">
            <v>1061</v>
          </cell>
          <cell r="W39">
            <v>2661.8</v>
          </cell>
          <cell r="X39" t="str">
            <v/>
          </cell>
          <cell r="Y39">
            <v>51787</v>
          </cell>
          <cell r="Z39">
            <v>48.7</v>
          </cell>
          <cell r="AA39" t="str">
            <v/>
          </cell>
          <cell r="AB39">
            <v>74979</v>
          </cell>
          <cell r="AC39">
            <v>17.8</v>
          </cell>
          <cell r="AD39" t="str">
            <v/>
          </cell>
          <cell r="AE39">
            <v>835823</v>
          </cell>
          <cell r="AF39">
            <v>4.8</v>
          </cell>
        </row>
        <row r="40">
          <cell r="C40" t="str">
            <v>B</v>
          </cell>
          <cell r="D40">
            <v>32</v>
          </cell>
          <cell r="E40">
            <v>9</v>
          </cell>
          <cell r="F40">
            <v>4</v>
          </cell>
          <cell r="G40">
            <v>41</v>
          </cell>
          <cell r="H40">
            <v>25</v>
          </cell>
          <cell r="I40">
            <v>46</v>
          </cell>
          <cell r="J40">
            <v>28</v>
          </cell>
          <cell r="K40" t="str">
            <v>0+3</v>
          </cell>
        </row>
        <row r="41">
          <cell r="A41">
            <v>18</v>
          </cell>
          <cell r="B41" t="str">
            <v>01.05.</v>
          </cell>
          <cell r="C41" t="str">
            <v>A</v>
          </cell>
          <cell r="D41">
            <v>22</v>
          </cell>
          <cell r="E41">
            <v>23</v>
          </cell>
          <cell r="F41">
            <v>10</v>
          </cell>
          <cell r="G41">
            <v>19</v>
          </cell>
          <cell r="H41">
            <v>17</v>
          </cell>
          <cell r="I41">
            <v>37</v>
          </cell>
          <cell r="J41">
            <v>32</v>
          </cell>
          <cell r="K41" t="str">
            <v>1+2</v>
          </cell>
          <cell r="L41">
            <v>30413282.5</v>
          </cell>
          <cell r="M41">
            <v>1</v>
          </cell>
          <cell r="N41">
            <v>10297420.9</v>
          </cell>
          <cell r="O41" t="str">
            <v/>
          </cell>
          <cell r="P41" t="str">
            <v>JP</v>
          </cell>
          <cell r="Q41">
            <v>0</v>
          </cell>
          <cell r="R41" t="str">
            <v>JP</v>
          </cell>
          <cell r="S41">
            <v>20</v>
          </cell>
          <cell r="T41">
            <v>45619.9</v>
          </cell>
          <cell r="U41" t="str">
            <v/>
          </cell>
          <cell r="V41">
            <v>763</v>
          </cell>
          <cell r="W41">
            <v>3786.7</v>
          </cell>
          <cell r="X41" t="str">
            <v/>
          </cell>
          <cell r="Y41">
            <v>47066</v>
          </cell>
          <cell r="Z41">
            <v>54.9</v>
          </cell>
          <cell r="AA41" t="str">
            <v/>
          </cell>
          <cell r="AB41">
            <v>65305</v>
          </cell>
          <cell r="AC41">
            <v>20.9</v>
          </cell>
          <cell r="AD41" t="str">
            <v/>
          </cell>
          <cell r="AE41">
            <v>816874</v>
          </cell>
          <cell r="AF41">
            <v>5</v>
          </cell>
        </row>
        <row r="42">
          <cell r="C42" t="str">
            <v>B</v>
          </cell>
          <cell r="D42">
            <v>46</v>
          </cell>
          <cell r="E42">
            <v>19</v>
          </cell>
          <cell r="F42">
            <v>31</v>
          </cell>
          <cell r="G42">
            <v>44</v>
          </cell>
          <cell r="H42">
            <v>35</v>
          </cell>
          <cell r="I42">
            <v>8</v>
          </cell>
          <cell r="J42">
            <v>28</v>
          </cell>
          <cell r="K42" t="str">
            <v>1+2</v>
          </cell>
        </row>
        <row r="43">
          <cell r="A43">
            <v>19</v>
          </cell>
          <cell r="B43" t="str">
            <v>08.05.</v>
          </cell>
          <cell r="C43" t="str">
            <v>A</v>
          </cell>
          <cell r="D43">
            <v>14</v>
          </cell>
          <cell r="E43">
            <v>23</v>
          </cell>
          <cell r="F43">
            <v>3</v>
          </cell>
          <cell r="G43">
            <v>42</v>
          </cell>
          <cell r="H43">
            <v>25</v>
          </cell>
          <cell r="I43">
            <v>35</v>
          </cell>
          <cell r="J43">
            <v>17</v>
          </cell>
          <cell r="K43" t="str">
            <v>9+5</v>
          </cell>
          <cell r="L43">
            <v>29370333.75</v>
          </cell>
          <cell r="M43">
            <v>1</v>
          </cell>
          <cell r="N43">
            <v>3230736.7</v>
          </cell>
          <cell r="O43" t="str">
            <v/>
          </cell>
          <cell r="P43" t="str">
            <v>JP</v>
          </cell>
          <cell r="Q43">
            <v>0</v>
          </cell>
          <cell r="R43" t="str">
            <v>JP</v>
          </cell>
          <cell r="S43">
            <v>27</v>
          </cell>
          <cell r="T43">
            <v>32633.7</v>
          </cell>
          <cell r="U43" t="str">
            <v/>
          </cell>
          <cell r="V43">
            <v>758</v>
          </cell>
          <cell r="W43">
            <v>3680.9</v>
          </cell>
          <cell r="X43" t="str">
            <v/>
          </cell>
          <cell r="Y43">
            <v>43695</v>
          </cell>
          <cell r="Z43">
            <v>57.1</v>
          </cell>
          <cell r="AA43" t="str">
            <v/>
          </cell>
          <cell r="AB43">
            <v>57136</v>
          </cell>
          <cell r="AC43">
            <v>23.1</v>
          </cell>
          <cell r="AD43" t="str">
            <v/>
          </cell>
          <cell r="AE43">
            <v>782984</v>
          </cell>
          <cell r="AF43">
            <v>5</v>
          </cell>
        </row>
        <row r="44">
          <cell r="C44" t="str">
            <v>B</v>
          </cell>
          <cell r="D44">
            <v>4</v>
          </cell>
          <cell r="E44">
            <v>26</v>
          </cell>
          <cell r="F44">
            <v>42</v>
          </cell>
          <cell r="G44">
            <v>19</v>
          </cell>
          <cell r="H44">
            <v>33</v>
          </cell>
          <cell r="I44">
            <v>29</v>
          </cell>
          <cell r="J44">
            <v>47</v>
          </cell>
          <cell r="K44" t="str">
            <v>9+5</v>
          </cell>
        </row>
        <row r="45">
          <cell r="A45">
            <v>20</v>
          </cell>
          <cell r="B45" t="str">
            <v>15.05.</v>
          </cell>
          <cell r="C45" t="str">
            <v>A</v>
          </cell>
          <cell r="D45">
            <v>30</v>
          </cell>
          <cell r="E45">
            <v>42</v>
          </cell>
          <cell r="F45">
            <v>39</v>
          </cell>
          <cell r="G45">
            <v>43</v>
          </cell>
          <cell r="H45">
            <v>24</v>
          </cell>
          <cell r="I45">
            <v>23</v>
          </cell>
          <cell r="J45">
            <v>16</v>
          </cell>
          <cell r="K45" t="str">
            <v>9+0</v>
          </cell>
          <cell r="L45">
            <v>27618543.75</v>
          </cell>
          <cell r="M45">
            <v>1</v>
          </cell>
          <cell r="N45">
            <v>1657112.6</v>
          </cell>
          <cell r="O45" t="str">
            <v/>
          </cell>
          <cell r="P45">
            <v>5</v>
          </cell>
          <cell r="Q45">
            <v>276185.40000000002</v>
          </cell>
          <cell r="R45" t="str">
            <v/>
          </cell>
          <cell r="S45">
            <v>15</v>
          </cell>
          <cell r="T45">
            <v>55237</v>
          </cell>
          <cell r="U45" t="str">
            <v/>
          </cell>
          <cell r="V45">
            <v>589</v>
          </cell>
          <cell r="W45">
            <v>4454.6000000000004</v>
          </cell>
          <cell r="X45" t="str">
            <v/>
          </cell>
          <cell r="Y45">
            <v>34974</v>
          </cell>
          <cell r="Z45">
            <v>67.099999999999994</v>
          </cell>
          <cell r="AA45" t="str">
            <v/>
          </cell>
          <cell r="AB45">
            <v>53632</v>
          </cell>
          <cell r="AC45">
            <v>23.1</v>
          </cell>
          <cell r="AD45" t="str">
            <v/>
          </cell>
          <cell r="AE45">
            <v>647514</v>
          </cell>
          <cell r="AF45">
            <v>5.7</v>
          </cell>
        </row>
        <row r="46">
          <cell r="C46" t="str">
            <v>B</v>
          </cell>
          <cell r="D46">
            <v>47</v>
          </cell>
          <cell r="E46">
            <v>21</v>
          </cell>
          <cell r="F46">
            <v>9</v>
          </cell>
          <cell r="G46">
            <v>41</v>
          </cell>
          <cell r="H46">
            <v>22</v>
          </cell>
          <cell r="I46">
            <v>4</v>
          </cell>
          <cell r="J46">
            <v>17</v>
          </cell>
          <cell r="K46" t="str">
            <v>9+0</v>
          </cell>
        </row>
        <row r="47">
          <cell r="A47">
            <v>21</v>
          </cell>
          <cell r="B47" t="str">
            <v>22.05.</v>
          </cell>
          <cell r="C47" t="str">
            <v>A</v>
          </cell>
          <cell r="D47">
            <v>15</v>
          </cell>
          <cell r="E47">
            <v>42</v>
          </cell>
          <cell r="F47">
            <v>1</v>
          </cell>
          <cell r="G47">
            <v>38</v>
          </cell>
          <cell r="H47">
            <v>47</v>
          </cell>
          <cell r="I47">
            <v>18</v>
          </cell>
          <cell r="J47">
            <v>23</v>
          </cell>
          <cell r="K47" t="str">
            <v>9+3</v>
          </cell>
          <cell r="L47">
            <v>27446653.75</v>
          </cell>
          <cell r="M47" t="str">
            <v>JP</v>
          </cell>
          <cell r="N47">
            <v>1646799.2</v>
          </cell>
          <cell r="O47" t="str">
            <v>JP</v>
          </cell>
          <cell r="P47">
            <v>5</v>
          </cell>
          <cell r="Q47">
            <v>274466.5</v>
          </cell>
          <cell r="R47" t="str">
            <v/>
          </cell>
          <cell r="S47">
            <v>11</v>
          </cell>
          <cell r="T47">
            <v>74854.5</v>
          </cell>
          <cell r="U47" t="str">
            <v/>
          </cell>
          <cell r="V47">
            <v>519</v>
          </cell>
          <cell r="W47">
            <v>5023.8999999999996</v>
          </cell>
          <cell r="X47" t="str">
            <v/>
          </cell>
          <cell r="Y47">
            <v>32432</v>
          </cell>
          <cell r="Z47">
            <v>71.900000000000006</v>
          </cell>
          <cell r="AA47" t="str">
            <v/>
          </cell>
          <cell r="AB47">
            <v>47803</v>
          </cell>
          <cell r="AC47">
            <v>25.8</v>
          </cell>
          <cell r="AD47" t="str">
            <v/>
          </cell>
          <cell r="AE47">
            <v>612803</v>
          </cell>
          <cell r="AF47">
            <v>6</v>
          </cell>
        </row>
        <row r="48">
          <cell r="C48" t="str">
            <v>B</v>
          </cell>
          <cell r="D48">
            <v>19</v>
          </cell>
          <cell r="E48">
            <v>34</v>
          </cell>
          <cell r="F48">
            <v>47</v>
          </cell>
          <cell r="G48">
            <v>42</v>
          </cell>
          <cell r="H48">
            <v>37</v>
          </cell>
          <cell r="I48">
            <v>18</v>
          </cell>
          <cell r="J48">
            <v>39</v>
          </cell>
          <cell r="K48" t="str">
            <v>9+3</v>
          </cell>
        </row>
        <row r="49">
          <cell r="A49">
            <v>22</v>
          </cell>
          <cell r="B49" t="str">
            <v>29.05.</v>
          </cell>
          <cell r="C49" t="str">
            <v>A</v>
          </cell>
          <cell r="D49">
            <v>18</v>
          </cell>
          <cell r="E49">
            <v>32</v>
          </cell>
          <cell r="F49">
            <v>43</v>
          </cell>
          <cell r="G49">
            <v>15</v>
          </cell>
          <cell r="H49">
            <v>37</v>
          </cell>
          <cell r="I49">
            <v>20</v>
          </cell>
          <cell r="J49">
            <v>16</v>
          </cell>
          <cell r="K49" t="str">
            <v>5+4</v>
          </cell>
          <cell r="L49">
            <v>26282385</v>
          </cell>
          <cell r="M49" t="str">
            <v>JP</v>
          </cell>
          <cell r="N49">
            <v>3223742.3</v>
          </cell>
          <cell r="O49" t="str">
            <v>JP</v>
          </cell>
          <cell r="P49">
            <v>1</v>
          </cell>
          <cell r="Q49">
            <v>1314119.2</v>
          </cell>
          <cell r="R49" t="str">
            <v/>
          </cell>
          <cell r="S49">
            <v>12</v>
          </cell>
          <cell r="T49">
            <v>65705.899999999994</v>
          </cell>
          <cell r="U49" t="str">
            <v/>
          </cell>
          <cell r="V49">
            <v>517</v>
          </cell>
          <cell r="W49">
            <v>4829.3999999999996</v>
          </cell>
          <cell r="X49" t="str">
            <v/>
          </cell>
          <cell r="Y49">
            <v>32889</v>
          </cell>
          <cell r="Z49">
            <v>67.900000000000006</v>
          </cell>
          <cell r="AA49" t="str">
            <v/>
          </cell>
          <cell r="AB49">
            <v>51122</v>
          </cell>
          <cell r="AC49">
            <v>23.1</v>
          </cell>
          <cell r="AD49" t="str">
            <v/>
          </cell>
          <cell r="AE49">
            <v>604066</v>
          </cell>
          <cell r="AF49">
            <v>5.8</v>
          </cell>
        </row>
        <row r="50">
          <cell r="C50" t="str">
            <v>B</v>
          </cell>
          <cell r="D50">
            <v>2</v>
          </cell>
          <cell r="E50">
            <v>25</v>
          </cell>
          <cell r="F50">
            <v>15</v>
          </cell>
          <cell r="G50">
            <v>47</v>
          </cell>
          <cell r="H50">
            <v>16</v>
          </cell>
          <cell r="I50">
            <v>1</v>
          </cell>
          <cell r="J50">
            <v>12</v>
          </cell>
          <cell r="K50" t="str">
            <v>5+4</v>
          </cell>
        </row>
        <row r="51">
          <cell r="A51">
            <v>23</v>
          </cell>
          <cell r="B51" t="str">
            <v>05.06.</v>
          </cell>
          <cell r="C51" t="str">
            <v>A</v>
          </cell>
          <cell r="D51">
            <v>12</v>
          </cell>
          <cell r="E51">
            <v>25</v>
          </cell>
          <cell r="F51">
            <v>4</v>
          </cell>
          <cell r="G51">
            <v>23</v>
          </cell>
          <cell r="H51">
            <v>49</v>
          </cell>
          <cell r="I51">
            <v>27</v>
          </cell>
          <cell r="J51">
            <v>47</v>
          </cell>
          <cell r="K51" t="str">
            <v>0+4</v>
          </cell>
          <cell r="L51">
            <v>27235873.75</v>
          </cell>
          <cell r="M51">
            <v>3</v>
          </cell>
          <cell r="N51">
            <v>1619298.2</v>
          </cell>
          <cell r="O51" t="str">
            <v/>
          </cell>
          <cell r="P51">
            <v>2</v>
          </cell>
          <cell r="Q51">
            <v>680896.8</v>
          </cell>
          <cell r="R51" t="str">
            <v/>
          </cell>
          <cell r="S51">
            <v>15</v>
          </cell>
          <cell r="T51">
            <v>54471.7</v>
          </cell>
          <cell r="U51" t="str">
            <v/>
          </cell>
          <cell r="V51">
            <v>813</v>
          </cell>
          <cell r="W51">
            <v>3182.5</v>
          </cell>
          <cell r="X51" t="str">
            <v/>
          </cell>
          <cell r="Y51">
            <v>46543</v>
          </cell>
          <cell r="Z51">
            <v>49.7</v>
          </cell>
          <cell r="AA51" t="str">
            <v/>
          </cell>
          <cell r="AB51">
            <v>54297</v>
          </cell>
          <cell r="AC51">
            <v>22.5</v>
          </cell>
          <cell r="AD51" t="str">
            <v/>
          </cell>
          <cell r="AE51">
            <v>822191</v>
          </cell>
          <cell r="AF51">
            <v>4.4000000000000004</v>
          </cell>
        </row>
        <row r="52">
          <cell r="C52" t="str">
            <v>B</v>
          </cell>
          <cell r="D52">
            <v>32</v>
          </cell>
          <cell r="E52">
            <v>25</v>
          </cell>
          <cell r="F52">
            <v>24</v>
          </cell>
          <cell r="G52">
            <v>14</v>
          </cell>
          <cell r="H52">
            <v>33</v>
          </cell>
          <cell r="I52">
            <v>9</v>
          </cell>
          <cell r="J52">
            <v>49</v>
          </cell>
          <cell r="K52" t="str">
            <v>0+4</v>
          </cell>
        </row>
        <row r="53">
          <cell r="A53">
            <v>24</v>
          </cell>
          <cell r="B53" t="str">
            <v>12.06.</v>
          </cell>
          <cell r="C53" t="str">
            <v>A</v>
          </cell>
          <cell r="D53">
            <v>30</v>
          </cell>
          <cell r="E53">
            <v>41</v>
          </cell>
          <cell r="F53">
            <v>34</v>
          </cell>
          <cell r="G53">
            <v>23</v>
          </cell>
          <cell r="H53">
            <v>22</v>
          </cell>
          <cell r="I53">
            <v>26</v>
          </cell>
          <cell r="J53">
            <v>3</v>
          </cell>
          <cell r="K53" t="str">
            <v>8+5</v>
          </cell>
          <cell r="L53">
            <v>26794092.5</v>
          </cell>
          <cell r="M53" t="str">
            <v>JP</v>
          </cell>
          <cell r="N53">
            <v>1607645.5</v>
          </cell>
          <cell r="O53" t="str">
            <v>JP</v>
          </cell>
          <cell r="P53">
            <v>1</v>
          </cell>
          <cell r="Q53">
            <v>1339704.6000000001</v>
          </cell>
          <cell r="R53" t="str">
            <v/>
          </cell>
          <cell r="S53">
            <v>14</v>
          </cell>
          <cell r="T53">
            <v>57415.9</v>
          </cell>
          <cell r="U53" t="str">
            <v/>
          </cell>
          <cell r="V53">
            <v>777</v>
          </cell>
          <cell r="W53">
            <v>3275.9</v>
          </cell>
          <cell r="X53" t="str">
            <v/>
          </cell>
          <cell r="Y53">
            <v>37116</v>
          </cell>
          <cell r="Z53">
            <v>61.3</v>
          </cell>
          <cell r="AA53" t="str">
            <v/>
          </cell>
          <cell r="AB53">
            <v>47606</v>
          </cell>
          <cell r="AC53">
            <v>25.3</v>
          </cell>
          <cell r="AD53" t="str">
            <v/>
          </cell>
          <cell r="AE53">
            <v>674000</v>
          </cell>
          <cell r="AF53">
            <v>5.3</v>
          </cell>
        </row>
        <row r="54">
          <cell r="C54" t="str">
            <v>B</v>
          </cell>
          <cell r="D54">
            <v>22</v>
          </cell>
          <cell r="E54">
            <v>5</v>
          </cell>
          <cell r="F54">
            <v>11</v>
          </cell>
          <cell r="G54">
            <v>32</v>
          </cell>
          <cell r="H54">
            <v>40</v>
          </cell>
          <cell r="I54">
            <v>30</v>
          </cell>
          <cell r="J54">
            <v>37</v>
          </cell>
          <cell r="K54" t="str">
            <v>8+5</v>
          </cell>
        </row>
        <row r="55">
          <cell r="A55">
            <v>25</v>
          </cell>
          <cell r="B55" t="str">
            <v>19.06.</v>
          </cell>
          <cell r="C55" t="str">
            <v>A</v>
          </cell>
          <cell r="D55">
            <v>15</v>
          </cell>
          <cell r="E55">
            <v>16</v>
          </cell>
          <cell r="F55">
            <v>40</v>
          </cell>
          <cell r="G55">
            <v>10</v>
          </cell>
          <cell r="H55">
            <v>11</v>
          </cell>
          <cell r="I55">
            <v>19</v>
          </cell>
          <cell r="J55">
            <v>12</v>
          </cell>
          <cell r="K55" t="str">
            <v>6+7</v>
          </cell>
          <cell r="L55">
            <v>27193845</v>
          </cell>
          <cell r="M55" t="str">
            <v>JP</v>
          </cell>
          <cell r="N55">
            <v>3239276.2</v>
          </cell>
          <cell r="O55" t="str">
            <v>JP</v>
          </cell>
          <cell r="P55">
            <v>1</v>
          </cell>
          <cell r="Q55">
            <v>1359692.2</v>
          </cell>
          <cell r="R55" t="str">
            <v/>
          </cell>
          <cell r="S55">
            <v>42</v>
          </cell>
          <cell r="T55">
            <v>19424.099999999999</v>
          </cell>
          <cell r="U55" t="str">
            <v/>
          </cell>
          <cell r="V55">
            <v>676</v>
          </cell>
          <cell r="W55">
            <v>3821.6</v>
          </cell>
          <cell r="X55" t="str">
            <v/>
          </cell>
          <cell r="Y55">
            <v>42712</v>
          </cell>
          <cell r="Z55">
            <v>54.1</v>
          </cell>
          <cell r="AA55" t="str">
            <v/>
          </cell>
          <cell r="AB55">
            <v>61757</v>
          </cell>
          <cell r="AC55">
            <v>19.8</v>
          </cell>
          <cell r="AD55" t="str">
            <v/>
          </cell>
          <cell r="AE55">
            <v>734337</v>
          </cell>
          <cell r="AF55">
            <v>4.9000000000000004</v>
          </cell>
        </row>
        <row r="56">
          <cell r="C56" t="str">
            <v>B</v>
          </cell>
          <cell r="D56">
            <v>49</v>
          </cell>
          <cell r="E56">
            <v>12</v>
          </cell>
          <cell r="F56">
            <v>7</v>
          </cell>
          <cell r="G56">
            <v>41</v>
          </cell>
          <cell r="H56">
            <v>44</v>
          </cell>
          <cell r="I56">
            <v>47</v>
          </cell>
          <cell r="J56">
            <v>24</v>
          </cell>
          <cell r="K56" t="str">
            <v>6+7</v>
          </cell>
        </row>
        <row r="57">
          <cell r="A57">
            <v>26</v>
          </cell>
          <cell r="B57" t="str">
            <v>26.06.</v>
          </cell>
          <cell r="C57" t="str">
            <v>A</v>
          </cell>
          <cell r="D57">
            <v>47</v>
          </cell>
          <cell r="E57">
            <v>38</v>
          </cell>
          <cell r="F57">
            <v>43</v>
          </cell>
          <cell r="G57">
            <v>32</v>
          </cell>
          <cell r="H57">
            <v>29</v>
          </cell>
          <cell r="I57">
            <v>7</v>
          </cell>
          <cell r="J57">
            <v>19</v>
          </cell>
          <cell r="K57" t="str">
            <v>7+4</v>
          </cell>
          <cell r="L57">
            <v>27768925</v>
          </cell>
          <cell r="M57">
            <v>1</v>
          </cell>
          <cell r="N57">
            <v>6293857.9000000004</v>
          </cell>
          <cell r="O57" t="str">
            <v/>
          </cell>
          <cell r="P57" t="str">
            <v>JP</v>
          </cell>
          <cell r="Q57">
            <v>0</v>
          </cell>
          <cell r="R57" t="str">
            <v>JP</v>
          </cell>
          <cell r="S57">
            <v>23</v>
          </cell>
          <cell r="T57">
            <v>36220.300000000003</v>
          </cell>
          <cell r="U57" t="str">
            <v/>
          </cell>
          <cell r="V57">
            <v>662</v>
          </cell>
          <cell r="W57">
            <v>3984.9</v>
          </cell>
          <cell r="X57" t="str">
            <v/>
          </cell>
          <cell r="Y57">
            <v>34438</v>
          </cell>
          <cell r="Z57">
            <v>68.5</v>
          </cell>
          <cell r="AA57" t="str">
            <v/>
          </cell>
          <cell r="AB57">
            <v>54354</v>
          </cell>
          <cell r="AC57">
            <v>22.9</v>
          </cell>
          <cell r="AD57" t="str">
            <v/>
          </cell>
          <cell r="AE57">
            <v>644115</v>
          </cell>
          <cell r="AF57">
            <v>5.8</v>
          </cell>
        </row>
        <row r="58">
          <cell r="C58" t="str">
            <v>B</v>
          </cell>
          <cell r="D58">
            <v>42</v>
          </cell>
          <cell r="E58">
            <v>5</v>
          </cell>
          <cell r="F58">
            <v>31</v>
          </cell>
          <cell r="G58">
            <v>48</v>
          </cell>
          <cell r="H58">
            <v>43</v>
          </cell>
          <cell r="I58">
            <v>1</v>
          </cell>
          <cell r="J58">
            <v>20</v>
          </cell>
          <cell r="K58" t="str">
            <v>7+4</v>
          </cell>
        </row>
        <row r="64">
          <cell r="A64" t="str">
            <v>Lotto am Mittwoch 2mal 6 aus 49</v>
          </cell>
          <cell r="AF64" t="str">
            <v>Gewinnzahlen und Quoten der 27. - 52. Veranstaltung 1996</v>
          </cell>
        </row>
        <row r="65">
          <cell r="A65" t="str">
            <v>Alle Zahlenangaben ohne Gewähr</v>
          </cell>
        </row>
        <row r="66">
          <cell r="J66" t="str">
            <v>Zu-</v>
          </cell>
          <cell r="L66" t="str">
            <v>Spieleinsatz</v>
          </cell>
          <cell r="M66" t="str">
            <v>Gewinnklasse I</v>
          </cell>
          <cell r="P66" t="str">
            <v>Gewinnklasse II</v>
          </cell>
          <cell r="S66" t="str">
            <v xml:space="preserve"> Gewinnklasse III</v>
          </cell>
          <cell r="V66" t="str">
            <v>Gewinnklasse IV</v>
          </cell>
          <cell r="Y66" t="str">
            <v>Gewinnklasse V</v>
          </cell>
          <cell r="AB66" t="str">
            <v>Gewinnklasse VI</v>
          </cell>
          <cell r="AE66" t="str">
            <v>Gewinnklasse VII</v>
          </cell>
        </row>
        <row r="67">
          <cell r="A67" t="str">
            <v>VA</v>
          </cell>
          <cell r="B67">
            <v>1996</v>
          </cell>
          <cell r="C67" t="str">
            <v>Ziehung</v>
          </cell>
          <cell r="D67" t="str">
            <v>Gewinnzahlen in</v>
          </cell>
          <cell r="J67" t="str">
            <v>satz-</v>
          </cell>
          <cell r="K67" t="str">
            <v>Super-</v>
          </cell>
          <cell r="L67" t="str">
            <v>A und B</v>
          </cell>
          <cell r="M67" t="str">
            <v xml:space="preserve"> 6 Treffer + 1 Superzahl</v>
          </cell>
          <cell r="P67" t="str">
            <v xml:space="preserve"> 6 Treffer</v>
          </cell>
          <cell r="S67" t="str">
            <v>5 Treffer + Zusatzzahl</v>
          </cell>
          <cell r="V67" t="str">
            <v>5 Treffer</v>
          </cell>
          <cell r="Y67" t="str">
            <v>4 Treffer</v>
          </cell>
          <cell r="AB67" t="str">
            <v>3 Treffer + Zusatzzahl</v>
          </cell>
          <cell r="AE67" t="str">
            <v>3 Treffer</v>
          </cell>
        </row>
        <row r="68">
          <cell r="D68" t="str">
            <v>gezogener Reihenfolge</v>
          </cell>
          <cell r="J68" t="str">
            <v>zahl</v>
          </cell>
          <cell r="K68" t="str">
            <v>zahl</v>
          </cell>
          <cell r="L68" t="str">
            <v>DM</v>
          </cell>
          <cell r="M68" t="str">
            <v>Gewinne</v>
          </cell>
          <cell r="N68" t="str">
            <v>DM</v>
          </cell>
          <cell r="P68" t="str">
            <v>Gewinne</v>
          </cell>
          <cell r="Q68" t="str">
            <v>DM</v>
          </cell>
          <cell r="S68" t="str">
            <v>Gewinne</v>
          </cell>
          <cell r="T68" t="str">
            <v>DM</v>
          </cell>
          <cell r="V68" t="str">
            <v>Gewinne</v>
          </cell>
          <cell r="W68" t="str">
            <v>DM</v>
          </cell>
          <cell r="Y68" t="str">
            <v>Gewinne</v>
          </cell>
          <cell r="Z68" t="str">
            <v>DM</v>
          </cell>
          <cell r="AB68" t="str">
            <v>Gewinne</v>
          </cell>
          <cell r="AC68" t="str">
            <v>DM</v>
          </cell>
          <cell r="AE68" t="str">
            <v>Gewinne</v>
          </cell>
          <cell r="AF68" t="str">
            <v>DM</v>
          </cell>
        </row>
        <row r="69">
          <cell r="A69">
            <v>27</v>
          </cell>
          <cell r="B69" t="str">
            <v>03.07.</v>
          </cell>
          <cell r="C69" t="str">
            <v>A</v>
          </cell>
          <cell r="D69">
            <v>48</v>
          </cell>
          <cell r="E69">
            <v>9</v>
          </cell>
          <cell r="F69">
            <v>31</v>
          </cell>
          <cell r="G69">
            <v>22</v>
          </cell>
          <cell r="H69">
            <v>5</v>
          </cell>
          <cell r="I69">
            <v>47</v>
          </cell>
          <cell r="J69">
            <v>10</v>
          </cell>
          <cell r="K69" t="str">
            <v>2+3</v>
          </cell>
          <cell r="L69">
            <v>27770365</v>
          </cell>
          <cell r="M69">
            <v>4</v>
          </cell>
          <cell r="N69">
            <v>436391.4</v>
          </cell>
          <cell r="O69" t="str">
            <v/>
          </cell>
          <cell r="P69">
            <v>3</v>
          </cell>
          <cell r="Q69">
            <v>436391.4</v>
          </cell>
          <cell r="R69" t="str">
            <v/>
          </cell>
          <cell r="S69">
            <v>18</v>
          </cell>
          <cell r="T69">
            <v>46283.9</v>
          </cell>
          <cell r="U69" t="str">
            <v/>
          </cell>
          <cell r="V69">
            <v>971</v>
          </cell>
          <cell r="W69">
            <v>2716.9</v>
          </cell>
          <cell r="X69" t="str">
            <v/>
          </cell>
          <cell r="Y69">
            <v>45128</v>
          </cell>
          <cell r="Z69">
            <v>52.3</v>
          </cell>
          <cell r="AA69" t="str">
            <v/>
          </cell>
          <cell r="AB69">
            <v>49389</v>
          </cell>
          <cell r="AC69">
            <v>25.3</v>
          </cell>
          <cell r="AD69" t="str">
            <v/>
          </cell>
          <cell r="AE69">
            <v>749903</v>
          </cell>
          <cell r="AF69">
            <v>4.9000000000000004</v>
          </cell>
        </row>
        <row r="70">
          <cell r="C70" t="str">
            <v>B</v>
          </cell>
          <cell r="D70">
            <v>27</v>
          </cell>
          <cell r="E70">
            <v>11</v>
          </cell>
          <cell r="F70">
            <v>41</v>
          </cell>
          <cell r="G70">
            <v>4</v>
          </cell>
          <cell r="H70">
            <v>20</v>
          </cell>
          <cell r="I70">
            <v>37</v>
          </cell>
          <cell r="J70">
            <v>48</v>
          </cell>
          <cell r="K70" t="str">
            <v>2+3</v>
          </cell>
        </row>
        <row r="71">
          <cell r="A71">
            <v>28</v>
          </cell>
          <cell r="B71" t="str">
            <v>10.07.</v>
          </cell>
          <cell r="C71" t="str">
            <v>A</v>
          </cell>
          <cell r="D71">
            <v>13</v>
          </cell>
          <cell r="E71">
            <v>46</v>
          </cell>
          <cell r="F71">
            <v>39</v>
          </cell>
          <cell r="G71">
            <v>41</v>
          </cell>
          <cell r="H71">
            <v>10</v>
          </cell>
          <cell r="I71">
            <v>44</v>
          </cell>
          <cell r="J71">
            <v>37</v>
          </cell>
          <cell r="K71" t="str">
            <v>2+4</v>
          </cell>
          <cell r="L71">
            <v>27230745</v>
          </cell>
          <cell r="M71">
            <v>1</v>
          </cell>
          <cell r="N71">
            <v>1633844.7</v>
          </cell>
          <cell r="O71" t="str">
            <v/>
          </cell>
          <cell r="P71">
            <v>1</v>
          </cell>
          <cell r="Q71">
            <v>1361537.2</v>
          </cell>
          <cell r="R71" t="str">
            <v/>
          </cell>
          <cell r="S71">
            <v>9</v>
          </cell>
          <cell r="T71">
            <v>90769.1</v>
          </cell>
          <cell r="U71" t="str">
            <v/>
          </cell>
          <cell r="V71">
            <v>685</v>
          </cell>
          <cell r="W71">
            <v>3776.5</v>
          </cell>
          <cell r="X71" t="str">
            <v/>
          </cell>
          <cell r="Y71">
            <v>40107</v>
          </cell>
          <cell r="Z71">
            <v>57.7</v>
          </cell>
          <cell r="AA71" t="str">
            <v/>
          </cell>
          <cell r="AB71">
            <v>54605</v>
          </cell>
          <cell r="AC71">
            <v>22.4</v>
          </cell>
          <cell r="AD71" t="str">
            <v/>
          </cell>
          <cell r="AE71">
            <v>691949</v>
          </cell>
          <cell r="AF71">
            <v>5.3</v>
          </cell>
        </row>
        <row r="72">
          <cell r="C72" t="str">
            <v>B</v>
          </cell>
          <cell r="D72">
            <v>3</v>
          </cell>
          <cell r="E72">
            <v>30</v>
          </cell>
          <cell r="F72">
            <v>38</v>
          </cell>
          <cell r="G72">
            <v>20</v>
          </cell>
          <cell r="H72">
            <v>16</v>
          </cell>
          <cell r="I72">
            <v>24</v>
          </cell>
          <cell r="J72">
            <v>27</v>
          </cell>
          <cell r="K72" t="str">
            <v>2+4</v>
          </cell>
        </row>
        <row r="73">
          <cell r="A73">
            <v>29</v>
          </cell>
          <cell r="B73" t="str">
            <v>17.07.</v>
          </cell>
          <cell r="C73" t="str">
            <v>A</v>
          </cell>
          <cell r="D73">
            <v>11</v>
          </cell>
          <cell r="E73">
            <v>18</v>
          </cell>
          <cell r="F73">
            <v>26</v>
          </cell>
          <cell r="G73">
            <v>23</v>
          </cell>
          <cell r="H73">
            <v>17</v>
          </cell>
          <cell r="I73">
            <v>39</v>
          </cell>
          <cell r="J73">
            <v>48</v>
          </cell>
          <cell r="K73" t="str">
            <v>9+1</v>
          </cell>
          <cell r="L73">
            <v>27008861.25</v>
          </cell>
          <cell r="M73" t="str">
            <v>JP</v>
          </cell>
          <cell r="N73">
            <v>1620531.6</v>
          </cell>
          <cell r="O73" t="str">
            <v>JP</v>
          </cell>
          <cell r="P73">
            <v>1</v>
          </cell>
          <cell r="Q73">
            <v>1350443</v>
          </cell>
          <cell r="R73" t="str">
            <v/>
          </cell>
          <cell r="S73">
            <v>10</v>
          </cell>
          <cell r="T73">
            <v>81026.5</v>
          </cell>
          <cell r="U73" t="str">
            <v/>
          </cell>
          <cell r="V73">
            <v>845</v>
          </cell>
          <cell r="W73">
            <v>3036.4</v>
          </cell>
          <cell r="X73" t="str">
            <v/>
          </cell>
          <cell r="Y73">
            <v>45982</v>
          </cell>
          <cell r="Z73">
            <v>49.9</v>
          </cell>
          <cell r="AA73" t="str">
            <v/>
          </cell>
          <cell r="AB73">
            <v>53556</v>
          </cell>
          <cell r="AC73">
            <v>22.6</v>
          </cell>
          <cell r="AD73" t="str">
            <v/>
          </cell>
          <cell r="AE73">
            <v>776510</v>
          </cell>
          <cell r="AF73">
            <v>4.5999999999999996</v>
          </cell>
        </row>
        <row r="74">
          <cell r="C74" t="str">
            <v>B</v>
          </cell>
          <cell r="D74">
            <v>18</v>
          </cell>
          <cell r="E74">
            <v>19</v>
          </cell>
          <cell r="F74">
            <v>20</v>
          </cell>
          <cell r="G74">
            <v>1</v>
          </cell>
          <cell r="H74">
            <v>48</v>
          </cell>
          <cell r="I74">
            <v>27</v>
          </cell>
          <cell r="J74">
            <v>11</v>
          </cell>
          <cell r="K74" t="str">
            <v>9+1</v>
          </cell>
        </row>
        <row r="75">
          <cell r="A75">
            <v>30</v>
          </cell>
          <cell r="B75" t="str">
            <v>24.07.</v>
          </cell>
          <cell r="C75" t="str">
            <v>A</v>
          </cell>
          <cell r="D75">
            <v>42</v>
          </cell>
          <cell r="E75">
            <v>44</v>
          </cell>
          <cell r="F75">
            <v>23</v>
          </cell>
          <cell r="G75">
            <v>13</v>
          </cell>
          <cell r="H75">
            <v>34</v>
          </cell>
          <cell r="I75">
            <v>11</v>
          </cell>
          <cell r="J75">
            <v>33</v>
          </cell>
          <cell r="K75" t="str">
            <v>4+6</v>
          </cell>
          <cell r="L75">
            <v>26864092.5</v>
          </cell>
          <cell r="M75" t="str">
            <v>JP</v>
          </cell>
          <cell r="N75">
            <v>3232377.1</v>
          </cell>
          <cell r="O75" t="str">
            <v>JP</v>
          </cell>
          <cell r="P75">
            <v>5</v>
          </cell>
          <cell r="Q75">
            <v>268640.90000000002</v>
          </cell>
          <cell r="R75" t="str">
            <v/>
          </cell>
          <cell r="S75">
            <v>23</v>
          </cell>
          <cell r="T75">
            <v>35040.1</v>
          </cell>
          <cell r="U75" t="str">
            <v/>
          </cell>
          <cell r="V75">
            <v>740</v>
          </cell>
          <cell r="W75">
            <v>3448.7</v>
          </cell>
          <cell r="X75" t="str">
            <v/>
          </cell>
          <cell r="Y75">
            <v>41972</v>
          </cell>
          <cell r="Z75">
            <v>54.4</v>
          </cell>
          <cell r="AA75" t="str">
            <v/>
          </cell>
          <cell r="AB75">
            <v>69892</v>
          </cell>
          <cell r="AC75">
            <v>17.2</v>
          </cell>
          <cell r="AD75" t="str">
            <v/>
          </cell>
          <cell r="AE75">
            <v>702345</v>
          </cell>
          <cell r="AF75">
            <v>5.0999999999999996</v>
          </cell>
        </row>
        <row r="76">
          <cell r="C76" t="str">
            <v>B</v>
          </cell>
          <cell r="D76">
            <v>16</v>
          </cell>
          <cell r="E76">
            <v>11</v>
          </cell>
          <cell r="F76">
            <v>2</v>
          </cell>
          <cell r="G76">
            <v>38</v>
          </cell>
          <cell r="H76">
            <v>12</v>
          </cell>
          <cell r="I76">
            <v>22</v>
          </cell>
          <cell r="J76">
            <v>6</v>
          </cell>
          <cell r="K76" t="str">
            <v>4+6</v>
          </cell>
        </row>
        <row r="77">
          <cell r="A77">
            <v>31</v>
          </cell>
          <cell r="B77" t="str">
            <v>31.07.</v>
          </cell>
          <cell r="C77" t="str">
            <v>A</v>
          </cell>
          <cell r="D77">
            <v>13</v>
          </cell>
          <cell r="E77">
            <v>28</v>
          </cell>
          <cell r="F77">
            <v>39</v>
          </cell>
          <cell r="G77">
            <v>5</v>
          </cell>
          <cell r="H77">
            <v>9</v>
          </cell>
          <cell r="I77">
            <v>35</v>
          </cell>
          <cell r="J77">
            <v>42</v>
          </cell>
          <cell r="K77" t="str">
            <v>6+3</v>
          </cell>
          <cell r="L77">
            <v>27075912.5</v>
          </cell>
          <cell r="M77">
            <v>1</v>
          </cell>
          <cell r="N77">
            <v>4856931.8</v>
          </cell>
          <cell r="O77" t="str">
            <v/>
          </cell>
          <cell r="P77">
            <v>4</v>
          </cell>
          <cell r="Q77">
            <v>338448.9</v>
          </cell>
          <cell r="R77" t="str">
            <v/>
          </cell>
          <cell r="S77">
            <v>27</v>
          </cell>
          <cell r="T77">
            <v>30084.3</v>
          </cell>
          <cell r="U77" t="str">
            <v/>
          </cell>
          <cell r="V77">
            <v>828</v>
          </cell>
          <cell r="W77">
            <v>3106.5</v>
          </cell>
          <cell r="X77" t="str">
            <v/>
          </cell>
          <cell r="Y77">
            <v>46013</v>
          </cell>
          <cell r="Z77">
            <v>50</v>
          </cell>
          <cell r="AA77" t="str">
            <v/>
          </cell>
          <cell r="AB77">
            <v>57386</v>
          </cell>
          <cell r="AC77">
            <v>21.2</v>
          </cell>
          <cell r="AD77" t="str">
            <v/>
          </cell>
          <cell r="AE77">
            <v>780190</v>
          </cell>
          <cell r="AF77">
            <v>4.5999999999999996</v>
          </cell>
        </row>
        <row r="78">
          <cell r="C78" t="str">
            <v>B</v>
          </cell>
          <cell r="D78">
            <v>22</v>
          </cell>
          <cell r="E78">
            <v>9</v>
          </cell>
          <cell r="F78">
            <v>29</v>
          </cell>
          <cell r="G78">
            <v>31</v>
          </cell>
          <cell r="H78">
            <v>37</v>
          </cell>
          <cell r="I78">
            <v>7</v>
          </cell>
          <cell r="J78">
            <v>23</v>
          </cell>
          <cell r="K78" t="str">
            <v>6+3</v>
          </cell>
        </row>
        <row r="79">
          <cell r="A79">
            <v>32</v>
          </cell>
          <cell r="B79" t="str">
            <v>07.08.</v>
          </cell>
          <cell r="C79" t="str">
            <v>A</v>
          </cell>
          <cell r="D79">
            <v>31</v>
          </cell>
          <cell r="E79">
            <v>23</v>
          </cell>
          <cell r="F79">
            <v>26</v>
          </cell>
          <cell r="G79">
            <v>24</v>
          </cell>
          <cell r="H79">
            <v>4</v>
          </cell>
          <cell r="I79">
            <v>33</v>
          </cell>
          <cell r="J79">
            <v>46</v>
          </cell>
          <cell r="K79" t="str">
            <v>6+7</v>
          </cell>
          <cell r="L79">
            <v>26696982.5</v>
          </cell>
          <cell r="M79" t="str">
            <v>JP</v>
          </cell>
          <cell r="N79">
            <v>1601818.9</v>
          </cell>
          <cell r="O79" t="str">
            <v>JP</v>
          </cell>
          <cell r="P79">
            <v>1</v>
          </cell>
          <cell r="Q79">
            <v>1334849.1000000001</v>
          </cell>
          <cell r="R79" t="str">
            <v/>
          </cell>
          <cell r="S79">
            <v>21</v>
          </cell>
          <cell r="T79">
            <v>38138.5</v>
          </cell>
          <cell r="U79" t="str">
            <v/>
          </cell>
          <cell r="V79">
            <v>692</v>
          </cell>
          <cell r="W79">
            <v>3665</v>
          </cell>
          <cell r="X79" t="str">
            <v/>
          </cell>
          <cell r="Y79">
            <v>56701</v>
          </cell>
          <cell r="Z79">
            <v>40</v>
          </cell>
          <cell r="AA79" t="str">
            <v/>
          </cell>
          <cell r="AB79">
            <v>55074</v>
          </cell>
          <cell r="AC79">
            <v>21.8</v>
          </cell>
          <cell r="AD79" t="str">
            <v/>
          </cell>
          <cell r="AE79">
            <v>773394</v>
          </cell>
          <cell r="AF79">
            <v>4.5999999999999996</v>
          </cell>
        </row>
        <row r="80">
          <cell r="C80" t="str">
            <v>B</v>
          </cell>
          <cell r="D80">
            <v>2</v>
          </cell>
          <cell r="E80">
            <v>6</v>
          </cell>
          <cell r="F80">
            <v>17</v>
          </cell>
          <cell r="G80">
            <v>5</v>
          </cell>
          <cell r="H80">
            <v>48</v>
          </cell>
          <cell r="I80">
            <v>4</v>
          </cell>
          <cell r="J80">
            <v>24</v>
          </cell>
          <cell r="K80" t="str">
            <v>6+7</v>
          </cell>
        </row>
        <row r="81">
          <cell r="A81">
            <v>33</v>
          </cell>
          <cell r="B81" t="str">
            <v>14.08.</v>
          </cell>
          <cell r="C81" t="str">
            <v>A</v>
          </cell>
          <cell r="D81">
            <v>1</v>
          </cell>
          <cell r="E81">
            <v>11</v>
          </cell>
          <cell r="F81">
            <v>4</v>
          </cell>
          <cell r="G81">
            <v>27</v>
          </cell>
          <cell r="H81">
            <v>45</v>
          </cell>
          <cell r="I81">
            <v>19</v>
          </cell>
          <cell r="J81">
            <v>26</v>
          </cell>
          <cell r="K81" t="str">
            <v>0+4</v>
          </cell>
          <cell r="L81">
            <v>26139590</v>
          </cell>
          <cell r="M81" t="str">
            <v>JP</v>
          </cell>
          <cell r="N81">
            <v>3170194.3</v>
          </cell>
          <cell r="O81" t="str">
            <v>JP</v>
          </cell>
          <cell r="P81">
            <v>1</v>
          </cell>
          <cell r="Q81">
            <v>1306979.5</v>
          </cell>
          <cell r="R81" t="str">
            <v/>
          </cell>
          <cell r="S81">
            <v>20</v>
          </cell>
          <cell r="T81">
            <v>39209.300000000003</v>
          </cell>
          <cell r="U81" t="str">
            <v/>
          </cell>
          <cell r="V81">
            <v>862</v>
          </cell>
          <cell r="W81">
            <v>2880.8</v>
          </cell>
          <cell r="X81" t="str">
            <v/>
          </cell>
          <cell r="Y81">
            <v>44648</v>
          </cell>
          <cell r="Z81">
            <v>49.7</v>
          </cell>
          <cell r="AA81" t="str">
            <v/>
          </cell>
          <cell r="AB81">
            <v>51582</v>
          </cell>
          <cell r="AC81">
            <v>22.8</v>
          </cell>
          <cell r="AD81" t="str">
            <v/>
          </cell>
          <cell r="AE81">
            <v>743226</v>
          </cell>
          <cell r="AF81">
            <v>4.7</v>
          </cell>
        </row>
        <row r="82">
          <cell r="C82" t="str">
            <v>B</v>
          </cell>
          <cell r="D82">
            <v>30</v>
          </cell>
          <cell r="E82">
            <v>4</v>
          </cell>
          <cell r="F82">
            <v>23</v>
          </cell>
          <cell r="G82">
            <v>43</v>
          </cell>
          <cell r="H82">
            <v>27</v>
          </cell>
          <cell r="I82">
            <v>22</v>
          </cell>
          <cell r="J82">
            <v>15</v>
          </cell>
          <cell r="K82" t="str">
            <v>0+4</v>
          </cell>
        </row>
        <row r="83">
          <cell r="A83">
            <v>34</v>
          </cell>
          <cell r="B83" t="str">
            <v>21.08.</v>
          </cell>
          <cell r="C83" t="str">
            <v>A</v>
          </cell>
          <cell r="D83">
            <v>28</v>
          </cell>
          <cell r="E83">
            <v>27</v>
          </cell>
          <cell r="F83">
            <v>23</v>
          </cell>
          <cell r="G83">
            <v>25</v>
          </cell>
          <cell r="H83">
            <v>5</v>
          </cell>
          <cell r="I83">
            <v>44</v>
          </cell>
          <cell r="J83">
            <v>9</v>
          </cell>
          <cell r="K83" t="str">
            <v>6+7</v>
          </cell>
          <cell r="L83">
            <v>26806892.5</v>
          </cell>
          <cell r="M83" t="str">
            <v>JP</v>
          </cell>
          <cell r="N83">
            <v>4778607.8</v>
          </cell>
          <cell r="O83" t="str">
            <v>JP</v>
          </cell>
          <cell r="P83">
            <v>2</v>
          </cell>
          <cell r="Q83">
            <v>670172.30000000005</v>
          </cell>
          <cell r="R83" t="str">
            <v/>
          </cell>
          <cell r="S83">
            <v>14</v>
          </cell>
          <cell r="T83">
            <v>57443.3</v>
          </cell>
          <cell r="U83" t="str">
            <v/>
          </cell>
          <cell r="V83">
            <v>598</v>
          </cell>
          <cell r="W83">
            <v>4258.6000000000004</v>
          </cell>
          <cell r="X83" t="str">
            <v/>
          </cell>
          <cell r="Y83">
            <v>41072</v>
          </cell>
          <cell r="Z83">
            <v>55.4</v>
          </cell>
          <cell r="AA83" t="str">
            <v/>
          </cell>
          <cell r="AB83">
            <v>58053</v>
          </cell>
          <cell r="AC83">
            <v>20.7</v>
          </cell>
          <cell r="AD83" t="str">
            <v/>
          </cell>
          <cell r="AE83">
            <v>695785</v>
          </cell>
          <cell r="AF83">
            <v>5.2</v>
          </cell>
        </row>
        <row r="84">
          <cell r="C84" t="str">
            <v>B</v>
          </cell>
          <cell r="D84">
            <v>33</v>
          </cell>
          <cell r="E84">
            <v>7</v>
          </cell>
          <cell r="F84">
            <v>28</v>
          </cell>
          <cell r="G84">
            <v>41</v>
          </cell>
          <cell r="H84">
            <v>40</v>
          </cell>
          <cell r="I84">
            <v>23</v>
          </cell>
          <cell r="J84">
            <v>15</v>
          </cell>
          <cell r="K84" t="str">
            <v>6+7</v>
          </cell>
        </row>
        <row r="85">
          <cell r="A85">
            <v>35</v>
          </cell>
          <cell r="B85" t="str">
            <v>28.08.</v>
          </cell>
          <cell r="C85" t="str">
            <v>A</v>
          </cell>
          <cell r="D85">
            <v>41</v>
          </cell>
          <cell r="E85">
            <v>20</v>
          </cell>
          <cell r="F85">
            <v>44</v>
          </cell>
          <cell r="G85">
            <v>28</v>
          </cell>
          <cell r="H85">
            <v>36</v>
          </cell>
          <cell r="I85">
            <v>37</v>
          </cell>
          <cell r="J85">
            <v>3</v>
          </cell>
          <cell r="K85" t="str">
            <v>5+2</v>
          </cell>
          <cell r="L85">
            <v>27737752.5</v>
          </cell>
          <cell r="M85">
            <v>1</v>
          </cell>
          <cell r="N85">
            <v>6442872.9000000004</v>
          </cell>
          <cell r="O85" t="str">
            <v/>
          </cell>
          <cell r="P85">
            <v>1</v>
          </cell>
          <cell r="Q85">
            <v>1386887.6</v>
          </cell>
          <cell r="R85" t="str">
            <v/>
          </cell>
          <cell r="S85">
            <v>10</v>
          </cell>
          <cell r="T85">
            <v>83213.2</v>
          </cell>
          <cell r="U85" t="str">
            <v/>
          </cell>
          <cell r="V85">
            <v>395</v>
          </cell>
          <cell r="W85">
            <v>6671.1</v>
          </cell>
          <cell r="X85" t="str">
            <v/>
          </cell>
          <cell r="Y85">
            <v>27760</v>
          </cell>
          <cell r="Z85">
            <v>84.9</v>
          </cell>
          <cell r="AA85" t="str">
            <v/>
          </cell>
          <cell r="AB85">
            <v>45725</v>
          </cell>
          <cell r="AC85">
            <v>27.2</v>
          </cell>
          <cell r="AD85" t="str">
            <v/>
          </cell>
          <cell r="AE85">
            <v>549388</v>
          </cell>
          <cell r="AF85">
            <v>6.8</v>
          </cell>
        </row>
        <row r="86">
          <cell r="C86" t="str">
            <v>B</v>
          </cell>
          <cell r="D86">
            <v>37</v>
          </cell>
          <cell r="E86">
            <v>1</v>
          </cell>
          <cell r="F86">
            <v>48</v>
          </cell>
          <cell r="G86">
            <v>46</v>
          </cell>
          <cell r="H86">
            <v>20</v>
          </cell>
          <cell r="I86">
            <v>13</v>
          </cell>
          <cell r="J86">
            <v>33</v>
          </cell>
          <cell r="K86" t="str">
            <v>5+2</v>
          </cell>
        </row>
        <row r="87">
          <cell r="A87">
            <v>36</v>
          </cell>
          <cell r="B87" t="str">
            <v>04.09.</v>
          </cell>
          <cell r="C87" t="str">
            <v>A</v>
          </cell>
          <cell r="D87">
            <v>26</v>
          </cell>
          <cell r="E87">
            <v>24</v>
          </cell>
          <cell r="F87">
            <v>31</v>
          </cell>
          <cell r="G87">
            <v>48</v>
          </cell>
          <cell r="H87">
            <v>7</v>
          </cell>
          <cell r="I87">
            <v>17</v>
          </cell>
          <cell r="J87">
            <v>38</v>
          </cell>
          <cell r="K87" t="str">
            <v>1+3</v>
          </cell>
          <cell r="L87">
            <v>30134758.75</v>
          </cell>
          <cell r="M87">
            <v>1</v>
          </cell>
          <cell r="N87">
            <v>1808085.5</v>
          </cell>
          <cell r="O87" t="str">
            <v/>
          </cell>
          <cell r="P87">
            <v>2</v>
          </cell>
          <cell r="Q87">
            <v>753368.9</v>
          </cell>
          <cell r="R87" t="str">
            <v/>
          </cell>
          <cell r="S87">
            <v>20</v>
          </cell>
          <cell r="T87">
            <v>45202.1</v>
          </cell>
          <cell r="U87" t="str">
            <v/>
          </cell>
          <cell r="V87">
            <v>764</v>
          </cell>
          <cell r="W87">
            <v>3747.1</v>
          </cell>
          <cell r="X87" t="str">
            <v/>
          </cell>
          <cell r="Y87">
            <v>45075</v>
          </cell>
          <cell r="Z87">
            <v>56.8</v>
          </cell>
          <cell r="AA87" t="str">
            <v/>
          </cell>
          <cell r="AB87">
            <v>66393</v>
          </cell>
          <cell r="AC87">
            <v>20.399999999999999</v>
          </cell>
          <cell r="AD87" t="str">
            <v/>
          </cell>
          <cell r="AE87">
            <v>803087</v>
          </cell>
          <cell r="AF87">
            <v>5</v>
          </cell>
        </row>
        <row r="88">
          <cell r="C88" t="str">
            <v>B</v>
          </cell>
          <cell r="D88">
            <v>49</v>
          </cell>
          <cell r="E88">
            <v>12</v>
          </cell>
          <cell r="F88">
            <v>5</v>
          </cell>
          <cell r="G88">
            <v>34</v>
          </cell>
          <cell r="H88">
            <v>43</v>
          </cell>
          <cell r="I88">
            <v>33</v>
          </cell>
          <cell r="J88">
            <v>37</v>
          </cell>
          <cell r="K88" t="str">
            <v>1+3</v>
          </cell>
        </row>
        <row r="89">
          <cell r="A89">
            <v>37</v>
          </cell>
          <cell r="B89" t="str">
            <v>11.09.</v>
          </cell>
          <cell r="C89" t="str">
            <v>A</v>
          </cell>
          <cell r="D89">
            <v>35</v>
          </cell>
          <cell r="E89">
            <v>22</v>
          </cell>
          <cell r="F89">
            <v>8</v>
          </cell>
          <cell r="G89">
            <v>46</v>
          </cell>
          <cell r="H89">
            <v>4</v>
          </cell>
          <cell r="I89">
            <v>21</v>
          </cell>
          <cell r="J89">
            <v>20</v>
          </cell>
          <cell r="K89" t="str">
            <v>3+2</v>
          </cell>
          <cell r="L89">
            <v>27473711.25</v>
          </cell>
          <cell r="M89">
            <v>1</v>
          </cell>
          <cell r="N89">
            <v>1648422.6</v>
          </cell>
          <cell r="O89" t="str">
            <v/>
          </cell>
          <cell r="P89">
            <v>5</v>
          </cell>
          <cell r="Q89">
            <v>274737.09999999998</v>
          </cell>
          <cell r="R89" t="str">
            <v/>
          </cell>
          <cell r="S89">
            <v>22</v>
          </cell>
          <cell r="T89">
            <v>37464.1</v>
          </cell>
          <cell r="U89" t="str">
            <v/>
          </cell>
          <cell r="V89">
            <v>795</v>
          </cell>
          <cell r="W89">
            <v>3283</v>
          </cell>
          <cell r="X89" t="str">
            <v/>
          </cell>
          <cell r="Y89">
            <v>45073</v>
          </cell>
          <cell r="Z89">
            <v>51.8</v>
          </cell>
          <cell r="AA89" t="str">
            <v/>
          </cell>
          <cell r="AB89">
            <v>55656</v>
          </cell>
          <cell r="AC89">
            <v>22.2</v>
          </cell>
          <cell r="AD89" t="str">
            <v/>
          </cell>
          <cell r="AE89">
            <v>715742</v>
          </cell>
          <cell r="AF89">
            <v>5.0999999999999996</v>
          </cell>
        </row>
        <row r="90">
          <cell r="C90" t="str">
            <v>B</v>
          </cell>
          <cell r="D90">
            <v>34</v>
          </cell>
          <cell r="E90">
            <v>42</v>
          </cell>
          <cell r="F90">
            <v>24</v>
          </cell>
          <cell r="G90">
            <v>10</v>
          </cell>
          <cell r="H90">
            <v>18</v>
          </cell>
          <cell r="I90">
            <v>19</v>
          </cell>
          <cell r="J90">
            <v>38</v>
          </cell>
          <cell r="K90" t="str">
            <v>3+2</v>
          </cell>
        </row>
        <row r="91">
          <cell r="A91">
            <v>38</v>
          </cell>
          <cell r="B91" t="str">
            <v>18.09.</v>
          </cell>
          <cell r="C91" t="str">
            <v>A</v>
          </cell>
          <cell r="D91">
            <v>14</v>
          </cell>
          <cell r="E91">
            <v>26</v>
          </cell>
          <cell r="F91">
            <v>47</v>
          </cell>
          <cell r="G91">
            <v>11</v>
          </cell>
          <cell r="H91">
            <v>42</v>
          </cell>
          <cell r="I91">
            <v>2</v>
          </cell>
          <cell r="J91">
            <v>18</v>
          </cell>
          <cell r="K91" t="str">
            <v>0+1</v>
          </cell>
          <cell r="L91">
            <v>27244932.5</v>
          </cell>
          <cell r="M91">
            <v>2</v>
          </cell>
          <cell r="N91">
            <v>817347.9</v>
          </cell>
          <cell r="O91" t="str">
            <v/>
          </cell>
          <cell r="P91">
            <v>3</v>
          </cell>
          <cell r="Q91">
            <v>454082.2</v>
          </cell>
          <cell r="R91" t="str">
            <v/>
          </cell>
          <cell r="S91">
            <v>16</v>
          </cell>
          <cell r="T91">
            <v>51084.2</v>
          </cell>
          <cell r="U91" t="str">
            <v/>
          </cell>
          <cell r="V91">
            <v>1076</v>
          </cell>
          <cell r="W91">
            <v>2405.4</v>
          </cell>
          <cell r="X91" t="str">
            <v/>
          </cell>
          <cell r="Y91">
            <v>49887</v>
          </cell>
          <cell r="Z91">
            <v>46.4</v>
          </cell>
          <cell r="AA91" t="str">
            <v/>
          </cell>
          <cell r="AB91">
            <v>56942</v>
          </cell>
          <cell r="AC91">
            <v>21.5</v>
          </cell>
          <cell r="AD91" t="str">
            <v/>
          </cell>
          <cell r="AE91">
            <v>773900</v>
          </cell>
          <cell r="AF91">
            <v>4.7</v>
          </cell>
        </row>
        <row r="92">
          <cell r="C92" t="str">
            <v>B</v>
          </cell>
          <cell r="D92">
            <v>5</v>
          </cell>
          <cell r="E92">
            <v>35</v>
          </cell>
          <cell r="F92">
            <v>27</v>
          </cell>
          <cell r="G92">
            <v>17</v>
          </cell>
          <cell r="H92">
            <v>23</v>
          </cell>
          <cell r="I92">
            <v>39</v>
          </cell>
          <cell r="J92">
            <v>28</v>
          </cell>
          <cell r="K92" t="str">
            <v>0+1</v>
          </cell>
        </row>
        <row r="93">
          <cell r="A93">
            <v>39</v>
          </cell>
          <cell r="B93" t="str">
            <v>25.09.</v>
          </cell>
          <cell r="C93" t="str">
            <v>A</v>
          </cell>
          <cell r="D93">
            <v>25</v>
          </cell>
          <cell r="E93">
            <v>35</v>
          </cell>
          <cell r="F93">
            <v>15</v>
          </cell>
          <cell r="G93">
            <v>46</v>
          </cell>
          <cell r="H93">
            <v>18</v>
          </cell>
          <cell r="I93">
            <v>44</v>
          </cell>
          <cell r="J93">
            <v>41</v>
          </cell>
          <cell r="K93" t="str">
            <v>4+3</v>
          </cell>
          <cell r="L93">
            <v>26972637.5</v>
          </cell>
          <cell r="M93">
            <v>1</v>
          </cell>
          <cell r="N93">
            <v>1618358.2</v>
          </cell>
          <cell r="O93" t="str">
            <v/>
          </cell>
          <cell r="P93">
            <v>2</v>
          </cell>
          <cell r="Q93">
            <v>674315.9</v>
          </cell>
          <cell r="R93" t="str">
            <v/>
          </cell>
          <cell r="S93">
            <v>4</v>
          </cell>
          <cell r="T93">
            <v>202294.7</v>
          </cell>
          <cell r="U93" t="str">
            <v/>
          </cell>
          <cell r="V93">
            <v>517</v>
          </cell>
          <cell r="W93">
            <v>4956.2</v>
          </cell>
          <cell r="X93" t="str">
            <v/>
          </cell>
          <cell r="Y93">
            <v>33106</v>
          </cell>
          <cell r="Z93">
            <v>69.2</v>
          </cell>
          <cell r="AA93" t="str">
            <v/>
          </cell>
          <cell r="AB93">
            <v>43114</v>
          </cell>
          <cell r="AC93">
            <v>28.1</v>
          </cell>
          <cell r="AD93" t="str">
            <v/>
          </cell>
          <cell r="AE93">
            <v>605902</v>
          </cell>
          <cell r="AF93">
            <v>6</v>
          </cell>
        </row>
        <row r="94">
          <cell r="C94" t="str">
            <v>B</v>
          </cell>
          <cell r="D94">
            <v>45</v>
          </cell>
          <cell r="E94">
            <v>39</v>
          </cell>
          <cell r="F94">
            <v>42</v>
          </cell>
          <cell r="G94">
            <v>44</v>
          </cell>
          <cell r="H94">
            <v>8</v>
          </cell>
          <cell r="I94">
            <v>26</v>
          </cell>
          <cell r="J94">
            <v>27</v>
          </cell>
          <cell r="K94" t="str">
            <v>4+3</v>
          </cell>
        </row>
        <row r="95">
          <cell r="A95">
            <v>40</v>
          </cell>
          <cell r="B95" t="str">
            <v>02.10.</v>
          </cell>
          <cell r="C95" t="str">
            <v>A</v>
          </cell>
          <cell r="D95">
            <v>7</v>
          </cell>
          <cell r="E95">
            <v>31</v>
          </cell>
          <cell r="F95">
            <v>32</v>
          </cell>
          <cell r="G95">
            <v>18</v>
          </cell>
          <cell r="H95">
            <v>17</v>
          </cell>
          <cell r="I95">
            <v>26</v>
          </cell>
          <cell r="J95">
            <v>21</v>
          </cell>
          <cell r="K95" t="str">
            <v>3+2</v>
          </cell>
          <cell r="L95">
            <v>26741873.75</v>
          </cell>
          <cell r="M95" t="str">
            <v>JP</v>
          </cell>
          <cell r="N95">
            <v>1604512.4</v>
          </cell>
          <cell r="O95" t="str">
            <v>JP</v>
          </cell>
          <cell r="P95">
            <v>2</v>
          </cell>
          <cell r="Q95">
            <v>668546.80000000005</v>
          </cell>
          <cell r="R95" t="str">
            <v/>
          </cell>
          <cell r="S95">
            <v>36</v>
          </cell>
          <cell r="T95">
            <v>22284.799999999999</v>
          </cell>
          <cell r="U95" t="str">
            <v/>
          </cell>
          <cell r="V95">
            <v>1203</v>
          </cell>
          <cell r="W95">
            <v>2111.6999999999998</v>
          </cell>
          <cell r="X95" t="str">
            <v/>
          </cell>
          <cell r="Y95">
            <v>57013</v>
          </cell>
          <cell r="Z95">
            <v>39.799999999999997</v>
          </cell>
          <cell r="AA95" t="str">
            <v/>
          </cell>
          <cell r="AB95">
            <v>68071</v>
          </cell>
          <cell r="AC95">
            <v>17.600000000000001</v>
          </cell>
          <cell r="AD95" t="str">
            <v/>
          </cell>
          <cell r="AE95">
            <v>894471</v>
          </cell>
          <cell r="AF95">
            <v>4</v>
          </cell>
        </row>
        <row r="96">
          <cell r="C96" t="str">
            <v>B</v>
          </cell>
          <cell r="D96">
            <v>17</v>
          </cell>
          <cell r="E96">
            <v>39</v>
          </cell>
          <cell r="F96">
            <v>32</v>
          </cell>
          <cell r="G96">
            <v>10</v>
          </cell>
          <cell r="H96">
            <v>26</v>
          </cell>
          <cell r="I96">
            <v>27</v>
          </cell>
          <cell r="J96">
            <v>47</v>
          </cell>
          <cell r="K96" t="str">
            <v>3+2</v>
          </cell>
        </row>
        <row r="97">
          <cell r="A97">
            <v>41</v>
          </cell>
          <cell r="B97" t="str">
            <v>09.10.</v>
          </cell>
          <cell r="C97" t="str">
            <v>A</v>
          </cell>
          <cell r="D97">
            <v>8</v>
          </cell>
          <cell r="E97">
            <v>49</v>
          </cell>
          <cell r="F97">
            <v>31</v>
          </cell>
          <cell r="G97">
            <v>29</v>
          </cell>
          <cell r="H97">
            <v>47</v>
          </cell>
          <cell r="I97">
            <v>9</v>
          </cell>
          <cell r="J97">
            <v>19</v>
          </cell>
          <cell r="K97" t="str">
            <v>8+1</v>
          </cell>
          <cell r="L97">
            <v>27937150</v>
          </cell>
          <cell r="M97">
            <v>1</v>
          </cell>
          <cell r="N97">
            <v>3280741.4</v>
          </cell>
          <cell r="O97" t="str">
            <v/>
          </cell>
          <cell r="P97">
            <v>4</v>
          </cell>
          <cell r="Q97">
            <v>349214.3</v>
          </cell>
          <cell r="R97" t="str">
            <v/>
          </cell>
          <cell r="S97">
            <v>52</v>
          </cell>
          <cell r="T97">
            <v>16117.5</v>
          </cell>
          <cell r="U97" t="str">
            <v/>
          </cell>
          <cell r="V97">
            <v>1061</v>
          </cell>
          <cell r="W97">
            <v>2501.4</v>
          </cell>
          <cell r="X97" t="str">
            <v/>
          </cell>
          <cell r="Y97">
            <v>53587</v>
          </cell>
          <cell r="Z97">
            <v>44.3</v>
          </cell>
          <cell r="AA97" t="str">
            <v/>
          </cell>
          <cell r="AB97">
            <v>87232</v>
          </cell>
          <cell r="AC97">
            <v>14.4</v>
          </cell>
          <cell r="AD97" t="str">
            <v/>
          </cell>
          <cell r="AE97">
            <v>821537</v>
          </cell>
          <cell r="AF97">
            <v>4.5</v>
          </cell>
        </row>
        <row r="98">
          <cell r="C98" t="str">
            <v>B</v>
          </cell>
          <cell r="D98">
            <v>4</v>
          </cell>
          <cell r="E98">
            <v>3</v>
          </cell>
          <cell r="F98">
            <v>16</v>
          </cell>
          <cell r="G98">
            <v>11</v>
          </cell>
          <cell r="H98">
            <v>10</v>
          </cell>
          <cell r="I98">
            <v>24</v>
          </cell>
          <cell r="J98">
            <v>21</v>
          </cell>
          <cell r="K98" t="str">
            <v>8+1</v>
          </cell>
        </row>
        <row r="99">
          <cell r="A99">
            <v>42</v>
          </cell>
          <cell r="B99" t="str">
            <v>16.10.</v>
          </cell>
          <cell r="C99" t="str">
            <v>A</v>
          </cell>
          <cell r="D99">
            <v>44</v>
          </cell>
          <cell r="E99">
            <v>43</v>
          </cell>
          <cell r="F99">
            <v>27</v>
          </cell>
          <cell r="G99">
            <v>6</v>
          </cell>
          <cell r="H99">
            <v>14</v>
          </cell>
          <cell r="I99">
            <v>10</v>
          </cell>
          <cell r="J99">
            <v>35</v>
          </cell>
          <cell r="K99" t="str">
            <v>5+8</v>
          </cell>
          <cell r="L99">
            <v>27187135</v>
          </cell>
          <cell r="M99" t="str">
            <v>JP</v>
          </cell>
          <cell r="N99">
            <v>1631228.1</v>
          </cell>
          <cell r="O99" t="str">
            <v>JP</v>
          </cell>
          <cell r="P99">
            <v>3</v>
          </cell>
          <cell r="Q99">
            <v>453118.9</v>
          </cell>
          <cell r="R99" t="str">
            <v/>
          </cell>
          <cell r="S99">
            <v>10</v>
          </cell>
          <cell r="T99">
            <v>81561.399999999994</v>
          </cell>
          <cell r="U99" t="str">
            <v/>
          </cell>
          <cell r="V99">
            <v>485</v>
          </cell>
          <cell r="W99">
            <v>5325.3</v>
          </cell>
          <cell r="X99" t="str">
            <v/>
          </cell>
          <cell r="Y99">
            <v>33775</v>
          </cell>
          <cell r="Z99">
            <v>68.400000000000006</v>
          </cell>
          <cell r="AA99" t="str">
            <v/>
          </cell>
          <cell r="AB99">
            <v>40844</v>
          </cell>
          <cell r="AC99">
            <v>29.9</v>
          </cell>
          <cell r="AD99" t="str">
            <v/>
          </cell>
          <cell r="AE99">
            <v>630108</v>
          </cell>
          <cell r="AF99">
            <v>5.8</v>
          </cell>
        </row>
        <row r="100">
          <cell r="C100" t="str">
            <v>B</v>
          </cell>
          <cell r="D100">
            <v>19</v>
          </cell>
          <cell r="E100">
            <v>16</v>
          </cell>
          <cell r="F100">
            <v>47</v>
          </cell>
          <cell r="G100">
            <v>15</v>
          </cell>
          <cell r="H100">
            <v>40</v>
          </cell>
          <cell r="I100">
            <v>38</v>
          </cell>
          <cell r="J100">
            <v>1</v>
          </cell>
          <cell r="K100" t="str">
            <v>5+8</v>
          </cell>
        </row>
        <row r="101">
          <cell r="A101">
            <v>43</v>
          </cell>
          <cell r="B101" t="str">
            <v>23.10.</v>
          </cell>
          <cell r="C101" t="str">
            <v>A</v>
          </cell>
          <cell r="D101">
            <v>20</v>
          </cell>
          <cell r="E101">
            <v>12</v>
          </cell>
          <cell r="F101">
            <v>11</v>
          </cell>
          <cell r="G101">
            <v>41</v>
          </cell>
          <cell r="H101">
            <v>43</v>
          </cell>
          <cell r="I101">
            <v>9</v>
          </cell>
          <cell r="J101">
            <v>46</v>
          </cell>
          <cell r="K101" t="str">
            <v>0+1</v>
          </cell>
          <cell r="L101">
            <v>27129438.75</v>
          </cell>
          <cell r="M101" t="str">
            <v>JP</v>
          </cell>
          <cell r="N101">
            <v>3258994.4</v>
          </cell>
          <cell r="O101" t="str">
            <v>JP</v>
          </cell>
          <cell r="P101">
            <v>1</v>
          </cell>
          <cell r="Q101">
            <v>1356471.9</v>
          </cell>
          <cell r="R101" t="str">
            <v/>
          </cell>
          <cell r="S101">
            <v>42</v>
          </cell>
          <cell r="T101">
            <v>19378.099999999999</v>
          </cell>
          <cell r="U101" t="str">
            <v/>
          </cell>
          <cell r="V101">
            <v>769</v>
          </cell>
          <cell r="W101">
            <v>3351.4</v>
          </cell>
          <cell r="X101" t="str">
            <v/>
          </cell>
          <cell r="Y101">
            <v>41460</v>
          </cell>
          <cell r="Z101">
            <v>55.6</v>
          </cell>
          <cell r="AA101" t="str">
            <v/>
          </cell>
          <cell r="AB101">
            <v>47008</v>
          </cell>
          <cell r="AC101">
            <v>25.9</v>
          </cell>
          <cell r="AD101" t="str">
            <v/>
          </cell>
          <cell r="AE101">
            <v>715578</v>
          </cell>
          <cell r="AF101">
            <v>5.0999999999999996</v>
          </cell>
        </row>
        <row r="102">
          <cell r="C102" t="str">
            <v>B</v>
          </cell>
          <cell r="D102">
            <v>34</v>
          </cell>
          <cell r="E102">
            <v>32</v>
          </cell>
          <cell r="F102">
            <v>40</v>
          </cell>
          <cell r="G102">
            <v>37</v>
          </cell>
          <cell r="H102">
            <v>48</v>
          </cell>
          <cell r="I102">
            <v>23</v>
          </cell>
          <cell r="J102">
            <v>45</v>
          </cell>
          <cell r="K102" t="str">
            <v>0+1</v>
          </cell>
        </row>
        <row r="103">
          <cell r="A103">
            <v>44</v>
          </cell>
          <cell r="B103" t="str">
            <v>30.10.</v>
          </cell>
          <cell r="C103" t="str">
            <v>A</v>
          </cell>
          <cell r="D103">
            <v>12</v>
          </cell>
          <cell r="E103">
            <v>42</v>
          </cell>
          <cell r="F103">
            <v>43</v>
          </cell>
          <cell r="G103">
            <v>4</v>
          </cell>
          <cell r="H103">
            <v>44</v>
          </cell>
          <cell r="I103">
            <v>30</v>
          </cell>
          <cell r="J103">
            <v>3</v>
          </cell>
          <cell r="K103" t="str">
            <v>3+9</v>
          </cell>
          <cell r="L103">
            <v>28431195</v>
          </cell>
          <cell r="M103" t="str">
            <v>JP</v>
          </cell>
          <cell r="N103">
            <v>4964866.0999999996</v>
          </cell>
          <cell r="O103" t="str">
            <v>JP</v>
          </cell>
          <cell r="P103">
            <v>1</v>
          </cell>
          <cell r="Q103">
            <v>1421559.7</v>
          </cell>
          <cell r="R103" t="str">
            <v/>
          </cell>
          <cell r="S103">
            <v>17</v>
          </cell>
          <cell r="T103">
            <v>50172.6</v>
          </cell>
          <cell r="U103" t="str">
            <v/>
          </cell>
          <cell r="V103">
            <v>812</v>
          </cell>
          <cell r="W103">
            <v>3326.3</v>
          </cell>
          <cell r="X103" t="str">
            <v/>
          </cell>
          <cell r="Y103">
            <v>42896</v>
          </cell>
          <cell r="Z103">
            <v>56.3</v>
          </cell>
          <cell r="AA103" t="str">
            <v/>
          </cell>
          <cell r="AB103">
            <v>49925</v>
          </cell>
          <cell r="AC103">
            <v>25.6</v>
          </cell>
          <cell r="AD103" t="str">
            <v/>
          </cell>
          <cell r="AE103">
            <v>752112</v>
          </cell>
          <cell r="AF103">
            <v>5.0999999999999996</v>
          </cell>
        </row>
        <row r="104">
          <cell r="C104" t="str">
            <v>B</v>
          </cell>
          <cell r="D104">
            <v>14</v>
          </cell>
          <cell r="E104">
            <v>26</v>
          </cell>
          <cell r="F104">
            <v>12</v>
          </cell>
          <cell r="G104">
            <v>1</v>
          </cell>
          <cell r="H104">
            <v>5</v>
          </cell>
          <cell r="I104">
            <v>27</v>
          </cell>
          <cell r="J104">
            <v>44</v>
          </cell>
          <cell r="K104" t="str">
            <v>3+9</v>
          </cell>
        </row>
        <row r="105">
          <cell r="A105">
            <v>45</v>
          </cell>
          <cell r="B105" t="str">
            <v>06.11.</v>
          </cell>
          <cell r="C105" t="str">
            <v>A</v>
          </cell>
          <cell r="D105">
            <v>38</v>
          </cell>
          <cell r="E105">
            <v>16</v>
          </cell>
          <cell r="F105">
            <v>11</v>
          </cell>
          <cell r="G105">
            <v>35</v>
          </cell>
          <cell r="H105">
            <v>14</v>
          </cell>
          <cell r="I105">
            <v>42</v>
          </cell>
          <cell r="J105">
            <v>28</v>
          </cell>
          <cell r="K105" t="str">
            <v>2+5</v>
          </cell>
          <cell r="L105">
            <v>27843642.5</v>
          </cell>
          <cell r="M105">
            <v>1</v>
          </cell>
          <cell r="N105">
            <v>6635484.5999999996</v>
          </cell>
          <cell r="O105" t="str">
            <v/>
          </cell>
          <cell r="P105">
            <v>1</v>
          </cell>
          <cell r="Q105">
            <v>1392182.1</v>
          </cell>
          <cell r="R105" t="str">
            <v/>
          </cell>
          <cell r="S105">
            <v>21</v>
          </cell>
          <cell r="T105">
            <v>39776.6</v>
          </cell>
          <cell r="U105" t="str">
            <v/>
          </cell>
          <cell r="V105">
            <v>689</v>
          </cell>
          <cell r="W105">
            <v>3839.1</v>
          </cell>
          <cell r="X105" t="str">
            <v/>
          </cell>
          <cell r="Y105">
            <v>38956</v>
          </cell>
          <cell r="Z105">
            <v>60.7</v>
          </cell>
          <cell r="AA105" t="str">
            <v/>
          </cell>
          <cell r="AB105">
            <v>68112</v>
          </cell>
          <cell r="AC105">
            <v>18.3</v>
          </cell>
          <cell r="AD105" t="str">
            <v/>
          </cell>
          <cell r="AE105">
            <v>675077</v>
          </cell>
          <cell r="AF105">
            <v>5.5</v>
          </cell>
        </row>
        <row r="106">
          <cell r="C106" t="str">
            <v>B</v>
          </cell>
          <cell r="D106">
            <v>33</v>
          </cell>
          <cell r="E106">
            <v>23</v>
          </cell>
          <cell r="F106">
            <v>38</v>
          </cell>
          <cell r="G106">
            <v>19</v>
          </cell>
          <cell r="H106">
            <v>22</v>
          </cell>
          <cell r="I106">
            <v>44</v>
          </cell>
          <cell r="J106">
            <v>18</v>
          </cell>
          <cell r="K106" t="str">
            <v>2+5</v>
          </cell>
        </row>
        <row r="107">
          <cell r="A107">
            <v>46</v>
          </cell>
          <cell r="B107" t="str">
            <v>13.11.</v>
          </cell>
          <cell r="C107" t="str">
            <v>A</v>
          </cell>
          <cell r="D107">
            <v>28</v>
          </cell>
          <cell r="E107">
            <v>10</v>
          </cell>
          <cell r="F107">
            <v>46</v>
          </cell>
          <cell r="G107">
            <v>26</v>
          </cell>
          <cell r="H107">
            <v>24</v>
          </cell>
          <cell r="I107">
            <v>13</v>
          </cell>
          <cell r="J107">
            <v>22</v>
          </cell>
          <cell r="K107" t="str">
            <v>1+9</v>
          </cell>
          <cell r="L107">
            <v>27754671.25</v>
          </cell>
          <cell r="M107" t="str">
            <v>JP</v>
          </cell>
          <cell r="N107">
            <v>1665280.2</v>
          </cell>
          <cell r="O107" t="str">
            <v>JP</v>
          </cell>
          <cell r="P107">
            <v>1</v>
          </cell>
          <cell r="Q107">
            <v>1387733.5</v>
          </cell>
          <cell r="R107" t="str">
            <v/>
          </cell>
          <cell r="S107">
            <v>12</v>
          </cell>
          <cell r="T107">
            <v>69386.600000000006</v>
          </cell>
          <cell r="U107" t="str">
            <v/>
          </cell>
          <cell r="V107">
            <v>630</v>
          </cell>
          <cell r="W107">
            <v>4185.2</v>
          </cell>
          <cell r="X107" t="str">
            <v/>
          </cell>
          <cell r="Y107">
            <v>38524</v>
          </cell>
          <cell r="Z107">
            <v>61.2</v>
          </cell>
          <cell r="AA107" t="str">
            <v/>
          </cell>
          <cell r="AB107">
            <v>49341</v>
          </cell>
          <cell r="AC107">
            <v>25.3</v>
          </cell>
          <cell r="AD107" t="str">
            <v/>
          </cell>
          <cell r="AE107">
            <v>697268</v>
          </cell>
          <cell r="AF107">
            <v>5.3</v>
          </cell>
        </row>
        <row r="108">
          <cell r="C108" t="str">
            <v>B</v>
          </cell>
          <cell r="D108">
            <v>35</v>
          </cell>
          <cell r="E108">
            <v>44</v>
          </cell>
          <cell r="F108">
            <v>29</v>
          </cell>
          <cell r="G108">
            <v>34</v>
          </cell>
          <cell r="H108">
            <v>11</v>
          </cell>
          <cell r="I108">
            <v>25</v>
          </cell>
          <cell r="J108">
            <v>32</v>
          </cell>
          <cell r="K108" t="str">
            <v>1+9</v>
          </cell>
        </row>
        <row r="109">
          <cell r="A109">
            <v>47</v>
          </cell>
          <cell r="B109" t="str">
            <v>20.11.</v>
          </cell>
          <cell r="C109" t="str">
            <v>A</v>
          </cell>
          <cell r="D109">
            <v>47</v>
          </cell>
          <cell r="E109">
            <v>43</v>
          </cell>
          <cell r="F109">
            <v>16</v>
          </cell>
          <cell r="G109">
            <v>44</v>
          </cell>
          <cell r="H109">
            <v>36</v>
          </cell>
          <cell r="I109">
            <v>8</v>
          </cell>
          <cell r="J109">
            <v>30</v>
          </cell>
          <cell r="K109" t="str">
            <v>6+9</v>
          </cell>
          <cell r="L109">
            <v>27583293.75</v>
          </cell>
          <cell r="M109" t="str">
            <v>JP</v>
          </cell>
          <cell r="N109">
            <v>3320277.8</v>
          </cell>
          <cell r="O109" t="str">
            <v>JP</v>
          </cell>
          <cell r="P109">
            <v>1</v>
          </cell>
          <cell r="Q109">
            <v>1379164.6</v>
          </cell>
          <cell r="R109" t="str">
            <v/>
          </cell>
          <cell r="S109">
            <v>13</v>
          </cell>
          <cell r="T109">
            <v>63653.7</v>
          </cell>
          <cell r="U109" t="str">
            <v/>
          </cell>
          <cell r="V109">
            <v>427</v>
          </cell>
          <cell r="W109">
            <v>6136.7</v>
          </cell>
          <cell r="X109" t="str">
            <v/>
          </cell>
          <cell r="Y109">
            <v>31041</v>
          </cell>
          <cell r="Z109">
            <v>75.5</v>
          </cell>
          <cell r="AA109" t="str">
            <v/>
          </cell>
          <cell r="AB109">
            <v>39250</v>
          </cell>
          <cell r="AC109">
            <v>31.6</v>
          </cell>
          <cell r="AD109" t="str">
            <v/>
          </cell>
          <cell r="AE109">
            <v>622306</v>
          </cell>
          <cell r="AF109">
            <v>5.9</v>
          </cell>
        </row>
        <row r="110">
          <cell r="C110" t="str">
            <v>B</v>
          </cell>
          <cell r="D110">
            <v>1</v>
          </cell>
          <cell r="E110">
            <v>37</v>
          </cell>
          <cell r="F110">
            <v>29</v>
          </cell>
          <cell r="G110">
            <v>46</v>
          </cell>
          <cell r="H110">
            <v>7</v>
          </cell>
          <cell r="I110">
            <v>6</v>
          </cell>
          <cell r="J110">
            <v>45</v>
          </cell>
          <cell r="K110" t="str">
            <v>6+9</v>
          </cell>
        </row>
        <row r="111">
          <cell r="A111">
            <v>48</v>
          </cell>
          <cell r="B111" t="str">
            <v>27.11.</v>
          </cell>
          <cell r="C111" t="str">
            <v>A</v>
          </cell>
          <cell r="D111">
            <v>25</v>
          </cell>
          <cell r="E111">
            <v>30</v>
          </cell>
          <cell r="F111">
            <v>46</v>
          </cell>
          <cell r="G111">
            <v>31</v>
          </cell>
          <cell r="H111">
            <v>12</v>
          </cell>
          <cell r="I111">
            <v>13</v>
          </cell>
          <cell r="J111">
            <v>11</v>
          </cell>
          <cell r="K111" t="str">
            <v>8+2</v>
          </cell>
          <cell r="L111">
            <v>27721192.5</v>
          </cell>
          <cell r="M111" t="str">
            <v>JP</v>
          </cell>
          <cell r="N111">
            <v>4983549.3</v>
          </cell>
          <cell r="O111" t="str">
            <v>JP</v>
          </cell>
          <cell r="P111">
            <v>4</v>
          </cell>
          <cell r="Q111">
            <v>346514.9</v>
          </cell>
          <cell r="R111" t="str">
            <v/>
          </cell>
          <cell r="S111">
            <v>30</v>
          </cell>
          <cell r="T111">
            <v>27721.1</v>
          </cell>
          <cell r="U111" t="str">
            <v/>
          </cell>
          <cell r="V111">
            <v>969</v>
          </cell>
          <cell r="W111">
            <v>2717.7</v>
          </cell>
          <cell r="X111" t="str">
            <v/>
          </cell>
          <cell r="Y111">
            <v>44805</v>
          </cell>
          <cell r="Z111">
            <v>52.5</v>
          </cell>
          <cell r="AA111" t="str">
            <v/>
          </cell>
          <cell r="AB111">
            <v>58456</v>
          </cell>
          <cell r="AC111">
            <v>21.3</v>
          </cell>
          <cell r="AD111" t="str">
            <v/>
          </cell>
          <cell r="AE111">
            <v>770724</v>
          </cell>
          <cell r="AF111">
            <v>4.8</v>
          </cell>
        </row>
        <row r="112">
          <cell r="C112" t="str">
            <v>B</v>
          </cell>
          <cell r="D112">
            <v>27</v>
          </cell>
          <cell r="E112">
            <v>15</v>
          </cell>
          <cell r="F112">
            <v>17</v>
          </cell>
          <cell r="G112">
            <v>25</v>
          </cell>
          <cell r="H112">
            <v>36</v>
          </cell>
          <cell r="I112">
            <v>23</v>
          </cell>
          <cell r="J112">
            <v>34</v>
          </cell>
          <cell r="K112" t="str">
            <v>8+2</v>
          </cell>
        </row>
        <row r="113">
          <cell r="A113" t="str">
            <v>49.</v>
          </cell>
          <cell r="B113" t="str">
            <v>04.12.</v>
          </cell>
          <cell r="C113" t="str">
            <v>A</v>
          </cell>
          <cell r="D113">
            <v>38</v>
          </cell>
          <cell r="E113">
            <v>7</v>
          </cell>
          <cell r="F113">
            <v>31</v>
          </cell>
          <cell r="G113">
            <v>3</v>
          </cell>
          <cell r="H113">
            <v>40</v>
          </cell>
          <cell r="I113">
            <v>18</v>
          </cell>
          <cell r="J113">
            <v>20</v>
          </cell>
          <cell r="K113" t="str">
            <v>5+9</v>
          </cell>
          <cell r="L113">
            <v>32155312.5</v>
          </cell>
          <cell r="M113" t="str">
            <v>JP</v>
          </cell>
          <cell r="N113">
            <v>6912868</v>
          </cell>
          <cell r="O113" t="str">
            <v>JP</v>
          </cell>
          <cell r="P113">
            <v>3</v>
          </cell>
          <cell r="Q113">
            <v>535921.80000000005</v>
          </cell>
          <cell r="R113" t="str">
            <v/>
          </cell>
          <cell r="S113">
            <v>20</v>
          </cell>
          <cell r="T113">
            <v>48232.9</v>
          </cell>
          <cell r="U113" t="str">
            <v/>
          </cell>
          <cell r="V113">
            <v>938</v>
          </cell>
          <cell r="W113">
            <v>3256.6</v>
          </cell>
          <cell r="X113" t="str">
            <v/>
          </cell>
          <cell r="Y113">
            <v>50935</v>
          </cell>
          <cell r="Z113">
            <v>53.6</v>
          </cell>
          <cell r="AA113" t="str">
            <v/>
          </cell>
          <cell r="AB113">
            <v>62122</v>
          </cell>
          <cell r="AC113">
            <v>23.2</v>
          </cell>
          <cell r="AD113" t="str">
            <v/>
          </cell>
          <cell r="AE113">
            <v>888787</v>
          </cell>
          <cell r="AF113">
            <v>4.8</v>
          </cell>
        </row>
        <row r="114">
          <cell r="C114" t="str">
            <v>B</v>
          </cell>
          <cell r="D114">
            <v>17</v>
          </cell>
          <cell r="E114">
            <v>22</v>
          </cell>
          <cell r="F114">
            <v>42</v>
          </cell>
          <cell r="G114">
            <v>39</v>
          </cell>
          <cell r="H114">
            <v>40</v>
          </cell>
          <cell r="I114">
            <v>48</v>
          </cell>
          <cell r="J114">
            <v>47</v>
          </cell>
          <cell r="K114" t="str">
            <v>5+9</v>
          </cell>
        </row>
        <row r="115">
          <cell r="A115">
            <v>50</v>
          </cell>
          <cell r="B115" t="str">
            <v>11.12.</v>
          </cell>
          <cell r="C115" t="str">
            <v>A</v>
          </cell>
          <cell r="D115">
            <v>15</v>
          </cell>
          <cell r="E115">
            <v>41</v>
          </cell>
          <cell r="F115">
            <v>24</v>
          </cell>
          <cell r="G115">
            <v>47</v>
          </cell>
          <cell r="H115">
            <v>14</v>
          </cell>
          <cell r="I115">
            <v>22</v>
          </cell>
          <cell r="J115">
            <v>29</v>
          </cell>
          <cell r="K115" t="str">
            <v>4+7</v>
          </cell>
          <cell r="L115">
            <v>30245366.25</v>
          </cell>
          <cell r="M115">
            <v>1</v>
          </cell>
          <cell r="N115">
            <v>8727589.9000000004</v>
          </cell>
          <cell r="O115" t="str">
            <v/>
          </cell>
          <cell r="P115">
            <v>2</v>
          </cell>
          <cell r="Q115">
            <v>756134.1</v>
          </cell>
          <cell r="R115" t="str">
            <v/>
          </cell>
          <cell r="S115">
            <v>4</v>
          </cell>
          <cell r="T115">
            <v>226840.2</v>
          </cell>
          <cell r="U115" t="str">
            <v/>
          </cell>
          <cell r="V115">
            <v>770</v>
          </cell>
          <cell r="W115">
            <v>3731.5</v>
          </cell>
          <cell r="X115" t="str">
            <v/>
          </cell>
          <cell r="Y115">
            <v>40577</v>
          </cell>
          <cell r="Z115">
            <v>63.3</v>
          </cell>
          <cell r="AA115" t="str">
            <v/>
          </cell>
          <cell r="AB115">
            <v>51721</v>
          </cell>
          <cell r="AC115">
            <v>26.3</v>
          </cell>
          <cell r="AD115" t="str">
            <v/>
          </cell>
          <cell r="AE115">
            <v>735491</v>
          </cell>
          <cell r="AF115">
            <v>5.5</v>
          </cell>
        </row>
        <row r="116">
          <cell r="C116" t="str">
            <v>B</v>
          </cell>
          <cell r="D116">
            <v>19</v>
          </cell>
          <cell r="E116">
            <v>37</v>
          </cell>
          <cell r="F116">
            <v>18</v>
          </cell>
          <cell r="G116">
            <v>42</v>
          </cell>
          <cell r="H116">
            <v>8</v>
          </cell>
          <cell r="I116">
            <v>27</v>
          </cell>
          <cell r="J116">
            <v>38</v>
          </cell>
          <cell r="K116" t="str">
            <v>4+7</v>
          </cell>
        </row>
        <row r="117">
          <cell r="A117">
            <v>51</v>
          </cell>
          <cell r="B117" t="str">
            <v>18.12.</v>
          </cell>
          <cell r="C117" t="str">
            <v>A</v>
          </cell>
          <cell r="D117">
            <v>42</v>
          </cell>
          <cell r="E117">
            <v>7</v>
          </cell>
          <cell r="F117">
            <v>30</v>
          </cell>
          <cell r="G117">
            <v>33</v>
          </cell>
          <cell r="H117">
            <v>27</v>
          </cell>
          <cell r="I117">
            <v>38</v>
          </cell>
          <cell r="J117">
            <v>19</v>
          </cell>
          <cell r="K117" t="str">
            <v>8+6</v>
          </cell>
          <cell r="L117">
            <v>30033292.5</v>
          </cell>
          <cell r="M117" t="str">
            <v>JP</v>
          </cell>
          <cell r="N117">
            <v>1801997.5</v>
          </cell>
          <cell r="O117" t="str">
            <v>JP</v>
          </cell>
          <cell r="P117">
            <v>2</v>
          </cell>
          <cell r="Q117">
            <v>750832.3</v>
          </cell>
          <cell r="R117" t="str">
            <v/>
          </cell>
          <cell r="S117">
            <v>18</v>
          </cell>
          <cell r="T117">
            <v>50055.4</v>
          </cell>
          <cell r="U117" t="str">
            <v/>
          </cell>
          <cell r="V117">
            <v>697</v>
          </cell>
          <cell r="W117">
            <v>4093.4</v>
          </cell>
          <cell r="X117" t="str">
            <v/>
          </cell>
          <cell r="Y117">
            <v>42679</v>
          </cell>
          <cell r="Z117">
            <v>59.8</v>
          </cell>
          <cell r="AA117" t="str">
            <v/>
          </cell>
          <cell r="AB117">
            <v>67560</v>
          </cell>
          <cell r="AC117">
            <v>20</v>
          </cell>
          <cell r="AD117" t="str">
            <v/>
          </cell>
          <cell r="AE117">
            <v>767414</v>
          </cell>
          <cell r="AF117">
            <v>5.2</v>
          </cell>
        </row>
        <row r="118">
          <cell r="C118" t="str">
            <v>B</v>
          </cell>
          <cell r="D118">
            <v>6</v>
          </cell>
          <cell r="E118">
            <v>30</v>
          </cell>
          <cell r="F118">
            <v>10</v>
          </cell>
          <cell r="G118">
            <v>46</v>
          </cell>
          <cell r="H118">
            <v>32</v>
          </cell>
          <cell r="I118">
            <v>43</v>
          </cell>
          <cell r="J118">
            <v>41</v>
          </cell>
          <cell r="K118" t="str">
            <v>8+6</v>
          </cell>
        </row>
        <row r="119">
          <cell r="A119">
            <v>52</v>
          </cell>
          <cell r="B119" t="str">
            <v>25.12.</v>
          </cell>
          <cell r="C119" t="str">
            <v>A</v>
          </cell>
          <cell r="D119">
            <v>35</v>
          </cell>
          <cell r="E119">
            <v>13</v>
          </cell>
          <cell r="F119">
            <v>16</v>
          </cell>
          <cell r="G119">
            <v>49</v>
          </cell>
          <cell r="H119">
            <v>21</v>
          </cell>
          <cell r="I119">
            <v>38</v>
          </cell>
          <cell r="J119">
            <v>45</v>
          </cell>
          <cell r="K119" t="str">
            <v>2+5</v>
          </cell>
          <cell r="L119">
            <v>28894927.5</v>
          </cell>
          <cell r="M119" t="str">
            <v>JP</v>
          </cell>
          <cell r="N119">
            <v>3535693.1</v>
          </cell>
          <cell r="O119" t="str">
            <v>JP</v>
          </cell>
          <cell r="P119">
            <v>3</v>
          </cell>
          <cell r="Q119">
            <v>481582.1</v>
          </cell>
          <cell r="R119" t="str">
            <v/>
          </cell>
          <cell r="S119">
            <v>21</v>
          </cell>
          <cell r="T119">
            <v>41278.400000000001</v>
          </cell>
          <cell r="U119" t="str">
            <v/>
          </cell>
          <cell r="V119">
            <v>660</v>
          </cell>
          <cell r="W119">
            <v>4159.1000000000004</v>
          </cell>
          <cell r="X119" t="str">
            <v/>
          </cell>
          <cell r="Y119">
            <v>38677</v>
          </cell>
          <cell r="Z119">
            <v>63.5</v>
          </cell>
          <cell r="AA119" t="str">
            <v/>
          </cell>
          <cell r="AB119">
            <v>50567</v>
          </cell>
          <cell r="AC119">
            <v>25.7</v>
          </cell>
          <cell r="AD119" t="str">
            <v/>
          </cell>
          <cell r="AE119">
            <v>706771</v>
          </cell>
          <cell r="AF119">
            <v>5.5</v>
          </cell>
        </row>
        <row r="120">
          <cell r="C120" t="str">
            <v>B</v>
          </cell>
          <cell r="D120">
            <v>24</v>
          </cell>
          <cell r="E120">
            <v>12</v>
          </cell>
          <cell r="F120">
            <v>37</v>
          </cell>
          <cell r="G120">
            <v>38</v>
          </cell>
          <cell r="H120">
            <v>45</v>
          </cell>
          <cell r="I120">
            <v>29</v>
          </cell>
          <cell r="J120">
            <v>8</v>
          </cell>
          <cell r="K120" t="str">
            <v>2+5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Q97"/>
    </sheetNames>
    <sheetDataSet>
      <sheetData sheetId="0">
        <row r="2">
          <cell r="A2" t="str">
            <v>RennQuintett  2 x 3 aus 15</v>
          </cell>
          <cell r="Q2" t="str">
            <v>Gewinnzahlen und Quoten der 1. - 26. Veranstaltung 1997</v>
          </cell>
        </row>
        <row r="3">
          <cell r="A3" t="str">
            <v>Alle Zahlenangaben ohne Gewähr</v>
          </cell>
        </row>
        <row r="4">
          <cell r="D4" t="str">
            <v>Galopp</v>
          </cell>
          <cell r="H4" t="str">
            <v>Gewinn-Nummern</v>
          </cell>
          <cell r="K4" t="str">
            <v>Spieleinsatz</v>
          </cell>
          <cell r="L4" t="str">
            <v>Gewinnquoten / Jackpot</v>
          </cell>
          <cell r="P4" t="str">
            <v>Kombination A 1 + B 1</v>
          </cell>
        </row>
        <row r="5">
          <cell r="A5" t="str">
            <v>VA</v>
          </cell>
          <cell r="B5">
            <v>1997</v>
          </cell>
          <cell r="C5" t="str">
            <v>Rennen</v>
          </cell>
          <cell r="D5" t="str">
            <v>Trab</v>
          </cell>
          <cell r="F5" t="str">
            <v>Bahn</v>
          </cell>
          <cell r="G5" t="str">
            <v>Distanz</v>
          </cell>
          <cell r="H5" t="str">
            <v xml:space="preserve"> Platz</v>
          </cell>
          <cell r="K5" t="str">
            <v>DM</v>
          </cell>
          <cell r="L5" t="str">
            <v>1. Rang</v>
          </cell>
          <cell r="N5" t="str">
            <v>2. Rang</v>
          </cell>
          <cell r="P5" t="str">
            <v>Gewinne/</v>
          </cell>
        </row>
        <row r="6">
          <cell r="H6">
            <v>1</v>
          </cell>
          <cell r="I6">
            <v>2</v>
          </cell>
          <cell r="J6">
            <v>3</v>
          </cell>
          <cell r="M6" t="str">
            <v xml:space="preserve">   DM</v>
          </cell>
          <cell r="O6" t="str">
            <v xml:space="preserve">   DM</v>
          </cell>
          <cell r="P6" t="str">
            <v>Jackpot</v>
          </cell>
          <cell r="Q6" t="str">
            <v>DM</v>
          </cell>
        </row>
        <row r="7">
          <cell r="A7">
            <v>1</v>
          </cell>
          <cell r="B7" t="str">
            <v>04.01.</v>
          </cell>
          <cell r="C7" t="str">
            <v>A</v>
          </cell>
          <cell r="D7" t="str">
            <v>T</v>
          </cell>
          <cell r="F7" t="str">
            <v>Dinslaken</v>
          </cell>
          <cell r="G7">
            <v>2100</v>
          </cell>
          <cell r="H7">
            <v>7</v>
          </cell>
          <cell r="I7">
            <v>1</v>
          </cell>
          <cell r="J7">
            <v>3</v>
          </cell>
          <cell r="L7">
            <v>67</v>
          </cell>
          <cell r="M7">
            <v>57.3</v>
          </cell>
          <cell r="N7">
            <v>133</v>
          </cell>
          <cell r="O7">
            <v>28.8</v>
          </cell>
        </row>
        <row r="8">
          <cell r="C8" t="str">
            <v>B</v>
          </cell>
          <cell r="F8" t="str">
            <v>Hamburg, Am Volkspark</v>
          </cell>
          <cell r="G8">
            <v>2140</v>
          </cell>
          <cell r="H8">
            <v>32</v>
          </cell>
          <cell r="I8">
            <v>35</v>
          </cell>
          <cell r="J8">
            <v>29</v>
          </cell>
          <cell r="K8">
            <v>38400</v>
          </cell>
          <cell r="L8">
            <v>8</v>
          </cell>
          <cell r="M8">
            <v>480</v>
          </cell>
          <cell r="N8">
            <v>71</v>
          </cell>
          <cell r="O8">
            <v>54</v>
          </cell>
          <cell r="P8" t="str">
            <v>JP</v>
          </cell>
          <cell r="Q8">
            <v>29194.6</v>
          </cell>
        </row>
        <row r="9">
          <cell r="A9">
            <v>2</v>
          </cell>
          <cell r="B9">
            <v>35441</v>
          </cell>
          <cell r="C9" t="str">
            <v>A</v>
          </cell>
          <cell r="D9" t="str">
            <v>G</v>
          </cell>
          <cell r="F9" t="str">
            <v>Neuss</v>
          </cell>
          <cell r="G9">
            <v>1900</v>
          </cell>
          <cell r="H9">
            <v>3</v>
          </cell>
          <cell r="I9">
            <v>4</v>
          </cell>
          <cell r="J9">
            <v>7</v>
          </cell>
          <cell r="L9">
            <v>9</v>
          </cell>
          <cell r="M9">
            <v>538.6</v>
          </cell>
          <cell r="N9">
            <v>73</v>
          </cell>
          <cell r="O9">
            <v>66.400000000000006</v>
          </cell>
        </row>
        <row r="10">
          <cell r="C10" t="str">
            <v>B</v>
          </cell>
          <cell r="D10" t="str">
            <v>T</v>
          </cell>
          <cell r="F10" t="str">
            <v>Gelsenkirchen</v>
          </cell>
          <cell r="G10">
            <v>2000</v>
          </cell>
          <cell r="H10">
            <v>27</v>
          </cell>
          <cell r="I10">
            <v>25</v>
          </cell>
          <cell r="J10">
            <v>33</v>
          </cell>
          <cell r="K10">
            <v>48476</v>
          </cell>
          <cell r="L10">
            <v>6</v>
          </cell>
          <cell r="M10">
            <v>969.5</v>
          </cell>
          <cell r="N10">
            <v>4</v>
          </cell>
          <cell r="O10">
            <v>969.5</v>
          </cell>
          <cell r="P10" t="str">
            <v>JP</v>
          </cell>
          <cell r="Q10">
            <v>34042.199999999997</v>
          </cell>
        </row>
        <row r="11">
          <cell r="A11">
            <v>3</v>
          </cell>
          <cell r="B11" t="str">
            <v>18.01.</v>
          </cell>
          <cell r="C11" t="str">
            <v>A</v>
          </cell>
          <cell r="D11" t="str">
            <v>T</v>
          </cell>
          <cell r="F11" t="str">
            <v>München-Daglfing</v>
          </cell>
          <cell r="G11">
            <v>2112</v>
          </cell>
          <cell r="H11">
            <v>14</v>
          </cell>
          <cell r="I11">
            <v>6</v>
          </cell>
          <cell r="J11">
            <v>2</v>
          </cell>
          <cell r="L11">
            <v>17</v>
          </cell>
          <cell r="M11">
            <v>302.5</v>
          </cell>
          <cell r="N11">
            <v>76</v>
          </cell>
          <cell r="O11">
            <v>67.599999999999994</v>
          </cell>
        </row>
        <row r="12">
          <cell r="C12" t="str">
            <v>B</v>
          </cell>
          <cell r="D12" t="str">
            <v>T</v>
          </cell>
          <cell r="F12" t="str">
            <v>Hamburg, Am Volkspark</v>
          </cell>
          <cell r="G12">
            <v>2140</v>
          </cell>
          <cell r="H12">
            <v>35</v>
          </cell>
          <cell r="I12">
            <v>34</v>
          </cell>
          <cell r="J12">
            <v>22</v>
          </cell>
          <cell r="K12">
            <v>51440</v>
          </cell>
          <cell r="L12">
            <v>6</v>
          </cell>
          <cell r="M12">
            <v>857.3</v>
          </cell>
          <cell r="N12">
            <v>43</v>
          </cell>
          <cell r="O12">
            <v>119.6</v>
          </cell>
          <cell r="P12" t="str">
            <v>JP</v>
          </cell>
          <cell r="Q12">
            <v>39186.199999999997</v>
          </cell>
        </row>
        <row r="13">
          <cell r="A13">
            <v>4</v>
          </cell>
          <cell r="B13" t="str">
            <v>25.01.</v>
          </cell>
          <cell r="C13" t="str">
            <v>A</v>
          </cell>
          <cell r="D13" t="str">
            <v>T</v>
          </cell>
          <cell r="F13" t="str">
            <v>Gelsenkirchen</v>
          </cell>
          <cell r="G13">
            <v>2000</v>
          </cell>
          <cell r="H13">
            <v>8</v>
          </cell>
          <cell r="I13">
            <v>1</v>
          </cell>
          <cell r="J13">
            <v>4</v>
          </cell>
          <cell r="L13">
            <v>2</v>
          </cell>
          <cell r="M13">
            <v>2605.1999999999998</v>
          </cell>
          <cell r="N13">
            <v>28</v>
          </cell>
          <cell r="O13">
            <v>186</v>
          </cell>
        </row>
        <row r="14">
          <cell r="C14" t="str">
            <v>B</v>
          </cell>
          <cell r="D14" t="str">
            <v>T</v>
          </cell>
          <cell r="F14" t="str">
            <v>Recklinghausen</v>
          </cell>
          <cell r="G14">
            <v>2000</v>
          </cell>
          <cell r="H14">
            <v>27</v>
          </cell>
          <cell r="I14">
            <v>32</v>
          </cell>
          <cell r="J14">
            <v>24</v>
          </cell>
          <cell r="K14">
            <v>52104</v>
          </cell>
          <cell r="L14">
            <v>33</v>
          </cell>
          <cell r="M14">
            <v>157.80000000000001</v>
          </cell>
          <cell r="N14">
            <v>153</v>
          </cell>
          <cell r="O14">
            <v>34</v>
          </cell>
          <cell r="P14" t="str">
            <v>JP</v>
          </cell>
          <cell r="Q14">
            <v>44396.6</v>
          </cell>
        </row>
        <row r="15">
          <cell r="A15">
            <v>5</v>
          </cell>
          <cell r="B15" t="str">
            <v>01.02.</v>
          </cell>
          <cell r="C15" t="str">
            <v>A</v>
          </cell>
          <cell r="D15" t="str">
            <v>T</v>
          </cell>
          <cell r="F15" t="str">
            <v>Dinslaken</v>
          </cell>
          <cell r="G15">
            <v>2100</v>
          </cell>
          <cell r="H15">
            <v>7</v>
          </cell>
          <cell r="I15">
            <v>9</v>
          </cell>
          <cell r="J15">
            <v>5</v>
          </cell>
          <cell r="L15">
            <v>51</v>
          </cell>
          <cell r="M15">
            <v>107.9</v>
          </cell>
          <cell r="N15">
            <v>81</v>
          </cell>
          <cell r="O15">
            <v>67.900000000000006</v>
          </cell>
        </row>
        <row r="16">
          <cell r="C16" t="str">
            <v>B</v>
          </cell>
          <cell r="D16" t="str">
            <v>G</v>
          </cell>
          <cell r="F16" t="str">
            <v>Neuss</v>
          </cell>
          <cell r="G16">
            <v>1900</v>
          </cell>
          <cell r="H16">
            <v>28</v>
          </cell>
          <cell r="I16">
            <v>33</v>
          </cell>
          <cell r="J16">
            <v>25</v>
          </cell>
          <cell r="K16">
            <v>55046</v>
          </cell>
          <cell r="L16">
            <v>110</v>
          </cell>
          <cell r="M16">
            <v>50</v>
          </cell>
          <cell r="N16">
            <v>363</v>
          </cell>
          <cell r="O16">
            <v>15.1</v>
          </cell>
          <cell r="P16" t="str">
            <v>JP</v>
          </cell>
          <cell r="Q16">
            <v>49901.2</v>
          </cell>
        </row>
        <row r="17">
          <cell r="A17">
            <v>6</v>
          </cell>
          <cell r="B17" t="str">
            <v>08.02.</v>
          </cell>
          <cell r="C17" t="str">
            <v>A</v>
          </cell>
          <cell r="D17" t="str">
            <v>T</v>
          </cell>
          <cell r="F17" t="str">
            <v>München-Daglfing</v>
          </cell>
          <cell r="G17">
            <v>2112</v>
          </cell>
          <cell r="H17">
            <v>9</v>
          </cell>
          <cell r="I17">
            <v>6</v>
          </cell>
          <cell r="J17">
            <v>14</v>
          </cell>
          <cell r="L17">
            <v>12</v>
          </cell>
          <cell r="M17">
            <v>516.29999999999995</v>
          </cell>
          <cell r="N17">
            <v>51</v>
          </cell>
          <cell r="O17">
            <v>121.4</v>
          </cell>
        </row>
        <row r="18">
          <cell r="C18" t="str">
            <v>B</v>
          </cell>
          <cell r="D18" t="str">
            <v>G</v>
          </cell>
          <cell r="F18" t="str">
            <v>Dortmund</v>
          </cell>
          <cell r="G18">
            <v>1800</v>
          </cell>
          <cell r="H18">
            <v>27</v>
          </cell>
          <cell r="I18">
            <v>23</v>
          </cell>
          <cell r="J18">
            <v>25</v>
          </cell>
          <cell r="K18">
            <v>61958</v>
          </cell>
          <cell r="L18">
            <v>70</v>
          </cell>
          <cell r="M18">
            <v>88.5</v>
          </cell>
          <cell r="N18">
            <v>540</v>
          </cell>
          <cell r="O18">
            <v>11.4</v>
          </cell>
          <cell r="P18" t="str">
            <v>JP</v>
          </cell>
          <cell r="Q18">
            <v>56097</v>
          </cell>
        </row>
        <row r="19">
          <cell r="A19">
            <v>7</v>
          </cell>
          <cell r="B19">
            <v>35476</v>
          </cell>
          <cell r="C19" t="str">
            <v>A</v>
          </cell>
          <cell r="D19" t="str">
            <v>T</v>
          </cell>
          <cell r="F19" t="str">
            <v>Dinslaken</v>
          </cell>
          <cell r="G19">
            <v>2100</v>
          </cell>
          <cell r="H19">
            <v>2</v>
          </cell>
          <cell r="I19">
            <v>1</v>
          </cell>
          <cell r="J19">
            <v>10</v>
          </cell>
          <cell r="L19">
            <v>87</v>
          </cell>
          <cell r="M19">
            <v>77.8</v>
          </cell>
          <cell r="N19">
            <v>287</v>
          </cell>
          <cell r="O19">
            <v>23.5</v>
          </cell>
        </row>
        <row r="20">
          <cell r="C20" t="str">
            <v>B</v>
          </cell>
          <cell r="D20" t="str">
            <v>T</v>
          </cell>
          <cell r="F20" t="str">
            <v>Hamburg, Am Volkspark</v>
          </cell>
          <cell r="G20">
            <v>2140</v>
          </cell>
          <cell r="H20">
            <v>30</v>
          </cell>
          <cell r="I20">
            <v>21</v>
          </cell>
          <cell r="J20">
            <v>23</v>
          </cell>
          <cell r="K20">
            <v>67726</v>
          </cell>
          <cell r="L20">
            <v>3</v>
          </cell>
          <cell r="M20">
            <v>2257.5</v>
          </cell>
          <cell r="N20">
            <v>27</v>
          </cell>
          <cell r="O20">
            <v>250.8</v>
          </cell>
          <cell r="P20" t="str">
            <v>JP</v>
          </cell>
          <cell r="Q20">
            <v>62869.599999999999</v>
          </cell>
        </row>
        <row r="21">
          <cell r="A21">
            <v>8</v>
          </cell>
          <cell r="B21" t="str">
            <v>22.02.</v>
          </cell>
          <cell r="C21" t="str">
            <v>A</v>
          </cell>
          <cell r="D21" t="str">
            <v>G</v>
          </cell>
          <cell r="F21" t="str">
            <v>Neuss</v>
          </cell>
          <cell r="G21">
            <v>1900</v>
          </cell>
          <cell r="H21">
            <v>1</v>
          </cell>
          <cell r="I21">
            <v>15</v>
          </cell>
          <cell r="J21">
            <v>2</v>
          </cell>
          <cell r="L21">
            <v>7</v>
          </cell>
          <cell r="M21">
            <v>962.8</v>
          </cell>
          <cell r="N21">
            <v>69</v>
          </cell>
          <cell r="O21">
            <v>97.6</v>
          </cell>
        </row>
        <row r="22">
          <cell r="C22" t="str">
            <v>B</v>
          </cell>
          <cell r="D22" t="str">
            <v>T</v>
          </cell>
          <cell r="F22" t="str">
            <v>Gelsenkirchen</v>
          </cell>
          <cell r="G22">
            <v>2000</v>
          </cell>
          <cell r="H22">
            <v>27</v>
          </cell>
          <cell r="I22">
            <v>29</v>
          </cell>
          <cell r="J22">
            <v>32</v>
          </cell>
          <cell r="K22">
            <v>67398</v>
          </cell>
          <cell r="L22">
            <v>6</v>
          </cell>
          <cell r="M22">
            <v>1123.3</v>
          </cell>
          <cell r="N22">
            <v>12</v>
          </cell>
          <cell r="O22">
            <v>561.6</v>
          </cell>
          <cell r="P22" t="str">
            <v>JP</v>
          </cell>
          <cell r="Q22">
            <v>69609.399999999994</v>
          </cell>
        </row>
        <row r="23">
          <cell r="A23">
            <v>9</v>
          </cell>
          <cell r="B23" t="str">
            <v>01.03.</v>
          </cell>
          <cell r="C23" t="str">
            <v>A</v>
          </cell>
          <cell r="D23" t="str">
            <v>T</v>
          </cell>
          <cell r="F23" t="str">
            <v>Dinslaken</v>
          </cell>
          <cell r="G23">
            <v>2100</v>
          </cell>
          <cell r="H23">
            <v>13</v>
          </cell>
          <cell r="I23">
            <v>4</v>
          </cell>
          <cell r="J23">
            <v>9</v>
          </cell>
          <cell r="L23">
            <v>129</v>
          </cell>
          <cell r="M23">
            <v>57.9</v>
          </cell>
          <cell r="N23">
            <v>241</v>
          </cell>
          <cell r="O23">
            <v>31</v>
          </cell>
        </row>
        <row r="24">
          <cell r="C24" t="str">
            <v>B</v>
          </cell>
          <cell r="D24" t="str">
            <v>T</v>
          </cell>
          <cell r="F24" t="str">
            <v>Straubing</v>
          </cell>
          <cell r="G24">
            <v>2100</v>
          </cell>
          <cell r="H24">
            <v>33</v>
          </cell>
          <cell r="I24">
            <v>22</v>
          </cell>
          <cell r="J24">
            <v>29</v>
          </cell>
          <cell r="K24">
            <v>74758</v>
          </cell>
          <cell r="L24">
            <v>46</v>
          </cell>
          <cell r="M24">
            <v>162.5</v>
          </cell>
          <cell r="N24">
            <v>79</v>
          </cell>
          <cell r="O24">
            <v>94.6</v>
          </cell>
          <cell r="P24" t="str">
            <v>JP</v>
          </cell>
          <cell r="Q24">
            <v>77085.2</v>
          </cell>
        </row>
        <row r="25">
          <cell r="A25">
            <v>10</v>
          </cell>
          <cell r="B25" t="str">
            <v>08.03.</v>
          </cell>
          <cell r="C25" t="str">
            <v>A</v>
          </cell>
          <cell r="D25" t="str">
            <v>G</v>
          </cell>
          <cell r="F25" t="str">
            <v>Neuss</v>
          </cell>
          <cell r="G25">
            <v>1900</v>
          </cell>
          <cell r="H25">
            <v>6</v>
          </cell>
          <cell r="I25">
            <v>1</v>
          </cell>
          <cell r="J25">
            <v>14</v>
          </cell>
          <cell r="L25">
            <v>29</v>
          </cell>
          <cell r="M25">
            <v>217.3</v>
          </cell>
          <cell r="N25">
            <v>216</v>
          </cell>
          <cell r="O25">
            <v>29.1</v>
          </cell>
        </row>
        <row r="26">
          <cell r="C26" t="str">
            <v>B</v>
          </cell>
          <cell r="D26" t="str">
            <v>T</v>
          </cell>
          <cell r="F26" t="str">
            <v>München-Daglfing</v>
          </cell>
          <cell r="G26">
            <v>2112</v>
          </cell>
          <cell r="H26">
            <v>24</v>
          </cell>
          <cell r="I26">
            <v>25</v>
          </cell>
          <cell r="J26">
            <v>30</v>
          </cell>
          <cell r="K26">
            <v>63026</v>
          </cell>
          <cell r="L26">
            <v>3</v>
          </cell>
          <cell r="M26">
            <v>2100.8000000000002</v>
          </cell>
          <cell r="N26">
            <v>14</v>
          </cell>
          <cell r="O26">
            <v>450.1</v>
          </cell>
          <cell r="P26" t="str">
            <v>JP</v>
          </cell>
          <cell r="Q26">
            <v>83387.8</v>
          </cell>
        </row>
        <row r="27">
          <cell r="A27">
            <v>11</v>
          </cell>
          <cell r="B27" t="str">
            <v>15.03.</v>
          </cell>
          <cell r="C27" t="str">
            <v>A</v>
          </cell>
          <cell r="D27" t="str">
            <v>G</v>
          </cell>
          <cell r="F27" t="str">
            <v>Köln-Weidenpesch</v>
          </cell>
          <cell r="G27">
            <v>2400</v>
          </cell>
          <cell r="H27">
            <v>4</v>
          </cell>
          <cell r="I27">
            <v>9</v>
          </cell>
          <cell r="J27">
            <v>13</v>
          </cell>
          <cell r="L27">
            <v>18</v>
          </cell>
          <cell r="M27">
            <v>340.8</v>
          </cell>
          <cell r="N27">
            <v>110</v>
          </cell>
          <cell r="O27">
            <v>55.7</v>
          </cell>
        </row>
        <row r="28">
          <cell r="C28" t="str">
            <v>B</v>
          </cell>
          <cell r="D28" t="str">
            <v>T</v>
          </cell>
          <cell r="F28" t="str">
            <v>Hamburg, Am Volkspark</v>
          </cell>
          <cell r="G28">
            <v>2100</v>
          </cell>
          <cell r="H28">
            <v>24</v>
          </cell>
          <cell r="I28">
            <v>23</v>
          </cell>
          <cell r="J28">
            <v>25</v>
          </cell>
          <cell r="K28">
            <v>61350</v>
          </cell>
          <cell r="L28">
            <v>3</v>
          </cell>
          <cell r="M28">
            <v>2045</v>
          </cell>
          <cell r="N28">
            <v>48</v>
          </cell>
          <cell r="O28">
            <v>127.8</v>
          </cell>
          <cell r="P28" t="str">
            <v>JP</v>
          </cell>
          <cell r="Q28">
            <v>89522.8</v>
          </cell>
        </row>
        <row r="29">
          <cell r="A29">
            <v>12</v>
          </cell>
          <cell r="B29" t="str">
            <v>22.03.</v>
          </cell>
          <cell r="C29" t="str">
            <v>A</v>
          </cell>
          <cell r="D29" t="str">
            <v>G</v>
          </cell>
          <cell r="F29" t="str">
            <v>Mülheim</v>
          </cell>
          <cell r="G29">
            <v>1400</v>
          </cell>
          <cell r="H29">
            <v>13</v>
          </cell>
          <cell r="I29">
            <v>12</v>
          </cell>
          <cell r="J29">
            <v>9</v>
          </cell>
          <cell r="L29">
            <v>2</v>
          </cell>
          <cell r="M29">
            <v>3286.5</v>
          </cell>
          <cell r="N29">
            <v>9</v>
          </cell>
          <cell r="O29">
            <v>730.3</v>
          </cell>
        </row>
        <row r="30">
          <cell r="C30" t="str">
            <v>B</v>
          </cell>
          <cell r="D30" t="str">
            <v>G</v>
          </cell>
          <cell r="F30" t="str">
            <v>Düsseldorf</v>
          </cell>
          <cell r="G30">
            <v>1700</v>
          </cell>
          <cell r="H30">
            <v>23</v>
          </cell>
          <cell r="I30">
            <v>27</v>
          </cell>
          <cell r="J30">
            <v>28</v>
          </cell>
          <cell r="K30">
            <v>65730</v>
          </cell>
          <cell r="L30">
            <v>74</v>
          </cell>
          <cell r="M30">
            <v>90</v>
          </cell>
          <cell r="N30">
            <v>72</v>
          </cell>
          <cell r="O30">
            <v>90</v>
          </cell>
          <cell r="P30" t="str">
            <v>JP</v>
          </cell>
          <cell r="Q30">
            <v>96095.8</v>
          </cell>
        </row>
        <row r="31">
          <cell r="A31">
            <v>13</v>
          </cell>
          <cell r="B31" t="str">
            <v>29.03.</v>
          </cell>
          <cell r="C31" t="str">
            <v>A</v>
          </cell>
          <cell r="D31" t="str">
            <v>G</v>
          </cell>
          <cell r="F31" t="str">
            <v>Gelsenkirchen</v>
          </cell>
          <cell r="G31">
            <v>2200</v>
          </cell>
          <cell r="H31">
            <v>10</v>
          </cell>
          <cell r="I31">
            <v>14</v>
          </cell>
          <cell r="J31">
            <v>11</v>
          </cell>
          <cell r="L31">
            <v>4</v>
          </cell>
          <cell r="M31">
            <v>1530.6</v>
          </cell>
          <cell r="N31">
            <v>11</v>
          </cell>
          <cell r="O31">
            <v>556.5</v>
          </cell>
        </row>
        <row r="32">
          <cell r="C32" t="str">
            <v>B</v>
          </cell>
          <cell r="D32" t="str">
            <v>G</v>
          </cell>
          <cell r="F32" t="str">
            <v>Dortmund</v>
          </cell>
          <cell r="G32">
            <v>1600</v>
          </cell>
          <cell r="H32">
            <v>23</v>
          </cell>
          <cell r="I32">
            <v>21</v>
          </cell>
          <cell r="J32">
            <v>31</v>
          </cell>
          <cell r="K32">
            <v>61224</v>
          </cell>
          <cell r="L32">
            <v>35</v>
          </cell>
          <cell r="M32">
            <v>174.9</v>
          </cell>
          <cell r="N32">
            <v>124</v>
          </cell>
          <cell r="O32">
            <v>49.3</v>
          </cell>
          <cell r="P32" t="str">
            <v>JP</v>
          </cell>
          <cell r="Q32">
            <v>102218.2</v>
          </cell>
        </row>
        <row r="33">
          <cell r="A33">
            <v>14</v>
          </cell>
          <cell r="B33" t="str">
            <v>06.04.</v>
          </cell>
          <cell r="C33" t="str">
            <v>A</v>
          </cell>
          <cell r="D33" t="str">
            <v>G</v>
          </cell>
          <cell r="F33" t="str">
            <v>Gelsenkirchen</v>
          </cell>
          <cell r="G33">
            <v>2200</v>
          </cell>
          <cell r="H33">
            <v>6</v>
          </cell>
          <cell r="I33">
            <v>3</v>
          </cell>
          <cell r="J33">
            <v>5</v>
          </cell>
          <cell r="L33">
            <v>19</v>
          </cell>
          <cell r="M33">
            <v>345.6</v>
          </cell>
          <cell r="N33">
            <v>52</v>
          </cell>
          <cell r="O33">
            <v>126.2</v>
          </cell>
        </row>
        <row r="34">
          <cell r="C34" t="str">
            <v>B</v>
          </cell>
          <cell r="D34" t="str">
            <v>G</v>
          </cell>
          <cell r="F34" t="str">
            <v>Mülheim</v>
          </cell>
          <cell r="G34">
            <v>1400</v>
          </cell>
          <cell r="H34">
            <v>22</v>
          </cell>
          <cell r="I34">
            <v>28</v>
          </cell>
          <cell r="J34">
            <v>34</v>
          </cell>
          <cell r="K34">
            <v>65666</v>
          </cell>
          <cell r="L34">
            <v>73</v>
          </cell>
          <cell r="M34">
            <v>89.9</v>
          </cell>
          <cell r="N34">
            <v>135</v>
          </cell>
          <cell r="O34">
            <v>48.6</v>
          </cell>
          <cell r="P34" t="str">
            <v>JP</v>
          </cell>
          <cell r="Q34">
            <v>108784.8</v>
          </cell>
        </row>
        <row r="35">
          <cell r="A35">
            <v>15</v>
          </cell>
          <cell r="B35">
            <v>35532</v>
          </cell>
          <cell r="C35" t="str">
            <v>A</v>
          </cell>
          <cell r="D35" t="str">
            <v>G</v>
          </cell>
          <cell r="F35" t="str">
            <v>Düsseldorf</v>
          </cell>
          <cell r="G35">
            <v>1700</v>
          </cell>
          <cell r="H35">
            <v>13</v>
          </cell>
          <cell r="I35">
            <v>4</v>
          </cell>
          <cell r="J35">
            <v>7</v>
          </cell>
          <cell r="L35">
            <v>26</v>
          </cell>
          <cell r="M35">
            <v>263.60000000000002</v>
          </cell>
          <cell r="N35">
            <v>74</v>
          </cell>
          <cell r="O35">
            <v>92.6</v>
          </cell>
        </row>
        <row r="36">
          <cell r="C36" t="str">
            <v>B</v>
          </cell>
          <cell r="D36" t="str">
            <v>T</v>
          </cell>
          <cell r="F36" t="str">
            <v>Mönchengladbach</v>
          </cell>
          <cell r="G36">
            <v>2100</v>
          </cell>
          <cell r="H36">
            <v>32</v>
          </cell>
          <cell r="I36">
            <v>35</v>
          </cell>
          <cell r="J36">
            <v>30</v>
          </cell>
          <cell r="K36">
            <v>68536</v>
          </cell>
          <cell r="L36">
            <v>8</v>
          </cell>
          <cell r="M36">
            <v>856.7</v>
          </cell>
          <cell r="N36">
            <v>24</v>
          </cell>
          <cell r="O36">
            <v>285.5</v>
          </cell>
          <cell r="P36" t="str">
            <v>JP</v>
          </cell>
          <cell r="Q36">
            <v>115638.39999999999</v>
          </cell>
        </row>
        <row r="37">
          <cell r="A37">
            <v>16</v>
          </cell>
          <cell r="B37" t="str">
            <v>19.04.</v>
          </cell>
          <cell r="C37" t="str">
            <v>A</v>
          </cell>
          <cell r="D37" t="str">
            <v>G</v>
          </cell>
          <cell r="F37" t="str">
            <v>Düsseldorf</v>
          </cell>
          <cell r="G37">
            <v>2200</v>
          </cell>
          <cell r="H37">
            <v>6</v>
          </cell>
          <cell r="I37">
            <v>2</v>
          </cell>
          <cell r="J37">
            <v>8</v>
          </cell>
          <cell r="L37">
            <v>157</v>
          </cell>
          <cell r="M37">
            <v>47.6</v>
          </cell>
          <cell r="N37">
            <v>652</v>
          </cell>
          <cell r="O37">
            <v>11.4</v>
          </cell>
        </row>
        <row r="38">
          <cell r="C38" t="str">
            <v>B</v>
          </cell>
          <cell r="D38" t="str">
            <v>T</v>
          </cell>
          <cell r="F38" t="str">
            <v>Hamburg, Am Volkspark</v>
          </cell>
          <cell r="G38">
            <v>2100</v>
          </cell>
          <cell r="H38">
            <v>35</v>
          </cell>
          <cell r="I38">
            <v>32</v>
          </cell>
          <cell r="J38">
            <v>23</v>
          </cell>
          <cell r="K38">
            <v>74860</v>
          </cell>
          <cell r="L38">
            <v>238</v>
          </cell>
          <cell r="M38">
            <v>31.4</v>
          </cell>
          <cell r="N38">
            <v>554</v>
          </cell>
          <cell r="O38">
            <v>13.5</v>
          </cell>
          <cell r="P38">
            <v>2</v>
          </cell>
          <cell r="Q38">
            <v>61562.2</v>
          </cell>
        </row>
        <row r="39">
          <cell r="A39">
            <v>17</v>
          </cell>
          <cell r="B39">
            <v>35546</v>
          </cell>
          <cell r="C39" t="str">
            <v>A</v>
          </cell>
          <cell r="D39" t="str">
            <v>T</v>
          </cell>
          <cell r="F39" t="str">
            <v>Pfaffenhofen</v>
          </cell>
          <cell r="G39">
            <v>2100</v>
          </cell>
          <cell r="H39">
            <v>4</v>
          </cell>
          <cell r="I39">
            <v>6</v>
          </cell>
          <cell r="J39">
            <v>14</v>
          </cell>
          <cell r="L39">
            <v>3</v>
          </cell>
          <cell r="M39">
            <v>1325.5</v>
          </cell>
          <cell r="N39">
            <v>5</v>
          </cell>
          <cell r="O39">
            <v>795.3</v>
          </cell>
        </row>
        <row r="40">
          <cell r="C40" t="str">
            <v>B</v>
          </cell>
          <cell r="D40" t="str">
            <v>G</v>
          </cell>
          <cell r="F40" t="str">
            <v>Frankfurt</v>
          </cell>
          <cell r="G40">
            <v>1900</v>
          </cell>
          <cell r="H40">
            <v>28</v>
          </cell>
          <cell r="I40">
            <v>25</v>
          </cell>
          <cell r="J40">
            <v>21</v>
          </cell>
          <cell r="K40">
            <v>39766</v>
          </cell>
          <cell r="L40">
            <v>22</v>
          </cell>
          <cell r="M40">
            <v>180.7</v>
          </cell>
          <cell r="N40">
            <v>86</v>
          </cell>
          <cell r="O40">
            <v>46.2</v>
          </cell>
          <cell r="P40" t="str">
            <v>JP</v>
          </cell>
          <cell r="Q40">
            <v>3976.6</v>
          </cell>
        </row>
        <row r="41">
          <cell r="A41">
            <v>18</v>
          </cell>
          <cell r="B41" t="str">
            <v>03.05.</v>
          </cell>
          <cell r="C41" t="str">
            <v>A</v>
          </cell>
          <cell r="D41" t="str">
            <v>T</v>
          </cell>
          <cell r="F41" t="str">
            <v>München-Daglfing</v>
          </cell>
          <cell r="G41">
            <v>2112</v>
          </cell>
          <cell r="H41">
            <v>12</v>
          </cell>
          <cell r="I41">
            <v>2</v>
          </cell>
          <cell r="J41">
            <v>11</v>
          </cell>
          <cell r="L41">
            <v>63</v>
          </cell>
          <cell r="M41">
            <v>66.8</v>
          </cell>
          <cell r="N41">
            <v>270</v>
          </cell>
          <cell r="O41">
            <v>15.6</v>
          </cell>
        </row>
        <row r="42">
          <cell r="C42" t="str">
            <v>B</v>
          </cell>
          <cell r="D42" t="str">
            <v>G</v>
          </cell>
          <cell r="F42" t="str">
            <v>München Riem</v>
          </cell>
          <cell r="G42">
            <v>1300</v>
          </cell>
          <cell r="H42">
            <v>34</v>
          </cell>
          <cell r="I42">
            <v>31</v>
          </cell>
          <cell r="J42">
            <v>23</v>
          </cell>
          <cell r="K42">
            <v>42130</v>
          </cell>
          <cell r="L42">
            <v>38</v>
          </cell>
          <cell r="M42">
            <v>110.8</v>
          </cell>
          <cell r="N42">
            <v>269</v>
          </cell>
          <cell r="O42">
            <v>15.6</v>
          </cell>
          <cell r="P42" t="str">
            <v>JP</v>
          </cell>
          <cell r="Q42">
            <v>8189.6</v>
          </cell>
        </row>
        <row r="43">
          <cell r="A43">
            <v>19</v>
          </cell>
          <cell r="B43" t="str">
            <v>10.05.</v>
          </cell>
          <cell r="C43" t="str">
            <v>A</v>
          </cell>
          <cell r="D43" t="str">
            <v>G</v>
          </cell>
          <cell r="F43" t="str">
            <v>Köln</v>
          </cell>
          <cell r="G43">
            <v>1400</v>
          </cell>
          <cell r="H43">
            <v>12</v>
          </cell>
          <cell r="I43">
            <v>8</v>
          </cell>
          <cell r="J43">
            <v>10</v>
          </cell>
          <cell r="L43">
            <v>3</v>
          </cell>
          <cell r="M43">
            <v>1393.7</v>
          </cell>
          <cell r="N43">
            <v>9</v>
          </cell>
          <cell r="O43">
            <v>464.5</v>
          </cell>
        </row>
        <row r="44">
          <cell r="C44" t="str">
            <v>B</v>
          </cell>
          <cell r="D44" t="str">
            <v>G</v>
          </cell>
          <cell r="F44" t="str">
            <v>Düsseldorf</v>
          </cell>
          <cell r="G44">
            <v>1400</v>
          </cell>
          <cell r="H44">
            <v>21</v>
          </cell>
          <cell r="I44">
            <v>28</v>
          </cell>
          <cell r="J44">
            <v>26</v>
          </cell>
          <cell r="K44">
            <v>41812</v>
          </cell>
          <cell r="L44">
            <v>5</v>
          </cell>
          <cell r="M44">
            <v>836.2</v>
          </cell>
          <cell r="N44">
            <v>42</v>
          </cell>
          <cell r="O44">
            <v>99.5</v>
          </cell>
          <cell r="P44" t="str">
            <v>JP</v>
          </cell>
          <cell r="Q44">
            <v>12370.8</v>
          </cell>
        </row>
        <row r="45">
          <cell r="A45">
            <v>20</v>
          </cell>
          <cell r="B45" t="str">
            <v>17.05.</v>
          </cell>
          <cell r="C45" t="str">
            <v>A</v>
          </cell>
          <cell r="D45" t="str">
            <v>G</v>
          </cell>
          <cell r="F45" t="str">
            <v>Mühlheim-Ruhr</v>
          </cell>
          <cell r="G45">
            <v>2100</v>
          </cell>
          <cell r="H45">
            <v>7</v>
          </cell>
          <cell r="I45">
            <v>14</v>
          </cell>
          <cell r="J45">
            <v>12</v>
          </cell>
          <cell r="L45">
            <v>4</v>
          </cell>
          <cell r="M45">
            <v>1007.1</v>
          </cell>
          <cell r="N45">
            <v>71</v>
          </cell>
          <cell r="O45">
            <v>56.7</v>
          </cell>
        </row>
        <row r="46">
          <cell r="C46" t="str">
            <v>B</v>
          </cell>
          <cell r="D46" t="str">
            <v>G</v>
          </cell>
          <cell r="F46" t="str">
            <v>Frankfurt</v>
          </cell>
          <cell r="G46">
            <v>1550</v>
          </cell>
          <cell r="H46">
            <v>24</v>
          </cell>
          <cell r="I46">
            <v>28</v>
          </cell>
          <cell r="J46">
            <v>33</v>
          </cell>
          <cell r="K46">
            <v>40284</v>
          </cell>
          <cell r="L46">
            <v>2</v>
          </cell>
          <cell r="M46">
            <v>2014.2</v>
          </cell>
          <cell r="N46">
            <v>12</v>
          </cell>
          <cell r="O46">
            <v>335.7</v>
          </cell>
          <cell r="P46" t="str">
            <v>JP</v>
          </cell>
          <cell r="Q46">
            <v>16399.2</v>
          </cell>
        </row>
        <row r="47">
          <cell r="A47">
            <v>21</v>
          </cell>
          <cell r="B47" t="str">
            <v>24.05.</v>
          </cell>
          <cell r="C47" t="str">
            <v>A</v>
          </cell>
          <cell r="D47" t="str">
            <v>G</v>
          </cell>
          <cell r="F47" t="str">
            <v>Iffezheim</v>
          </cell>
          <cell r="G47">
            <v>2400</v>
          </cell>
          <cell r="H47">
            <v>2</v>
          </cell>
          <cell r="I47">
            <v>11</v>
          </cell>
          <cell r="J47">
            <v>6</v>
          </cell>
          <cell r="L47">
            <v>4</v>
          </cell>
          <cell r="M47">
            <v>1014.2</v>
          </cell>
          <cell r="N47">
            <v>28</v>
          </cell>
          <cell r="O47">
            <v>144.80000000000001</v>
          </cell>
        </row>
        <row r="48">
          <cell r="C48" t="str">
            <v>B</v>
          </cell>
          <cell r="D48" t="str">
            <v>G</v>
          </cell>
          <cell r="F48" t="str">
            <v>Iffezheim</v>
          </cell>
          <cell r="G48">
            <v>1400</v>
          </cell>
          <cell r="H48">
            <v>30</v>
          </cell>
          <cell r="I48">
            <v>31</v>
          </cell>
          <cell r="J48">
            <v>33</v>
          </cell>
          <cell r="K48">
            <v>40568</v>
          </cell>
          <cell r="L48">
            <v>7</v>
          </cell>
          <cell r="M48">
            <v>579.5</v>
          </cell>
          <cell r="N48">
            <v>10</v>
          </cell>
          <cell r="O48">
            <v>405.6</v>
          </cell>
          <cell r="P48" t="str">
            <v>JP</v>
          </cell>
          <cell r="Q48">
            <v>20456</v>
          </cell>
        </row>
        <row r="49">
          <cell r="A49">
            <v>22</v>
          </cell>
          <cell r="B49" t="str">
            <v>31.05.</v>
          </cell>
          <cell r="C49" t="str">
            <v>A</v>
          </cell>
          <cell r="D49" t="str">
            <v>T</v>
          </cell>
          <cell r="F49" t="str">
            <v>Pfaffenhofen</v>
          </cell>
          <cell r="G49">
            <v>2100</v>
          </cell>
          <cell r="H49">
            <v>5</v>
          </cell>
          <cell r="I49">
            <v>10</v>
          </cell>
          <cell r="J49">
            <v>13</v>
          </cell>
          <cell r="L49">
            <v>10</v>
          </cell>
          <cell r="M49">
            <v>463.9</v>
          </cell>
          <cell r="N49">
            <v>16</v>
          </cell>
          <cell r="O49">
            <v>289.89999999999998</v>
          </cell>
        </row>
        <row r="50">
          <cell r="C50" t="str">
            <v>B</v>
          </cell>
          <cell r="D50" t="str">
            <v>G</v>
          </cell>
          <cell r="F50" t="str">
            <v>Iffezheim</v>
          </cell>
          <cell r="G50">
            <v>2000</v>
          </cell>
          <cell r="H50">
            <v>31</v>
          </cell>
          <cell r="I50">
            <v>25</v>
          </cell>
          <cell r="J50">
            <v>21</v>
          </cell>
          <cell r="K50">
            <v>46394</v>
          </cell>
          <cell r="L50">
            <v>13</v>
          </cell>
          <cell r="M50">
            <v>356.8</v>
          </cell>
          <cell r="N50">
            <v>30</v>
          </cell>
          <cell r="O50">
            <v>154.6</v>
          </cell>
          <cell r="P50" t="str">
            <v>JP</v>
          </cell>
          <cell r="Q50">
            <v>25095.4</v>
          </cell>
        </row>
        <row r="51">
          <cell r="A51">
            <v>23</v>
          </cell>
          <cell r="B51" t="str">
            <v>07.06.</v>
          </cell>
          <cell r="C51" t="str">
            <v>A</v>
          </cell>
          <cell r="D51" t="str">
            <v>G</v>
          </cell>
          <cell r="F51" t="str">
            <v>Düsseldorf</v>
          </cell>
          <cell r="G51">
            <v>1400</v>
          </cell>
          <cell r="H51">
            <v>1</v>
          </cell>
          <cell r="I51">
            <v>7</v>
          </cell>
          <cell r="J51">
            <v>6</v>
          </cell>
          <cell r="L51">
            <v>27</v>
          </cell>
          <cell r="M51">
            <v>159.1</v>
          </cell>
          <cell r="N51">
            <v>207</v>
          </cell>
          <cell r="O51">
            <v>20.7</v>
          </cell>
        </row>
        <row r="52">
          <cell r="C52" t="str">
            <v>B</v>
          </cell>
          <cell r="D52" t="str">
            <v>G</v>
          </cell>
          <cell r="F52" t="str">
            <v>Mühlheim-Ruhr</v>
          </cell>
          <cell r="G52">
            <v>2300</v>
          </cell>
          <cell r="H52">
            <v>29</v>
          </cell>
          <cell r="I52">
            <v>33</v>
          </cell>
          <cell r="J52">
            <v>26</v>
          </cell>
          <cell r="K52">
            <v>42980</v>
          </cell>
          <cell r="L52">
            <v>36</v>
          </cell>
          <cell r="M52">
            <v>119.3</v>
          </cell>
          <cell r="N52">
            <v>519</v>
          </cell>
          <cell r="O52">
            <v>8.1999999999999993</v>
          </cell>
          <cell r="P52" t="str">
            <v>JP</v>
          </cell>
          <cell r="Q52">
            <v>29393.4</v>
          </cell>
        </row>
        <row r="53">
          <cell r="A53">
            <v>24</v>
          </cell>
          <cell r="B53" t="str">
            <v>14.06.</v>
          </cell>
          <cell r="C53" t="str">
            <v>A</v>
          </cell>
          <cell r="D53" t="str">
            <v>G</v>
          </cell>
          <cell r="F53" t="str">
            <v>Köln</v>
          </cell>
          <cell r="G53">
            <v>1900</v>
          </cell>
          <cell r="H53">
            <v>5</v>
          </cell>
          <cell r="I53">
            <v>9</v>
          </cell>
          <cell r="J53">
            <v>1</v>
          </cell>
          <cell r="L53">
            <v>21</v>
          </cell>
          <cell r="M53">
            <v>207.6</v>
          </cell>
          <cell r="N53">
            <v>75</v>
          </cell>
          <cell r="O53">
            <v>58.1</v>
          </cell>
        </row>
        <row r="54">
          <cell r="C54" t="str">
            <v>B</v>
          </cell>
          <cell r="D54" t="str">
            <v>G</v>
          </cell>
          <cell r="F54" t="str">
            <v>Hassloch</v>
          </cell>
          <cell r="G54">
            <v>1400</v>
          </cell>
          <cell r="H54">
            <v>23</v>
          </cell>
          <cell r="I54">
            <v>22</v>
          </cell>
          <cell r="J54">
            <v>31</v>
          </cell>
          <cell r="K54">
            <v>43616</v>
          </cell>
          <cell r="L54">
            <v>18</v>
          </cell>
          <cell r="M54">
            <v>242.3</v>
          </cell>
          <cell r="N54">
            <v>70</v>
          </cell>
          <cell r="O54">
            <v>62.3</v>
          </cell>
          <cell r="P54" t="str">
            <v>JP</v>
          </cell>
          <cell r="Q54">
            <v>33755</v>
          </cell>
        </row>
        <row r="55">
          <cell r="A55">
            <v>25</v>
          </cell>
          <cell r="B55" t="str">
            <v>21.06.</v>
          </cell>
          <cell r="C55" t="str">
            <v>A</v>
          </cell>
          <cell r="D55" t="str">
            <v>G</v>
          </cell>
          <cell r="F55" t="str">
            <v>Düsseldorf</v>
          </cell>
          <cell r="G55">
            <v>1600</v>
          </cell>
          <cell r="H55">
            <v>11</v>
          </cell>
          <cell r="I55">
            <v>2</v>
          </cell>
          <cell r="J55">
            <v>9</v>
          </cell>
          <cell r="L55">
            <v>15</v>
          </cell>
          <cell r="M55">
            <v>297.5</v>
          </cell>
          <cell r="N55">
            <v>116</v>
          </cell>
          <cell r="O55">
            <v>38.4</v>
          </cell>
        </row>
        <row r="56">
          <cell r="C56" t="str">
            <v>B</v>
          </cell>
          <cell r="D56" t="str">
            <v>G</v>
          </cell>
          <cell r="F56" t="str">
            <v>Dortmund</v>
          </cell>
          <cell r="G56">
            <v>1400</v>
          </cell>
          <cell r="H56">
            <v>30</v>
          </cell>
          <cell r="I56">
            <v>26</v>
          </cell>
          <cell r="J56">
            <v>21</v>
          </cell>
          <cell r="K56">
            <v>44638</v>
          </cell>
          <cell r="L56">
            <v>14</v>
          </cell>
          <cell r="M56">
            <v>318.8</v>
          </cell>
          <cell r="N56">
            <v>70</v>
          </cell>
          <cell r="O56">
            <v>63.7</v>
          </cell>
          <cell r="P56" t="str">
            <v>JP</v>
          </cell>
          <cell r="Q56">
            <v>38218.800000000003</v>
          </cell>
        </row>
        <row r="57">
          <cell r="A57">
            <v>26</v>
          </cell>
          <cell r="B57" t="str">
            <v>28.06.</v>
          </cell>
          <cell r="C57" t="str">
            <v>A</v>
          </cell>
          <cell r="D57" t="str">
            <v>G</v>
          </cell>
          <cell r="F57" t="str">
            <v>Hamburg</v>
          </cell>
          <cell r="G57">
            <v>1600</v>
          </cell>
          <cell r="H57">
            <v>6</v>
          </cell>
          <cell r="I57">
            <v>2</v>
          </cell>
          <cell r="J57">
            <v>1</v>
          </cell>
          <cell r="L57">
            <v>3</v>
          </cell>
          <cell r="M57">
            <v>1571.9</v>
          </cell>
          <cell r="N57">
            <v>20</v>
          </cell>
          <cell r="O57">
            <v>235.7</v>
          </cell>
        </row>
        <row r="58">
          <cell r="C58" t="str">
            <v>B</v>
          </cell>
          <cell r="D58" t="str">
            <v>G</v>
          </cell>
          <cell r="F58" t="str">
            <v>Hamburg</v>
          </cell>
          <cell r="G58">
            <v>2400</v>
          </cell>
          <cell r="H58">
            <v>30</v>
          </cell>
          <cell r="I58">
            <v>22</v>
          </cell>
          <cell r="J58">
            <v>24</v>
          </cell>
          <cell r="K58">
            <v>47158</v>
          </cell>
          <cell r="L58">
            <v>7</v>
          </cell>
          <cell r="M58">
            <v>673.6</v>
          </cell>
          <cell r="N58">
            <v>37</v>
          </cell>
          <cell r="O58">
            <v>127.4</v>
          </cell>
          <cell r="P58" t="str">
            <v>JP</v>
          </cell>
          <cell r="Q58">
            <v>42934.6</v>
          </cell>
        </row>
        <row r="64">
          <cell r="A64" t="str">
            <v>RennQuintett  2 x 3 aus 15</v>
          </cell>
          <cell r="Q64" t="str">
            <v>Gewinnzahlen und Quoten der 27. - 52. Veranstaltung 1997</v>
          </cell>
        </row>
        <row r="65">
          <cell r="A65" t="str">
            <v>Alle Zahlenangaben ohne Gewähr</v>
          </cell>
        </row>
        <row r="66">
          <cell r="D66" t="str">
            <v>Galopp</v>
          </cell>
          <cell r="H66" t="str">
            <v>Gewinn-Nummern</v>
          </cell>
          <cell r="K66" t="str">
            <v>Spieleinsatz</v>
          </cell>
          <cell r="L66" t="str">
            <v>Gewinnquoten / Jackpot</v>
          </cell>
          <cell r="P66" t="str">
            <v>Kombination A 1 + B 1</v>
          </cell>
        </row>
        <row r="67">
          <cell r="A67" t="str">
            <v>VA</v>
          </cell>
          <cell r="B67">
            <v>1997</v>
          </cell>
          <cell r="C67" t="str">
            <v>Rennen</v>
          </cell>
          <cell r="D67" t="str">
            <v>Trab</v>
          </cell>
          <cell r="F67" t="str">
            <v>Bahn</v>
          </cell>
          <cell r="G67" t="str">
            <v>Distanz</v>
          </cell>
          <cell r="H67" t="str">
            <v xml:space="preserve"> Platz</v>
          </cell>
          <cell r="K67" t="str">
            <v>DM</v>
          </cell>
          <cell r="L67" t="str">
            <v>1. Rang</v>
          </cell>
          <cell r="N67" t="str">
            <v>2. Rang</v>
          </cell>
          <cell r="P67" t="str">
            <v>Gewinne bzw.</v>
          </cell>
        </row>
        <row r="68">
          <cell r="H68">
            <v>1</v>
          </cell>
          <cell r="I68">
            <v>2</v>
          </cell>
          <cell r="J68">
            <v>3</v>
          </cell>
          <cell r="M68" t="str">
            <v xml:space="preserve">     DM</v>
          </cell>
          <cell r="O68" t="str">
            <v xml:space="preserve">   DM</v>
          </cell>
          <cell r="P68" t="str">
            <v>Jackpot</v>
          </cell>
          <cell r="Q68" t="str">
            <v>DM</v>
          </cell>
        </row>
        <row r="69">
          <cell r="A69">
            <v>27</v>
          </cell>
          <cell r="B69" t="str">
            <v>05.07.</v>
          </cell>
          <cell r="C69" t="str">
            <v>A</v>
          </cell>
          <cell r="D69" t="str">
            <v>G</v>
          </cell>
          <cell r="F69" t="str">
            <v>Hamburg</v>
          </cell>
          <cell r="G69">
            <v>1600</v>
          </cell>
          <cell r="H69">
            <v>6</v>
          </cell>
          <cell r="I69">
            <v>7</v>
          </cell>
          <cell r="J69">
            <v>9</v>
          </cell>
          <cell r="L69">
            <v>9</v>
          </cell>
          <cell r="M69">
            <v>537.79999999999995</v>
          </cell>
          <cell r="N69">
            <v>21</v>
          </cell>
          <cell r="O69">
            <v>230.4</v>
          </cell>
        </row>
        <row r="70">
          <cell r="C70" t="str">
            <v>B</v>
          </cell>
          <cell r="D70" t="str">
            <v>G</v>
          </cell>
          <cell r="F70" t="str">
            <v>Hamburg</v>
          </cell>
          <cell r="G70">
            <v>1800</v>
          </cell>
          <cell r="H70">
            <v>34</v>
          </cell>
          <cell r="I70">
            <v>33</v>
          </cell>
          <cell r="J70">
            <v>27</v>
          </cell>
          <cell r="K70">
            <v>48404</v>
          </cell>
          <cell r="L70">
            <v>2</v>
          </cell>
          <cell r="M70">
            <v>2420.1999999999998</v>
          </cell>
          <cell r="N70">
            <v>27</v>
          </cell>
          <cell r="O70">
            <v>179.2</v>
          </cell>
          <cell r="P70" t="str">
            <v>JP</v>
          </cell>
          <cell r="Q70">
            <v>47775</v>
          </cell>
        </row>
        <row r="71">
          <cell r="A71">
            <v>28</v>
          </cell>
          <cell r="B71" t="str">
            <v>12.07.</v>
          </cell>
          <cell r="C71" t="str">
            <v>A</v>
          </cell>
          <cell r="D71" t="str">
            <v>T</v>
          </cell>
          <cell r="F71" t="str">
            <v>Gelsenkirchen</v>
          </cell>
          <cell r="G71">
            <v>2600</v>
          </cell>
          <cell r="H71">
            <v>3</v>
          </cell>
          <cell r="I71">
            <v>15</v>
          </cell>
          <cell r="J71">
            <v>12</v>
          </cell>
          <cell r="L71">
            <v>8</v>
          </cell>
          <cell r="M71">
            <v>644.9</v>
          </cell>
          <cell r="N71">
            <v>240</v>
          </cell>
          <cell r="O71">
            <v>21.4</v>
          </cell>
        </row>
        <row r="72">
          <cell r="C72" t="str">
            <v>B</v>
          </cell>
          <cell r="D72" t="str">
            <v>G</v>
          </cell>
          <cell r="F72" t="str">
            <v>München-Riem</v>
          </cell>
          <cell r="G72">
            <v>2000</v>
          </cell>
          <cell r="H72">
            <v>33</v>
          </cell>
          <cell r="I72">
            <v>28</v>
          </cell>
          <cell r="J72">
            <v>32</v>
          </cell>
          <cell r="K72">
            <v>51594</v>
          </cell>
          <cell r="L72">
            <v>41</v>
          </cell>
          <cell r="M72">
            <v>125.8</v>
          </cell>
          <cell r="N72">
            <v>307</v>
          </cell>
          <cell r="O72">
            <v>16.8</v>
          </cell>
          <cell r="P72" t="str">
            <v>JP</v>
          </cell>
          <cell r="Q72">
            <v>52934.400000000001</v>
          </cell>
        </row>
        <row r="73">
          <cell r="A73">
            <v>29</v>
          </cell>
          <cell r="B73" t="str">
            <v>19.07.</v>
          </cell>
          <cell r="C73" t="str">
            <v>A</v>
          </cell>
          <cell r="D73" t="str">
            <v>G</v>
          </cell>
          <cell r="F73" t="str">
            <v>Frankfurt</v>
          </cell>
          <cell r="G73">
            <v>1900</v>
          </cell>
          <cell r="H73">
            <v>10</v>
          </cell>
          <cell r="I73">
            <v>13</v>
          </cell>
          <cell r="J73">
            <v>12</v>
          </cell>
          <cell r="L73">
            <v>3</v>
          </cell>
          <cell r="M73">
            <v>1753</v>
          </cell>
          <cell r="N73">
            <v>12</v>
          </cell>
          <cell r="O73">
            <v>438.2</v>
          </cell>
        </row>
        <row r="74">
          <cell r="C74" t="str">
            <v>B</v>
          </cell>
          <cell r="D74" t="str">
            <v>T</v>
          </cell>
          <cell r="F74" t="str">
            <v>Recklinghausen</v>
          </cell>
          <cell r="G74">
            <v>2000</v>
          </cell>
          <cell r="H74">
            <v>23</v>
          </cell>
          <cell r="I74">
            <v>28</v>
          </cell>
          <cell r="J74">
            <v>32</v>
          </cell>
          <cell r="K74">
            <v>52590</v>
          </cell>
          <cell r="L74">
            <v>7</v>
          </cell>
          <cell r="M74">
            <v>751.2</v>
          </cell>
          <cell r="N74">
            <v>17</v>
          </cell>
          <cell r="O74">
            <v>309.3</v>
          </cell>
          <cell r="P74" t="str">
            <v>JP</v>
          </cell>
          <cell r="Q74">
            <v>58193.4</v>
          </cell>
        </row>
        <row r="75">
          <cell r="A75">
            <v>30</v>
          </cell>
          <cell r="B75">
            <v>35637</v>
          </cell>
          <cell r="C75" t="str">
            <v>A</v>
          </cell>
          <cell r="D75" t="str">
            <v>G</v>
          </cell>
          <cell r="F75" t="str">
            <v>Mülheim-Ruhr</v>
          </cell>
          <cell r="G75">
            <v>2300</v>
          </cell>
          <cell r="H75">
            <v>14</v>
          </cell>
          <cell r="I75">
            <v>2</v>
          </cell>
          <cell r="J75">
            <v>15</v>
          </cell>
          <cell r="L75">
            <v>3</v>
          </cell>
          <cell r="M75">
            <v>1703.2</v>
          </cell>
          <cell r="N75">
            <v>9</v>
          </cell>
          <cell r="O75">
            <v>567.70000000000005</v>
          </cell>
        </row>
        <row r="76">
          <cell r="C76" t="str">
            <v>B</v>
          </cell>
          <cell r="D76" t="str">
            <v>T</v>
          </cell>
          <cell r="F76" t="str">
            <v>München-Daglfing</v>
          </cell>
          <cell r="G76">
            <v>2112</v>
          </cell>
          <cell r="H76">
            <v>22</v>
          </cell>
          <cell r="I76">
            <v>25</v>
          </cell>
          <cell r="J76">
            <v>32</v>
          </cell>
          <cell r="K76">
            <v>51098</v>
          </cell>
          <cell r="L76">
            <v>22</v>
          </cell>
          <cell r="M76">
            <v>232.2</v>
          </cell>
          <cell r="N76">
            <v>28</v>
          </cell>
          <cell r="O76">
            <v>182.4</v>
          </cell>
          <cell r="P76" t="str">
            <v>JP</v>
          </cell>
          <cell r="Q76">
            <v>63303.199999999997</v>
          </cell>
        </row>
        <row r="77">
          <cell r="A77">
            <v>31</v>
          </cell>
          <cell r="B77">
            <v>35645</v>
          </cell>
          <cell r="C77" t="str">
            <v>A</v>
          </cell>
          <cell r="D77" t="str">
            <v>G</v>
          </cell>
          <cell r="F77" t="str">
            <v>Köln</v>
          </cell>
          <cell r="G77">
            <v>1900</v>
          </cell>
          <cell r="H77">
            <v>15</v>
          </cell>
          <cell r="I77">
            <v>8</v>
          </cell>
          <cell r="J77">
            <v>5</v>
          </cell>
          <cell r="K77">
            <v>52498</v>
          </cell>
          <cell r="L77">
            <v>75</v>
          </cell>
          <cell r="M77">
            <v>69.900000000000006</v>
          </cell>
          <cell r="N77">
            <v>722</v>
          </cell>
          <cell r="O77">
            <v>7.2</v>
          </cell>
        </row>
        <row r="78">
          <cell r="C78" t="str">
            <v>B</v>
          </cell>
          <cell r="D78" t="str">
            <v>T</v>
          </cell>
          <cell r="F78" t="str">
            <v>Mönchengladbach</v>
          </cell>
          <cell r="G78">
            <v>2100</v>
          </cell>
          <cell r="H78">
            <v>33</v>
          </cell>
          <cell r="I78">
            <v>26</v>
          </cell>
          <cell r="J78">
            <v>34</v>
          </cell>
          <cell r="L78">
            <v>39</v>
          </cell>
          <cell r="M78">
            <v>134.6</v>
          </cell>
          <cell r="N78">
            <v>337</v>
          </cell>
          <cell r="O78">
            <v>15.5</v>
          </cell>
          <cell r="P78" t="str">
            <v>JP</v>
          </cell>
          <cell r="Q78">
            <v>68553</v>
          </cell>
        </row>
        <row r="79">
          <cell r="A79">
            <v>32</v>
          </cell>
          <cell r="B79" t="str">
            <v>09.08.</v>
          </cell>
          <cell r="C79" t="str">
            <v>A</v>
          </cell>
          <cell r="D79" t="str">
            <v>G</v>
          </cell>
          <cell r="F79" t="str">
            <v>Mülheim-Ruhr</v>
          </cell>
          <cell r="G79">
            <v>1600</v>
          </cell>
          <cell r="H79">
            <v>7</v>
          </cell>
          <cell r="I79">
            <v>13</v>
          </cell>
          <cell r="J79">
            <v>3</v>
          </cell>
          <cell r="K79">
            <v>52858</v>
          </cell>
          <cell r="L79">
            <v>11</v>
          </cell>
          <cell r="M79">
            <v>480.5</v>
          </cell>
          <cell r="N79">
            <v>249</v>
          </cell>
          <cell r="O79">
            <v>21.2</v>
          </cell>
        </row>
        <row r="80">
          <cell r="B80" t="str">
            <v>10.08.</v>
          </cell>
          <cell r="C80" t="str">
            <v>B</v>
          </cell>
          <cell r="D80" t="str">
            <v>G</v>
          </cell>
          <cell r="F80" t="str">
            <v>Neuss</v>
          </cell>
          <cell r="G80">
            <v>2100</v>
          </cell>
          <cell r="H80">
            <v>25</v>
          </cell>
          <cell r="I80">
            <v>27</v>
          </cell>
          <cell r="J80">
            <v>23</v>
          </cell>
          <cell r="L80">
            <v>6</v>
          </cell>
          <cell r="M80">
            <v>880.9</v>
          </cell>
          <cell r="N80">
            <v>67</v>
          </cell>
          <cell r="O80">
            <v>78.8</v>
          </cell>
          <cell r="P80" t="str">
            <v>JP</v>
          </cell>
          <cell r="Q80">
            <v>73838.8</v>
          </cell>
        </row>
        <row r="81">
          <cell r="A81">
            <v>33</v>
          </cell>
          <cell r="B81" t="str">
            <v>16.08.</v>
          </cell>
          <cell r="C81" t="str">
            <v>A</v>
          </cell>
          <cell r="D81" t="str">
            <v>T</v>
          </cell>
          <cell r="F81" t="str">
            <v>München-Daglfing</v>
          </cell>
          <cell r="G81">
            <v>2112</v>
          </cell>
          <cell r="H81">
            <v>4</v>
          </cell>
          <cell r="I81">
            <v>1</v>
          </cell>
          <cell r="J81">
            <v>3</v>
          </cell>
          <cell r="K81">
            <v>55020</v>
          </cell>
          <cell r="L81">
            <v>5</v>
          </cell>
          <cell r="M81">
            <v>1100.4000000000001</v>
          </cell>
          <cell r="N81">
            <v>26</v>
          </cell>
          <cell r="O81">
            <v>211.6</v>
          </cell>
        </row>
        <row r="82">
          <cell r="C82" t="str">
            <v>B</v>
          </cell>
          <cell r="D82" t="str">
            <v>G</v>
          </cell>
          <cell r="F82" t="str">
            <v>Gelsenkirchen</v>
          </cell>
          <cell r="G82">
            <v>1800</v>
          </cell>
          <cell r="H82">
            <v>29</v>
          </cell>
          <cell r="I82">
            <v>21</v>
          </cell>
          <cell r="J82">
            <v>28</v>
          </cell>
          <cell r="L82">
            <v>43</v>
          </cell>
          <cell r="M82">
            <v>127.9</v>
          </cell>
          <cell r="N82">
            <v>106</v>
          </cell>
          <cell r="O82">
            <v>51.9</v>
          </cell>
          <cell r="P82" t="str">
            <v>JP</v>
          </cell>
          <cell r="Q82">
            <v>79340.800000000003</v>
          </cell>
        </row>
        <row r="83">
          <cell r="A83">
            <v>34</v>
          </cell>
          <cell r="B83" t="str">
            <v>23.08.</v>
          </cell>
          <cell r="C83" t="str">
            <v>A</v>
          </cell>
          <cell r="D83" t="str">
            <v>G</v>
          </cell>
          <cell r="F83" t="str">
            <v>Köln</v>
          </cell>
          <cell r="G83">
            <v>1400</v>
          </cell>
          <cell r="H83">
            <v>8</v>
          </cell>
          <cell r="I83">
            <v>4</v>
          </cell>
          <cell r="J83">
            <v>15</v>
          </cell>
          <cell r="K83">
            <v>51410</v>
          </cell>
          <cell r="L83">
            <v>3</v>
          </cell>
          <cell r="M83">
            <v>1713.6</v>
          </cell>
          <cell r="N83">
            <v>12</v>
          </cell>
          <cell r="O83">
            <v>428.4</v>
          </cell>
        </row>
        <row r="84">
          <cell r="C84" t="str">
            <v>B</v>
          </cell>
          <cell r="D84" t="str">
            <v>G</v>
          </cell>
          <cell r="F84" t="str">
            <v>Frankfurt</v>
          </cell>
          <cell r="G84">
            <v>1550</v>
          </cell>
          <cell r="H84">
            <v>31</v>
          </cell>
          <cell r="I84">
            <v>25</v>
          </cell>
          <cell r="J84">
            <v>28</v>
          </cell>
          <cell r="L84">
            <v>83</v>
          </cell>
          <cell r="M84">
            <v>61.9</v>
          </cell>
          <cell r="N84">
            <v>1345</v>
          </cell>
          <cell r="O84">
            <v>3.8</v>
          </cell>
          <cell r="P84" t="str">
            <v>JP</v>
          </cell>
          <cell r="Q84">
            <v>84481.8</v>
          </cell>
        </row>
        <row r="85">
          <cell r="A85">
            <v>35</v>
          </cell>
          <cell r="B85" t="str">
            <v>30.08.</v>
          </cell>
          <cell r="C85" t="str">
            <v>A</v>
          </cell>
          <cell r="D85" t="str">
            <v>T</v>
          </cell>
          <cell r="F85" t="str">
            <v>Pfaffenhofen</v>
          </cell>
          <cell r="G85">
            <v>2100</v>
          </cell>
          <cell r="H85">
            <v>8</v>
          </cell>
          <cell r="I85">
            <v>1</v>
          </cell>
          <cell r="J85">
            <v>2</v>
          </cell>
          <cell r="K85">
            <v>65164</v>
          </cell>
          <cell r="L85">
            <v>113</v>
          </cell>
          <cell r="M85">
            <v>57.6</v>
          </cell>
          <cell r="N85">
            <v>277</v>
          </cell>
          <cell r="O85">
            <v>23.5</v>
          </cell>
        </row>
        <row r="86">
          <cell r="B86" t="str">
            <v>31.08.</v>
          </cell>
          <cell r="C86" t="str">
            <v>B</v>
          </cell>
          <cell r="D86" t="str">
            <v>G</v>
          </cell>
          <cell r="F86" t="str">
            <v>Baden-Baden</v>
          </cell>
          <cell r="G86">
            <v>1800</v>
          </cell>
          <cell r="H86">
            <v>21</v>
          </cell>
          <cell r="I86">
            <v>34</v>
          </cell>
          <cell r="J86">
            <v>26</v>
          </cell>
          <cell r="L86">
            <v>46</v>
          </cell>
          <cell r="M86">
            <v>141.6</v>
          </cell>
          <cell r="N86">
            <v>319</v>
          </cell>
          <cell r="O86">
            <v>20.399999999999999</v>
          </cell>
          <cell r="P86" t="str">
            <v>JP</v>
          </cell>
          <cell r="Q86">
            <v>90998.2</v>
          </cell>
        </row>
        <row r="87">
          <cell r="A87">
            <v>36</v>
          </cell>
          <cell r="B87" t="str">
            <v>06.09.</v>
          </cell>
          <cell r="C87" t="str">
            <v>A</v>
          </cell>
          <cell r="D87" t="str">
            <v>G</v>
          </cell>
          <cell r="F87" t="str">
            <v>Düsseldorf</v>
          </cell>
          <cell r="G87">
            <v>2200</v>
          </cell>
          <cell r="H87">
            <v>5</v>
          </cell>
          <cell r="I87">
            <v>1</v>
          </cell>
          <cell r="J87">
            <v>13</v>
          </cell>
          <cell r="K87">
            <v>58830</v>
          </cell>
          <cell r="L87">
            <v>33</v>
          </cell>
          <cell r="M87">
            <v>178.2</v>
          </cell>
          <cell r="N87">
            <v>54</v>
          </cell>
          <cell r="O87">
            <v>108.9</v>
          </cell>
        </row>
        <row r="88">
          <cell r="B88" t="str">
            <v>07.09.</v>
          </cell>
          <cell r="C88" t="str">
            <v>B</v>
          </cell>
          <cell r="D88" t="str">
            <v>G</v>
          </cell>
          <cell r="F88" t="str">
            <v>Baden-Baden</v>
          </cell>
          <cell r="G88">
            <v>1400</v>
          </cell>
          <cell r="H88">
            <v>23</v>
          </cell>
          <cell r="I88">
            <v>30</v>
          </cell>
          <cell r="J88">
            <v>21</v>
          </cell>
          <cell r="L88">
            <v>11</v>
          </cell>
          <cell r="M88">
            <v>534.79999999999995</v>
          </cell>
          <cell r="N88">
            <v>183</v>
          </cell>
          <cell r="O88">
            <v>32.1</v>
          </cell>
          <cell r="P88" t="str">
            <v>JP</v>
          </cell>
          <cell r="Q88">
            <v>96881.2</v>
          </cell>
        </row>
        <row r="89">
          <cell r="A89">
            <v>37</v>
          </cell>
          <cell r="B89" t="str">
            <v>13.09.</v>
          </cell>
          <cell r="C89" t="str">
            <v>A</v>
          </cell>
          <cell r="D89" t="str">
            <v xml:space="preserve">G </v>
          </cell>
          <cell r="F89" t="str">
            <v>Mühlheim Ruhr</v>
          </cell>
          <cell r="G89">
            <v>1400</v>
          </cell>
          <cell r="H89">
            <v>9</v>
          </cell>
          <cell r="I89">
            <v>13</v>
          </cell>
          <cell r="J89">
            <v>5</v>
          </cell>
          <cell r="K89">
            <v>66688</v>
          </cell>
          <cell r="L89">
            <v>274</v>
          </cell>
          <cell r="M89">
            <v>24.3</v>
          </cell>
          <cell r="N89">
            <v>680</v>
          </cell>
          <cell r="O89">
            <v>9.8000000000000007</v>
          </cell>
        </row>
        <row r="90">
          <cell r="C90" t="str">
            <v>B</v>
          </cell>
          <cell r="D90" t="str">
            <v>G</v>
          </cell>
          <cell r="F90" t="str">
            <v>München-Riem</v>
          </cell>
          <cell r="G90">
            <v>2200</v>
          </cell>
          <cell r="H90">
            <v>24</v>
          </cell>
          <cell r="I90">
            <v>23</v>
          </cell>
          <cell r="J90">
            <v>34</v>
          </cell>
          <cell r="L90">
            <v>41</v>
          </cell>
          <cell r="M90">
            <v>162.6</v>
          </cell>
          <cell r="N90">
            <v>148</v>
          </cell>
          <cell r="O90">
            <v>45</v>
          </cell>
          <cell r="P90">
            <v>2</v>
          </cell>
          <cell r="Q90">
            <v>51775</v>
          </cell>
        </row>
        <row r="91">
          <cell r="A91">
            <v>38</v>
          </cell>
          <cell r="B91" t="str">
            <v>20.09.</v>
          </cell>
          <cell r="C91" t="str">
            <v>A</v>
          </cell>
          <cell r="D91" t="str">
            <v>G</v>
          </cell>
          <cell r="F91" t="str">
            <v>Mühlheim</v>
          </cell>
          <cell r="G91">
            <v>2100</v>
          </cell>
          <cell r="H91">
            <v>9</v>
          </cell>
          <cell r="I91">
            <v>2</v>
          </cell>
          <cell r="J91">
            <v>6</v>
          </cell>
          <cell r="K91">
            <v>36160</v>
          </cell>
          <cell r="L91">
            <v>5</v>
          </cell>
          <cell r="M91">
            <v>723.2</v>
          </cell>
          <cell r="N91">
            <v>21</v>
          </cell>
          <cell r="O91">
            <v>172.1</v>
          </cell>
        </row>
        <row r="92">
          <cell r="C92" t="str">
            <v>B</v>
          </cell>
          <cell r="D92" t="str">
            <v>G</v>
          </cell>
          <cell r="F92" t="str">
            <v>Frankfurt</v>
          </cell>
          <cell r="G92">
            <v>2000</v>
          </cell>
          <cell r="H92">
            <v>27</v>
          </cell>
          <cell r="I92">
            <v>21</v>
          </cell>
          <cell r="J92">
            <v>22</v>
          </cell>
          <cell r="L92">
            <v>16</v>
          </cell>
          <cell r="M92">
            <v>226</v>
          </cell>
          <cell r="N92">
            <v>47</v>
          </cell>
          <cell r="O92">
            <v>76.900000000000006</v>
          </cell>
          <cell r="P92" t="str">
            <v>JP</v>
          </cell>
          <cell r="Q92">
            <v>3616</v>
          </cell>
        </row>
        <row r="93">
          <cell r="A93">
            <v>39</v>
          </cell>
          <cell r="B93" t="str">
            <v>27.09.</v>
          </cell>
          <cell r="C93" t="str">
            <v>A</v>
          </cell>
          <cell r="D93" t="str">
            <v>G</v>
          </cell>
          <cell r="F93" t="str">
            <v>Köln</v>
          </cell>
          <cell r="G93">
            <v>2200</v>
          </cell>
          <cell r="H93">
            <v>6</v>
          </cell>
          <cell r="I93">
            <v>7</v>
          </cell>
          <cell r="J93">
            <v>1</v>
          </cell>
          <cell r="K93">
            <v>40492</v>
          </cell>
          <cell r="L93">
            <v>8</v>
          </cell>
          <cell r="M93">
            <v>506.1</v>
          </cell>
          <cell r="N93">
            <v>73</v>
          </cell>
          <cell r="O93">
            <v>55.4</v>
          </cell>
        </row>
        <row r="94">
          <cell r="C94" t="str">
            <v>B</v>
          </cell>
          <cell r="D94" t="str">
            <v>T</v>
          </cell>
          <cell r="F94" t="str">
            <v>München-Daglfing</v>
          </cell>
          <cell r="G94">
            <v>2112</v>
          </cell>
          <cell r="H94">
            <v>23</v>
          </cell>
          <cell r="I94">
            <v>31</v>
          </cell>
          <cell r="J94">
            <v>27</v>
          </cell>
          <cell r="L94">
            <v>296</v>
          </cell>
          <cell r="M94">
            <v>13.6</v>
          </cell>
          <cell r="N94">
            <v>1292</v>
          </cell>
          <cell r="O94">
            <v>3.1</v>
          </cell>
          <cell r="P94" t="str">
            <v>JP</v>
          </cell>
          <cell r="Q94">
            <v>7665.2</v>
          </cell>
        </row>
        <row r="95">
          <cell r="A95">
            <v>40</v>
          </cell>
          <cell r="B95" t="str">
            <v>05.10.</v>
          </cell>
          <cell r="C95" t="str">
            <v>A</v>
          </cell>
          <cell r="D95" t="str">
            <v>G</v>
          </cell>
          <cell r="F95" t="str">
            <v>Dortmund</v>
          </cell>
          <cell r="G95">
            <v>2050</v>
          </cell>
          <cell r="H95">
            <v>4</v>
          </cell>
          <cell r="I95">
            <v>2</v>
          </cell>
          <cell r="J95">
            <v>11</v>
          </cell>
          <cell r="K95">
            <v>36126</v>
          </cell>
          <cell r="L95">
            <v>5</v>
          </cell>
          <cell r="M95">
            <v>722.5</v>
          </cell>
          <cell r="N95">
            <v>8</v>
          </cell>
          <cell r="O95">
            <v>451.5</v>
          </cell>
        </row>
        <row r="96">
          <cell r="C96" t="str">
            <v>B</v>
          </cell>
          <cell r="D96" t="str">
            <v>G</v>
          </cell>
          <cell r="F96" t="str">
            <v>Frankfurt</v>
          </cell>
          <cell r="G96">
            <v>2000</v>
          </cell>
          <cell r="H96">
            <v>21</v>
          </cell>
          <cell r="I96">
            <v>27</v>
          </cell>
          <cell r="J96">
            <v>28</v>
          </cell>
          <cell r="L96">
            <v>78</v>
          </cell>
          <cell r="M96">
            <v>46.3</v>
          </cell>
          <cell r="N96">
            <v>140</v>
          </cell>
          <cell r="O96">
            <v>25.8</v>
          </cell>
          <cell r="P96" t="str">
            <v>JP</v>
          </cell>
          <cell r="Q96">
            <v>11277.8</v>
          </cell>
        </row>
        <row r="97">
          <cell r="A97">
            <v>41</v>
          </cell>
          <cell r="B97" t="str">
            <v>12.10.</v>
          </cell>
          <cell r="C97" t="str">
            <v>A</v>
          </cell>
          <cell r="D97" t="str">
            <v>G</v>
          </cell>
          <cell r="F97" t="str">
            <v>München-Riem</v>
          </cell>
          <cell r="G97">
            <v>1600</v>
          </cell>
          <cell r="H97">
            <v>7</v>
          </cell>
          <cell r="I97">
            <v>5</v>
          </cell>
          <cell r="J97">
            <v>4</v>
          </cell>
          <cell r="K97">
            <v>43236</v>
          </cell>
          <cell r="L97">
            <v>7</v>
          </cell>
          <cell r="M97">
            <v>617.6</v>
          </cell>
          <cell r="N97">
            <v>27</v>
          </cell>
          <cell r="O97">
            <v>160.1</v>
          </cell>
        </row>
        <row r="98">
          <cell r="C98" t="str">
            <v>B</v>
          </cell>
          <cell r="D98" t="str">
            <v>T</v>
          </cell>
          <cell r="F98" t="str">
            <v>Hamburg</v>
          </cell>
          <cell r="G98">
            <v>2100</v>
          </cell>
          <cell r="H98">
            <v>22</v>
          </cell>
          <cell r="I98">
            <v>26</v>
          </cell>
          <cell r="J98">
            <v>24</v>
          </cell>
          <cell r="L98">
            <v>199</v>
          </cell>
          <cell r="M98">
            <v>21.7</v>
          </cell>
          <cell r="N98">
            <v>625</v>
          </cell>
          <cell r="O98">
            <v>6.9</v>
          </cell>
          <cell r="P98" t="str">
            <v>JP</v>
          </cell>
          <cell r="Q98">
            <v>15601.4</v>
          </cell>
        </row>
        <row r="99">
          <cell r="A99">
            <v>42</v>
          </cell>
          <cell r="B99" t="str">
            <v>18.10.</v>
          </cell>
          <cell r="C99" t="str">
            <v>A</v>
          </cell>
          <cell r="D99" t="str">
            <v>G</v>
          </cell>
          <cell r="F99" t="str">
            <v>Neuss</v>
          </cell>
          <cell r="G99">
            <v>2100</v>
          </cell>
          <cell r="H99">
            <v>10</v>
          </cell>
          <cell r="I99">
            <v>3</v>
          </cell>
          <cell r="J99">
            <v>8</v>
          </cell>
          <cell r="K99">
            <v>44022</v>
          </cell>
          <cell r="L99">
            <v>7</v>
          </cell>
          <cell r="M99">
            <v>628.79999999999995</v>
          </cell>
          <cell r="N99">
            <v>24</v>
          </cell>
          <cell r="O99">
            <v>183.4</v>
          </cell>
        </row>
        <row r="100">
          <cell r="C100" t="str">
            <v>B</v>
          </cell>
          <cell r="D100" t="str">
            <v>T</v>
          </cell>
          <cell r="F100" t="str">
            <v>Gelsenkirchen</v>
          </cell>
          <cell r="G100">
            <v>2000</v>
          </cell>
          <cell r="H100">
            <v>24</v>
          </cell>
          <cell r="I100">
            <v>30</v>
          </cell>
          <cell r="J100">
            <v>23</v>
          </cell>
          <cell r="L100">
            <v>9</v>
          </cell>
          <cell r="M100">
            <v>489.1</v>
          </cell>
          <cell r="N100">
            <v>50</v>
          </cell>
          <cell r="O100">
            <v>88</v>
          </cell>
          <cell r="P100" t="str">
            <v>JP</v>
          </cell>
          <cell r="Q100">
            <v>20003.599999999999</v>
          </cell>
        </row>
        <row r="101">
          <cell r="A101">
            <v>43</v>
          </cell>
          <cell r="B101" t="str">
            <v>25.10.</v>
          </cell>
          <cell r="C101" t="str">
            <v>A</v>
          </cell>
          <cell r="D101" t="str">
            <v>T</v>
          </cell>
          <cell r="F101" t="str">
            <v>Dinslaken</v>
          </cell>
          <cell r="G101">
            <v>2100</v>
          </cell>
          <cell r="H101">
            <v>5</v>
          </cell>
          <cell r="I101">
            <v>15</v>
          </cell>
          <cell r="J101">
            <v>9</v>
          </cell>
          <cell r="K101">
            <v>44188</v>
          </cell>
          <cell r="L101">
            <v>123</v>
          </cell>
          <cell r="M101">
            <v>35.9</v>
          </cell>
          <cell r="N101">
            <v>1101</v>
          </cell>
          <cell r="O101">
            <v>4</v>
          </cell>
        </row>
        <row r="102">
          <cell r="C102" t="str">
            <v>B</v>
          </cell>
          <cell r="D102" t="str">
            <v>G</v>
          </cell>
          <cell r="F102" t="str">
            <v>Düsseldorf</v>
          </cell>
          <cell r="G102">
            <v>2200</v>
          </cell>
          <cell r="H102">
            <v>24</v>
          </cell>
          <cell r="I102">
            <v>23</v>
          </cell>
          <cell r="J102">
            <v>26</v>
          </cell>
          <cell r="L102">
            <v>22</v>
          </cell>
          <cell r="M102">
            <v>200.8</v>
          </cell>
          <cell r="N102">
            <v>141</v>
          </cell>
          <cell r="O102">
            <v>31.3</v>
          </cell>
          <cell r="P102" t="str">
            <v>JP</v>
          </cell>
          <cell r="Q102">
            <v>24422.400000000001</v>
          </cell>
        </row>
        <row r="103">
          <cell r="A103">
            <v>44</v>
          </cell>
          <cell r="B103" t="str">
            <v>02.11.</v>
          </cell>
          <cell r="C103" t="str">
            <v>A</v>
          </cell>
          <cell r="D103" t="str">
            <v>T</v>
          </cell>
          <cell r="F103" t="str">
            <v>München-Daglfing</v>
          </cell>
          <cell r="G103">
            <v>2112</v>
          </cell>
          <cell r="H103">
            <v>14</v>
          </cell>
          <cell r="I103">
            <v>13</v>
          </cell>
          <cell r="J103">
            <v>3</v>
          </cell>
          <cell r="K103">
            <v>47026</v>
          </cell>
          <cell r="L103">
            <v>9</v>
          </cell>
          <cell r="M103">
            <v>522.5</v>
          </cell>
          <cell r="N103">
            <v>61</v>
          </cell>
          <cell r="O103">
            <v>77</v>
          </cell>
        </row>
        <row r="104">
          <cell r="C104" t="str">
            <v>B</v>
          </cell>
          <cell r="D104" t="str">
            <v>T</v>
          </cell>
          <cell r="F104" t="str">
            <v>Hamburg</v>
          </cell>
          <cell r="G104">
            <v>2140</v>
          </cell>
          <cell r="H104">
            <v>26</v>
          </cell>
          <cell r="I104">
            <v>29</v>
          </cell>
          <cell r="J104">
            <v>25</v>
          </cell>
          <cell r="L104">
            <v>6</v>
          </cell>
          <cell r="M104">
            <v>783.7</v>
          </cell>
          <cell r="N104">
            <v>107</v>
          </cell>
          <cell r="O104">
            <v>43.9</v>
          </cell>
          <cell r="P104" t="str">
            <v>JP</v>
          </cell>
          <cell r="Q104">
            <v>29125</v>
          </cell>
        </row>
        <row r="105">
          <cell r="A105">
            <v>45</v>
          </cell>
          <cell r="B105" t="str">
            <v>09.11.</v>
          </cell>
          <cell r="C105" t="str">
            <v>A</v>
          </cell>
          <cell r="D105" t="str">
            <v>G</v>
          </cell>
          <cell r="F105" t="str">
            <v>Mühlheim-Ruhr</v>
          </cell>
          <cell r="G105">
            <v>1400</v>
          </cell>
          <cell r="H105">
            <v>5</v>
          </cell>
          <cell r="I105">
            <v>13</v>
          </cell>
          <cell r="J105">
            <v>7</v>
          </cell>
          <cell r="K105">
            <v>48362</v>
          </cell>
          <cell r="L105">
            <v>2</v>
          </cell>
          <cell r="M105">
            <v>2418.1</v>
          </cell>
          <cell r="N105">
            <v>23</v>
          </cell>
          <cell r="O105">
            <v>210.2</v>
          </cell>
        </row>
        <row r="106">
          <cell r="C106" t="str">
            <v>B</v>
          </cell>
          <cell r="D106" t="str">
            <v>T</v>
          </cell>
          <cell r="F106" t="str">
            <v>Recklinghausen</v>
          </cell>
          <cell r="G106">
            <v>2000</v>
          </cell>
          <cell r="H106">
            <v>27</v>
          </cell>
          <cell r="I106">
            <v>33</v>
          </cell>
          <cell r="J106">
            <v>31</v>
          </cell>
          <cell r="L106">
            <v>188</v>
          </cell>
          <cell r="M106">
            <v>25.7</v>
          </cell>
          <cell r="N106">
            <v>534</v>
          </cell>
          <cell r="O106">
            <v>9</v>
          </cell>
          <cell r="P106" t="str">
            <v>JP</v>
          </cell>
          <cell r="Q106">
            <v>33961.199999999997</v>
          </cell>
        </row>
        <row r="107">
          <cell r="A107">
            <v>46</v>
          </cell>
          <cell r="B107" t="str">
            <v>15.11.</v>
          </cell>
          <cell r="C107" t="str">
            <v>A</v>
          </cell>
          <cell r="D107" t="str">
            <v>T</v>
          </cell>
          <cell r="F107" t="str">
            <v>Pfaffenhofen</v>
          </cell>
          <cell r="G107">
            <v>2100</v>
          </cell>
          <cell r="H107">
            <v>5</v>
          </cell>
          <cell r="I107">
            <v>2</v>
          </cell>
          <cell r="J107">
            <v>13</v>
          </cell>
          <cell r="K107">
            <v>50002</v>
          </cell>
          <cell r="L107">
            <v>8</v>
          </cell>
          <cell r="M107">
            <v>625</v>
          </cell>
          <cell r="N107">
            <v>37</v>
          </cell>
          <cell r="O107">
            <v>135.1</v>
          </cell>
        </row>
        <row r="108">
          <cell r="C108" t="str">
            <v>B</v>
          </cell>
          <cell r="D108" t="str">
            <v>G</v>
          </cell>
          <cell r="F108" t="str">
            <v>Neuss</v>
          </cell>
          <cell r="G108">
            <v>1900</v>
          </cell>
          <cell r="H108">
            <v>23</v>
          </cell>
          <cell r="I108">
            <v>26</v>
          </cell>
          <cell r="J108">
            <v>22</v>
          </cell>
          <cell r="L108">
            <v>29</v>
          </cell>
          <cell r="M108">
            <v>172.4</v>
          </cell>
          <cell r="N108">
            <v>62</v>
          </cell>
          <cell r="O108">
            <v>80.599999999999994</v>
          </cell>
          <cell r="P108" t="str">
            <v>JP</v>
          </cell>
          <cell r="Q108">
            <v>38961.4</v>
          </cell>
        </row>
        <row r="109">
          <cell r="A109">
            <v>47</v>
          </cell>
          <cell r="B109" t="str">
            <v>22.11.</v>
          </cell>
          <cell r="C109" t="str">
            <v>A</v>
          </cell>
          <cell r="D109" t="str">
            <v>G</v>
          </cell>
          <cell r="F109" t="str">
            <v>Köln</v>
          </cell>
          <cell r="G109">
            <v>1600</v>
          </cell>
          <cell r="H109">
            <v>2</v>
          </cell>
          <cell r="I109">
            <v>9</v>
          </cell>
          <cell r="J109">
            <v>14</v>
          </cell>
          <cell r="K109">
            <v>52622</v>
          </cell>
          <cell r="L109">
            <v>5</v>
          </cell>
          <cell r="M109">
            <v>1052.4000000000001</v>
          </cell>
          <cell r="N109">
            <v>10</v>
          </cell>
          <cell r="O109">
            <v>526.20000000000005</v>
          </cell>
        </row>
        <row r="110">
          <cell r="C110" t="str">
            <v>B</v>
          </cell>
          <cell r="D110" t="str">
            <v>T</v>
          </cell>
          <cell r="F110" t="str">
            <v>Dinslaken</v>
          </cell>
          <cell r="G110">
            <v>2100</v>
          </cell>
          <cell r="H110">
            <v>31</v>
          </cell>
          <cell r="I110">
            <v>35</v>
          </cell>
          <cell r="J110">
            <v>32</v>
          </cell>
          <cell r="L110">
            <v>3</v>
          </cell>
          <cell r="M110">
            <v>1754</v>
          </cell>
          <cell r="N110">
            <v>23</v>
          </cell>
          <cell r="O110">
            <v>228.7</v>
          </cell>
          <cell r="P110" t="str">
            <v>JP</v>
          </cell>
          <cell r="Q110">
            <v>44223.6</v>
          </cell>
        </row>
        <row r="111">
          <cell r="A111">
            <v>48</v>
          </cell>
          <cell r="B111" t="str">
            <v>30.11.</v>
          </cell>
          <cell r="C111" t="str">
            <v>A</v>
          </cell>
          <cell r="D111" t="str">
            <v>G</v>
          </cell>
          <cell r="F111" t="str">
            <v>Krefeld</v>
          </cell>
          <cell r="G111">
            <v>2200</v>
          </cell>
          <cell r="H111">
            <v>10</v>
          </cell>
          <cell r="I111">
            <v>1</v>
          </cell>
          <cell r="J111">
            <v>9</v>
          </cell>
          <cell r="K111">
            <v>52924</v>
          </cell>
          <cell r="L111">
            <v>15</v>
          </cell>
          <cell r="M111">
            <v>352.8</v>
          </cell>
          <cell r="N111">
            <v>25</v>
          </cell>
          <cell r="O111">
            <v>211.6</v>
          </cell>
        </row>
        <row r="112">
          <cell r="C112" t="str">
            <v>B</v>
          </cell>
          <cell r="D112" t="str">
            <v>T</v>
          </cell>
          <cell r="F112" t="str">
            <v>Gelsenkirchen</v>
          </cell>
          <cell r="G112">
            <v>2000</v>
          </cell>
          <cell r="H112">
            <v>27</v>
          </cell>
          <cell r="I112">
            <v>26</v>
          </cell>
          <cell r="J112">
            <v>34</v>
          </cell>
          <cell r="L112" t="str">
            <v>JP</v>
          </cell>
          <cell r="M112">
            <v>5292.4</v>
          </cell>
          <cell r="N112">
            <v>7</v>
          </cell>
          <cell r="O112">
            <v>756</v>
          </cell>
          <cell r="P112" t="str">
            <v>JP</v>
          </cell>
          <cell r="Q112">
            <v>49516</v>
          </cell>
        </row>
        <row r="113">
          <cell r="A113">
            <v>49</v>
          </cell>
          <cell r="B113" t="str">
            <v>06.12.</v>
          </cell>
          <cell r="C113" t="str">
            <v>A</v>
          </cell>
          <cell r="D113" t="str">
            <v>T</v>
          </cell>
          <cell r="F113" t="str">
            <v>Straubing</v>
          </cell>
          <cell r="G113">
            <v>2100</v>
          </cell>
          <cell r="H113">
            <v>8</v>
          </cell>
          <cell r="I113">
            <v>4</v>
          </cell>
          <cell r="J113">
            <v>12</v>
          </cell>
          <cell r="K113">
            <v>66630</v>
          </cell>
          <cell r="L113">
            <v>79</v>
          </cell>
          <cell r="M113">
            <v>84.3</v>
          </cell>
          <cell r="N113">
            <v>195</v>
          </cell>
          <cell r="O113">
            <v>34.1</v>
          </cell>
        </row>
        <row r="114">
          <cell r="C114" t="str">
            <v>B</v>
          </cell>
          <cell r="D114" t="str">
            <v>T</v>
          </cell>
          <cell r="F114" t="str">
            <v>München-Daglfing</v>
          </cell>
          <cell r="G114">
            <v>2112</v>
          </cell>
          <cell r="H114">
            <v>31</v>
          </cell>
          <cell r="I114">
            <v>23</v>
          </cell>
          <cell r="J114">
            <v>27</v>
          </cell>
          <cell r="L114">
            <v>475</v>
          </cell>
          <cell r="M114">
            <v>25.1</v>
          </cell>
          <cell r="N114" t="str">
            <v>JP</v>
          </cell>
          <cell r="O114">
            <v>6663</v>
          </cell>
          <cell r="P114">
            <v>1</v>
          </cell>
          <cell r="Q114">
            <v>56179</v>
          </cell>
        </row>
        <row r="115">
          <cell r="A115">
            <v>50</v>
          </cell>
          <cell r="B115" t="str">
            <v>13.12.</v>
          </cell>
          <cell r="C115" t="str">
            <v>A</v>
          </cell>
          <cell r="D115" t="str">
            <v>T</v>
          </cell>
          <cell r="F115" t="str">
            <v>Gelsenkirchen</v>
          </cell>
          <cell r="G115">
            <v>2000</v>
          </cell>
          <cell r="H115">
            <v>4</v>
          </cell>
          <cell r="I115">
            <v>6</v>
          </cell>
          <cell r="J115">
            <v>8</v>
          </cell>
          <cell r="K115">
            <v>44384</v>
          </cell>
          <cell r="L115">
            <v>60</v>
          </cell>
          <cell r="M115">
            <v>73.900000000000006</v>
          </cell>
          <cell r="N115">
            <v>191</v>
          </cell>
          <cell r="O115">
            <v>23.2</v>
          </cell>
        </row>
        <row r="116">
          <cell r="C116" t="str">
            <v>B</v>
          </cell>
          <cell r="D116" t="str">
            <v>T</v>
          </cell>
          <cell r="F116" t="str">
            <v>Hamburg</v>
          </cell>
          <cell r="G116">
            <v>1700</v>
          </cell>
          <cell r="H116">
            <v>32</v>
          </cell>
          <cell r="I116">
            <v>35</v>
          </cell>
          <cell r="J116">
            <v>27</v>
          </cell>
          <cell r="L116">
            <v>197</v>
          </cell>
          <cell r="M116">
            <v>22.5</v>
          </cell>
          <cell r="N116">
            <v>1129</v>
          </cell>
          <cell r="O116">
            <v>9.8000000000000007</v>
          </cell>
          <cell r="P116">
            <v>1</v>
          </cell>
          <cell r="Q116">
            <v>4438.3999999999996</v>
          </cell>
        </row>
        <row r="117">
          <cell r="A117">
            <v>51</v>
          </cell>
          <cell r="B117" t="str">
            <v>20.12.</v>
          </cell>
          <cell r="C117" t="str">
            <v>A</v>
          </cell>
          <cell r="D117" t="str">
            <v>G</v>
          </cell>
          <cell r="F117" t="str">
            <v>Neuss</v>
          </cell>
          <cell r="G117">
            <v>1900</v>
          </cell>
          <cell r="H117">
            <v>10</v>
          </cell>
          <cell r="I117">
            <v>4</v>
          </cell>
          <cell r="J117">
            <v>5</v>
          </cell>
          <cell r="K117">
            <v>38282</v>
          </cell>
          <cell r="L117">
            <v>16</v>
          </cell>
          <cell r="M117">
            <v>239.2</v>
          </cell>
          <cell r="N117">
            <v>88</v>
          </cell>
          <cell r="O117">
            <v>43.5</v>
          </cell>
        </row>
        <row r="118">
          <cell r="C118" t="str">
            <v>B</v>
          </cell>
          <cell r="D118" t="str">
            <v>T</v>
          </cell>
          <cell r="F118" t="str">
            <v>Dinslaken</v>
          </cell>
          <cell r="G118">
            <v>2100</v>
          </cell>
          <cell r="H118">
            <v>31</v>
          </cell>
          <cell r="I118">
            <v>28</v>
          </cell>
          <cell r="J118">
            <v>34</v>
          </cell>
          <cell r="L118">
            <v>17</v>
          </cell>
          <cell r="M118">
            <v>225.1</v>
          </cell>
          <cell r="N118">
            <v>93</v>
          </cell>
          <cell r="O118">
            <v>41.1</v>
          </cell>
          <cell r="P118" t="str">
            <v>JP</v>
          </cell>
          <cell r="Q118">
            <v>3828.2</v>
          </cell>
        </row>
        <row r="119">
          <cell r="A119">
            <v>52</v>
          </cell>
          <cell r="B119" t="str">
            <v>27.12.</v>
          </cell>
          <cell r="C119" t="str">
            <v>A</v>
          </cell>
          <cell r="D119" t="str">
            <v>T</v>
          </cell>
          <cell r="F119" t="str">
            <v>Dinslaken</v>
          </cell>
          <cell r="G119">
            <v>2100</v>
          </cell>
          <cell r="H119">
            <v>5</v>
          </cell>
          <cell r="I119">
            <v>2</v>
          </cell>
          <cell r="J119">
            <v>12</v>
          </cell>
          <cell r="K119">
            <v>31998</v>
          </cell>
          <cell r="L119">
            <v>70</v>
          </cell>
          <cell r="M119">
            <v>45.7</v>
          </cell>
          <cell r="N119">
            <v>9</v>
          </cell>
          <cell r="O119">
            <v>355.5</v>
          </cell>
        </row>
        <row r="120">
          <cell r="C120" t="str">
            <v>B</v>
          </cell>
          <cell r="D120" t="str">
            <v>T</v>
          </cell>
          <cell r="F120" t="str">
            <v>Hamburg</v>
          </cell>
          <cell r="G120">
            <v>2140</v>
          </cell>
          <cell r="H120">
            <v>32</v>
          </cell>
          <cell r="I120">
            <v>23</v>
          </cell>
          <cell r="J120">
            <v>29</v>
          </cell>
          <cell r="L120">
            <v>359</v>
          </cell>
          <cell r="M120">
            <v>8.9</v>
          </cell>
          <cell r="N120">
            <v>87</v>
          </cell>
          <cell r="O120">
            <v>36.700000000000003</v>
          </cell>
          <cell r="P120" t="str">
            <v>JP</v>
          </cell>
          <cell r="Q120">
            <v>7028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ALO"/>
      <sheetName val="SPIEL77"/>
      <sheetName val="SUPER6"/>
      <sheetName val="EW13"/>
      <sheetName val="AW"/>
      <sheetName val="GLSP"/>
      <sheetName val="GSPZ"/>
      <sheetName val="BILO"/>
      <sheetName val="KENO"/>
      <sheetName val="PLUS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8"/>
  <sheetViews>
    <sheetView workbookViewId="0">
      <pane ySplit="7" topLeftCell="A26" activePane="bottomLeft" state="frozenSplit"/>
      <selection activeCell="J63" sqref="J63"/>
      <selection pane="bottomLeft" activeCell="A61" sqref="A61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8.1640625" customWidth="1"/>
    <col min="12" max="12" width="14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1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9"/>
      <c r="L4" s="12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1975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92" t="s">
        <v>7</v>
      </c>
      <c r="L5" s="18"/>
      <c r="M5" s="14"/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1">
        <v>777777.7</v>
      </c>
      <c r="L6" s="242"/>
      <c r="M6" s="14"/>
      <c r="N6" s="211">
        <v>77777.7</v>
      </c>
      <c r="O6" s="211">
        <v>7777.7</v>
      </c>
      <c r="P6" s="211">
        <v>777.7</v>
      </c>
      <c r="Q6" s="211">
        <v>77.7</v>
      </c>
      <c r="R6" s="211">
        <v>7.7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246" t="s">
        <v>15</v>
      </c>
      <c r="L7" s="247"/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120">
        <v>1</v>
      </c>
      <c r="B8" s="104">
        <v>27398</v>
      </c>
      <c r="C8" s="76">
        <v>0</v>
      </c>
      <c r="D8" s="76">
        <v>2</v>
      </c>
      <c r="E8" s="76">
        <v>6</v>
      </c>
      <c r="F8" s="76">
        <v>5</v>
      </c>
      <c r="G8" s="76">
        <v>1</v>
      </c>
      <c r="H8" s="76">
        <v>0</v>
      </c>
      <c r="I8" s="13">
        <v>2</v>
      </c>
      <c r="J8" s="33" t="s">
        <v>16</v>
      </c>
      <c r="K8" s="248" t="s">
        <v>17</v>
      </c>
      <c r="L8" s="249"/>
      <c r="M8" s="117"/>
      <c r="N8" s="80">
        <v>3</v>
      </c>
      <c r="O8" s="118">
        <v>34</v>
      </c>
      <c r="P8" s="118">
        <v>296</v>
      </c>
      <c r="Q8" s="119">
        <v>2923</v>
      </c>
      <c r="R8" s="138">
        <v>29815</v>
      </c>
      <c r="V8" s="4"/>
    </row>
    <row r="9" spans="1:22" x14ac:dyDescent="0.15">
      <c r="A9" s="120">
        <v>2</v>
      </c>
      <c r="B9" s="104">
        <v>27405</v>
      </c>
      <c r="C9" s="76">
        <v>0</v>
      </c>
      <c r="D9" s="76">
        <v>7</v>
      </c>
      <c r="E9" s="76">
        <v>8</v>
      </c>
      <c r="F9" s="76">
        <v>7</v>
      </c>
      <c r="G9" s="76">
        <v>5</v>
      </c>
      <c r="H9" s="76">
        <v>3</v>
      </c>
      <c r="I9" s="13">
        <v>5</v>
      </c>
      <c r="J9" s="33" t="s">
        <v>18</v>
      </c>
      <c r="K9" s="250" t="s">
        <v>17</v>
      </c>
      <c r="L9" s="251"/>
      <c r="M9" s="198"/>
      <c r="N9" s="212" t="s">
        <v>17</v>
      </c>
      <c r="O9" s="118">
        <v>38</v>
      </c>
      <c r="P9" s="118">
        <v>369</v>
      </c>
      <c r="Q9" s="119">
        <v>3580</v>
      </c>
      <c r="R9" s="138">
        <v>35836</v>
      </c>
      <c r="V9" s="4"/>
    </row>
    <row r="10" spans="1:22" x14ac:dyDescent="0.15">
      <c r="A10" s="120">
        <v>3</v>
      </c>
      <c r="B10" s="104">
        <v>27412</v>
      </c>
      <c r="C10" s="76">
        <v>1</v>
      </c>
      <c r="D10" s="76">
        <v>7</v>
      </c>
      <c r="E10" s="76">
        <v>4</v>
      </c>
      <c r="F10" s="76">
        <v>5</v>
      </c>
      <c r="G10" s="76">
        <v>5</v>
      </c>
      <c r="H10" s="76">
        <v>7</v>
      </c>
      <c r="I10" s="13">
        <v>6</v>
      </c>
      <c r="J10" s="33" t="s">
        <v>18</v>
      </c>
      <c r="K10" s="250">
        <v>2</v>
      </c>
      <c r="L10" s="251"/>
      <c r="M10" s="198"/>
      <c r="N10" s="80">
        <v>1</v>
      </c>
      <c r="O10" s="118">
        <v>38</v>
      </c>
      <c r="P10" s="118">
        <v>270</v>
      </c>
      <c r="Q10" s="119">
        <v>3184</v>
      </c>
      <c r="R10" s="138">
        <v>31205</v>
      </c>
      <c r="V10" s="4"/>
    </row>
    <row r="11" spans="1:22" x14ac:dyDescent="0.15">
      <c r="A11" s="120">
        <v>4</v>
      </c>
      <c r="B11" s="104">
        <v>27419</v>
      </c>
      <c r="C11" s="76">
        <v>4</v>
      </c>
      <c r="D11" s="76">
        <v>0</v>
      </c>
      <c r="E11" s="76">
        <v>4</v>
      </c>
      <c r="F11" s="76">
        <v>2</v>
      </c>
      <c r="G11" s="76">
        <v>7</v>
      </c>
      <c r="H11" s="76">
        <v>9</v>
      </c>
      <c r="I11" s="13">
        <v>6</v>
      </c>
      <c r="J11" s="33" t="s">
        <v>18</v>
      </c>
      <c r="K11" s="250">
        <v>1</v>
      </c>
      <c r="L11" s="251"/>
      <c r="M11" s="198"/>
      <c r="N11" s="80">
        <v>2</v>
      </c>
      <c r="O11" s="118">
        <v>37</v>
      </c>
      <c r="P11" s="118">
        <v>316</v>
      </c>
      <c r="Q11" s="119">
        <v>3154</v>
      </c>
      <c r="R11" s="138">
        <v>31217</v>
      </c>
      <c r="V11" s="4"/>
    </row>
    <row r="12" spans="1:22" x14ac:dyDescent="0.15">
      <c r="A12" s="120">
        <v>5</v>
      </c>
      <c r="B12" s="104">
        <v>27426</v>
      </c>
      <c r="C12" s="76">
        <v>8</v>
      </c>
      <c r="D12" s="76">
        <v>1</v>
      </c>
      <c r="E12" s="76">
        <v>5</v>
      </c>
      <c r="F12" s="76">
        <v>0</v>
      </c>
      <c r="G12" s="76">
        <v>5</v>
      </c>
      <c r="H12" s="76">
        <v>2</v>
      </c>
      <c r="I12" s="13">
        <v>8</v>
      </c>
      <c r="J12" s="33" t="s">
        <v>18</v>
      </c>
      <c r="K12" s="250" t="s">
        <v>17</v>
      </c>
      <c r="L12" s="251"/>
      <c r="M12" s="117"/>
      <c r="N12" s="80">
        <v>5</v>
      </c>
      <c r="O12" s="118">
        <v>43</v>
      </c>
      <c r="P12" s="118">
        <v>339</v>
      </c>
      <c r="Q12" s="119">
        <v>3627</v>
      </c>
      <c r="R12" s="138">
        <v>36459</v>
      </c>
      <c r="V12" s="4"/>
    </row>
    <row r="13" spans="1:22" x14ac:dyDescent="0.15">
      <c r="A13" s="120">
        <v>6</v>
      </c>
      <c r="B13" s="104">
        <v>27433</v>
      </c>
      <c r="C13" s="76">
        <v>3</v>
      </c>
      <c r="D13" s="76">
        <v>2</v>
      </c>
      <c r="E13" s="76">
        <v>7</v>
      </c>
      <c r="F13" s="76">
        <v>5</v>
      </c>
      <c r="G13" s="76">
        <v>3</v>
      </c>
      <c r="H13" s="76">
        <v>5</v>
      </c>
      <c r="I13" s="13">
        <v>4</v>
      </c>
      <c r="J13" s="33" t="s">
        <v>18</v>
      </c>
      <c r="K13" s="250" t="s">
        <v>17</v>
      </c>
      <c r="L13" s="251"/>
      <c r="M13" s="198"/>
      <c r="N13" s="80">
        <v>2</v>
      </c>
      <c r="O13" s="118">
        <v>30</v>
      </c>
      <c r="P13" s="118">
        <v>280</v>
      </c>
      <c r="Q13" s="119">
        <v>2940</v>
      </c>
      <c r="R13" s="138">
        <v>28626</v>
      </c>
      <c r="V13" s="4"/>
    </row>
    <row r="14" spans="1:22" x14ac:dyDescent="0.15">
      <c r="A14" s="194">
        <v>7</v>
      </c>
      <c r="B14" s="195">
        <v>27440</v>
      </c>
      <c r="C14" s="103">
        <v>8</v>
      </c>
      <c r="D14" s="103">
        <v>2</v>
      </c>
      <c r="E14" s="103">
        <v>4</v>
      </c>
      <c r="F14" s="103">
        <v>4</v>
      </c>
      <c r="G14" s="103">
        <v>1</v>
      </c>
      <c r="H14" s="103">
        <v>4</v>
      </c>
      <c r="I14" s="113">
        <v>3</v>
      </c>
      <c r="J14" s="116" t="s">
        <v>18</v>
      </c>
      <c r="K14" s="250" t="s">
        <v>17</v>
      </c>
      <c r="L14" s="251"/>
      <c r="M14" s="117"/>
      <c r="N14" s="80">
        <v>2</v>
      </c>
      <c r="O14" s="118">
        <v>17</v>
      </c>
      <c r="P14" s="118">
        <v>273</v>
      </c>
      <c r="Q14" s="119">
        <v>2961</v>
      </c>
      <c r="R14" s="138">
        <v>29489</v>
      </c>
      <c r="V14" s="4"/>
    </row>
    <row r="15" spans="1:22" x14ac:dyDescent="0.15">
      <c r="A15" s="120">
        <v>8</v>
      </c>
      <c r="B15" s="104">
        <v>27447</v>
      </c>
      <c r="C15" s="76">
        <v>0</v>
      </c>
      <c r="D15" s="76">
        <v>0</v>
      </c>
      <c r="E15" s="76">
        <v>0</v>
      </c>
      <c r="F15" s="76">
        <v>6</v>
      </c>
      <c r="G15" s="76">
        <v>5</v>
      </c>
      <c r="H15" s="76">
        <v>9</v>
      </c>
      <c r="I15" s="13">
        <v>1</v>
      </c>
      <c r="J15" s="33" t="s">
        <v>18</v>
      </c>
      <c r="K15" s="250" t="s">
        <v>17</v>
      </c>
      <c r="L15" s="251"/>
      <c r="M15" s="117"/>
      <c r="N15" s="80">
        <v>1</v>
      </c>
      <c r="O15" s="118">
        <v>25</v>
      </c>
      <c r="P15" s="118">
        <v>277</v>
      </c>
      <c r="Q15" s="119">
        <v>2850</v>
      </c>
      <c r="R15" s="138">
        <v>27365</v>
      </c>
      <c r="V15" s="4"/>
    </row>
    <row r="16" spans="1:22" x14ac:dyDescent="0.15">
      <c r="A16" s="120">
        <v>9</v>
      </c>
      <c r="B16" s="104">
        <v>27454</v>
      </c>
      <c r="C16" s="76">
        <v>1</v>
      </c>
      <c r="D16" s="76">
        <v>5</v>
      </c>
      <c r="E16" s="76">
        <v>2</v>
      </c>
      <c r="F16" s="76">
        <v>5</v>
      </c>
      <c r="G16" s="76">
        <v>3</v>
      </c>
      <c r="H16" s="76">
        <v>4</v>
      </c>
      <c r="I16" s="13">
        <v>2</v>
      </c>
      <c r="J16" s="33" t="s">
        <v>18</v>
      </c>
      <c r="K16" s="250" t="s">
        <v>17</v>
      </c>
      <c r="L16" s="251"/>
      <c r="M16" s="117"/>
      <c r="N16" s="80">
        <v>3</v>
      </c>
      <c r="O16" s="118">
        <v>21</v>
      </c>
      <c r="P16" s="118">
        <v>266</v>
      </c>
      <c r="Q16" s="119">
        <v>2754</v>
      </c>
      <c r="R16" s="138">
        <v>27415</v>
      </c>
      <c r="V16" s="4"/>
    </row>
    <row r="17" spans="1:22" x14ac:dyDescent="0.15">
      <c r="A17" s="120">
        <v>10</v>
      </c>
      <c r="B17" s="104">
        <v>27461</v>
      </c>
      <c r="C17" s="76">
        <v>8</v>
      </c>
      <c r="D17" s="76">
        <v>7</v>
      </c>
      <c r="E17" s="76">
        <v>8</v>
      </c>
      <c r="F17" s="76">
        <v>3</v>
      </c>
      <c r="G17" s="76">
        <v>7</v>
      </c>
      <c r="H17" s="76">
        <v>1</v>
      </c>
      <c r="I17" s="13">
        <v>0</v>
      </c>
      <c r="J17" s="33" t="s">
        <v>18</v>
      </c>
      <c r="K17" s="250" t="s">
        <v>17</v>
      </c>
      <c r="L17" s="251"/>
      <c r="M17" s="117"/>
      <c r="N17" s="80">
        <v>2</v>
      </c>
      <c r="O17" s="118">
        <v>26</v>
      </c>
      <c r="P17" s="118">
        <v>268</v>
      </c>
      <c r="Q17" s="119">
        <v>2554</v>
      </c>
      <c r="R17" s="138">
        <v>26279</v>
      </c>
      <c r="V17" s="4"/>
    </row>
    <row r="18" spans="1:22" x14ac:dyDescent="0.15">
      <c r="A18" s="120">
        <v>11</v>
      </c>
      <c r="B18" s="104">
        <v>27468</v>
      </c>
      <c r="C18" s="76">
        <v>5</v>
      </c>
      <c r="D18" s="76">
        <v>1</v>
      </c>
      <c r="E18" s="76">
        <v>5</v>
      </c>
      <c r="F18" s="76">
        <v>4</v>
      </c>
      <c r="G18" s="76">
        <v>5</v>
      </c>
      <c r="H18" s="76">
        <v>3</v>
      </c>
      <c r="I18" s="13">
        <v>7</v>
      </c>
      <c r="J18" s="33" t="s">
        <v>18</v>
      </c>
      <c r="K18" s="250" t="s">
        <v>17</v>
      </c>
      <c r="L18" s="251"/>
      <c r="M18" s="117"/>
      <c r="N18" s="80">
        <v>2</v>
      </c>
      <c r="O18" s="118">
        <v>30</v>
      </c>
      <c r="P18" s="118">
        <v>285</v>
      </c>
      <c r="Q18" s="119">
        <v>2769</v>
      </c>
      <c r="R18" s="138">
        <v>27513</v>
      </c>
      <c r="V18" s="4"/>
    </row>
    <row r="19" spans="1:22" x14ac:dyDescent="0.15">
      <c r="A19" s="120">
        <v>12</v>
      </c>
      <c r="B19" s="104">
        <v>27475</v>
      </c>
      <c r="C19" s="76">
        <v>4</v>
      </c>
      <c r="D19" s="76">
        <v>2</v>
      </c>
      <c r="E19" s="76">
        <v>8</v>
      </c>
      <c r="F19" s="76">
        <v>6</v>
      </c>
      <c r="G19" s="76">
        <v>8</v>
      </c>
      <c r="H19" s="76">
        <v>0</v>
      </c>
      <c r="I19" s="13">
        <v>5</v>
      </c>
      <c r="J19" s="33" t="s">
        <v>18</v>
      </c>
      <c r="K19" s="250">
        <v>1</v>
      </c>
      <c r="L19" s="251"/>
      <c r="M19" s="117"/>
      <c r="N19" s="80">
        <v>7</v>
      </c>
      <c r="O19" s="118">
        <v>22</v>
      </c>
      <c r="P19" s="118">
        <v>258</v>
      </c>
      <c r="Q19" s="119">
        <v>2551</v>
      </c>
      <c r="R19" s="138">
        <v>26027</v>
      </c>
      <c r="V19" s="4"/>
    </row>
    <row r="20" spans="1:22" x14ac:dyDescent="0.15">
      <c r="A20" s="120">
        <v>13</v>
      </c>
      <c r="B20" s="104">
        <v>27482</v>
      </c>
      <c r="C20" s="76">
        <v>3</v>
      </c>
      <c r="D20" s="76">
        <v>5</v>
      </c>
      <c r="E20" s="76">
        <v>4</v>
      </c>
      <c r="F20" s="76">
        <v>3</v>
      </c>
      <c r="G20" s="76">
        <v>7</v>
      </c>
      <c r="H20" s="76">
        <v>5</v>
      </c>
      <c r="I20" s="13">
        <v>9</v>
      </c>
      <c r="J20" s="33" t="s">
        <v>18</v>
      </c>
      <c r="K20" s="250">
        <v>1</v>
      </c>
      <c r="L20" s="251"/>
      <c r="M20" s="117"/>
      <c r="N20" s="80">
        <v>1</v>
      </c>
      <c r="O20" s="118">
        <v>27</v>
      </c>
      <c r="P20" s="118">
        <v>294</v>
      </c>
      <c r="Q20" s="119">
        <v>2590</v>
      </c>
      <c r="R20" s="138">
        <v>26730</v>
      </c>
      <c r="V20" s="4"/>
    </row>
    <row r="21" spans="1:22" x14ac:dyDescent="0.15">
      <c r="A21" s="120">
        <v>14</v>
      </c>
      <c r="B21" s="104">
        <v>27489</v>
      </c>
      <c r="C21" s="76">
        <v>8</v>
      </c>
      <c r="D21" s="76">
        <v>9</v>
      </c>
      <c r="E21" s="76">
        <v>6</v>
      </c>
      <c r="F21" s="76">
        <v>9</v>
      </c>
      <c r="G21" s="76">
        <v>9</v>
      </c>
      <c r="H21" s="76">
        <v>6</v>
      </c>
      <c r="I21" s="13">
        <v>7</v>
      </c>
      <c r="J21" s="33" t="s">
        <v>18</v>
      </c>
      <c r="K21" s="250" t="s">
        <v>17</v>
      </c>
      <c r="L21" s="251"/>
      <c r="M21" s="117"/>
      <c r="N21" s="80">
        <v>1</v>
      </c>
      <c r="O21" s="118">
        <v>23</v>
      </c>
      <c r="P21" s="118">
        <v>254</v>
      </c>
      <c r="Q21" s="119">
        <v>2518</v>
      </c>
      <c r="R21" s="138">
        <v>26192</v>
      </c>
      <c r="V21" s="4"/>
    </row>
    <row r="22" spans="1:22" x14ac:dyDescent="0.15">
      <c r="A22" s="120">
        <v>15</v>
      </c>
      <c r="B22" s="104">
        <v>27496</v>
      </c>
      <c r="C22" s="76">
        <v>0</v>
      </c>
      <c r="D22" s="76">
        <v>4</v>
      </c>
      <c r="E22" s="76">
        <v>1</v>
      </c>
      <c r="F22" s="76">
        <v>2</v>
      </c>
      <c r="G22" s="76">
        <v>7</v>
      </c>
      <c r="H22" s="76">
        <v>7</v>
      </c>
      <c r="I22" s="13">
        <v>7</v>
      </c>
      <c r="J22" s="33" t="s">
        <v>18</v>
      </c>
      <c r="K22" s="250" t="s">
        <v>17</v>
      </c>
      <c r="L22" s="251"/>
      <c r="M22" s="117"/>
      <c r="N22" s="80">
        <v>1</v>
      </c>
      <c r="O22" s="118">
        <v>27</v>
      </c>
      <c r="P22" s="118">
        <v>289</v>
      </c>
      <c r="Q22" s="119">
        <v>2844</v>
      </c>
      <c r="R22" s="138">
        <v>27120</v>
      </c>
      <c r="V22" s="4"/>
    </row>
    <row r="23" spans="1:22" x14ac:dyDescent="0.15">
      <c r="A23" s="120">
        <v>16</v>
      </c>
      <c r="B23" s="104">
        <v>27503</v>
      </c>
      <c r="C23" s="76">
        <v>5</v>
      </c>
      <c r="D23" s="76">
        <v>9</v>
      </c>
      <c r="E23" s="76">
        <v>2</v>
      </c>
      <c r="F23" s="76">
        <v>6</v>
      </c>
      <c r="G23" s="76">
        <v>2</v>
      </c>
      <c r="H23" s="76">
        <v>5</v>
      </c>
      <c r="I23" s="13">
        <v>7</v>
      </c>
      <c r="J23" s="33" t="s">
        <v>18</v>
      </c>
      <c r="K23" s="250" t="s">
        <v>17</v>
      </c>
      <c r="L23" s="251"/>
      <c r="M23" s="117"/>
      <c r="N23" s="80">
        <v>3</v>
      </c>
      <c r="O23" s="118">
        <v>34</v>
      </c>
      <c r="P23" s="118">
        <v>290</v>
      </c>
      <c r="Q23" s="119">
        <v>2656</v>
      </c>
      <c r="R23" s="138">
        <v>27134</v>
      </c>
      <c r="V23" s="4"/>
    </row>
    <row r="24" spans="1:22" x14ac:dyDescent="0.15">
      <c r="A24" s="120">
        <v>17</v>
      </c>
      <c r="B24" s="104">
        <v>27510</v>
      </c>
      <c r="C24" s="76">
        <v>1</v>
      </c>
      <c r="D24" s="76">
        <v>8</v>
      </c>
      <c r="E24" s="76">
        <v>5</v>
      </c>
      <c r="F24" s="76">
        <v>9</v>
      </c>
      <c r="G24" s="76">
        <v>5</v>
      </c>
      <c r="H24" s="76">
        <v>8</v>
      </c>
      <c r="I24" s="13">
        <v>1</v>
      </c>
      <c r="J24" s="33" t="s">
        <v>18</v>
      </c>
      <c r="K24" s="250">
        <v>2</v>
      </c>
      <c r="L24" s="251"/>
      <c r="M24" s="117"/>
      <c r="N24" s="80">
        <v>2</v>
      </c>
      <c r="O24" s="118">
        <v>26</v>
      </c>
      <c r="P24" s="118">
        <v>254</v>
      </c>
      <c r="Q24" s="119">
        <v>2646</v>
      </c>
      <c r="R24" s="138">
        <v>25844</v>
      </c>
      <c r="V24" s="4"/>
    </row>
    <row r="25" spans="1:22" x14ac:dyDescent="0.15">
      <c r="A25" s="120">
        <v>18</v>
      </c>
      <c r="B25" s="104">
        <v>27517</v>
      </c>
      <c r="C25" s="76">
        <v>3</v>
      </c>
      <c r="D25" s="76">
        <v>5</v>
      </c>
      <c r="E25" s="76">
        <v>1</v>
      </c>
      <c r="F25" s="76">
        <v>5</v>
      </c>
      <c r="G25" s="76">
        <v>4</v>
      </c>
      <c r="H25" s="76">
        <v>7</v>
      </c>
      <c r="I25" s="13">
        <v>1</v>
      </c>
      <c r="J25" s="33" t="s">
        <v>18</v>
      </c>
      <c r="K25" s="250" t="s">
        <v>17</v>
      </c>
      <c r="L25" s="251"/>
      <c r="M25" s="117"/>
      <c r="N25" s="80">
        <v>1</v>
      </c>
      <c r="O25" s="118">
        <v>23</v>
      </c>
      <c r="P25" s="118">
        <v>238</v>
      </c>
      <c r="Q25" s="119">
        <v>2689</v>
      </c>
      <c r="R25" s="138">
        <v>26012</v>
      </c>
      <c r="V25" s="4"/>
    </row>
    <row r="26" spans="1:22" x14ac:dyDescent="0.15">
      <c r="A26" s="120">
        <v>19</v>
      </c>
      <c r="B26" s="104">
        <v>27524</v>
      </c>
      <c r="C26" s="76">
        <v>0</v>
      </c>
      <c r="D26" s="76">
        <v>4</v>
      </c>
      <c r="E26" s="76">
        <v>4</v>
      </c>
      <c r="F26" s="76">
        <v>4</v>
      </c>
      <c r="G26" s="76">
        <v>0</v>
      </c>
      <c r="H26" s="76">
        <v>9</v>
      </c>
      <c r="I26" s="13">
        <v>7</v>
      </c>
      <c r="J26" s="33" t="s">
        <v>18</v>
      </c>
      <c r="K26" s="250" t="s">
        <v>17</v>
      </c>
      <c r="L26" s="251"/>
      <c r="M26" s="198"/>
      <c r="N26" s="80">
        <v>2</v>
      </c>
      <c r="O26" s="118">
        <v>16</v>
      </c>
      <c r="P26" s="118">
        <v>227</v>
      </c>
      <c r="Q26" s="119">
        <v>2483</v>
      </c>
      <c r="R26" s="138">
        <v>24767</v>
      </c>
      <c r="V26" s="4"/>
    </row>
    <row r="27" spans="1:22" x14ac:dyDescent="0.15">
      <c r="A27" s="120">
        <v>20</v>
      </c>
      <c r="B27" s="104">
        <v>27531</v>
      </c>
      <c r="C27" s="76">
        <v>8</v>
      </c>
      <c r="D27" s="76">
        <v>2</v>
      </c>
      <c r="E27" s="76">
        <v>9</v>
      </c>
      <c r="F27" s="76">
        <v>6</v>
      </c>
      <c r="G27" s="76">
        <v>6</v>
      </c>
      <c r="H27" s="76">
        <v>1</v>
      </c>
      <c r="I27" s="13">
        <v>0</v>
      </c>
      <c r="J27" s="33" t="s">
        <v>18</v>
      </c>
      <c r="K27" s="250" t="s">
        <v>17</v>
      </c>
      <c r="L27" s="251"/>
      <c r="M27" s="117"/>
      <c r="N27" s="80">
        <v>3</v>
      </c>
      <c r="O27" s="118">
        <v>34</v>
      </c>
      <c r="P27" s="118">
        <v>230</v>
      </c>
      <c r="Q27" s="119">
        <v>2636</v>
      </c>
      <c r="R27" s="138">
        <v>26796</v>
      </c>
      <c r="V27" s="4"/>
    </row>
    <row r="28" spans="1:22" x14ac:dyDescent="0.15">
      <c r="A28" s="120">
        <v>21</v>
      </c>
      <c r="B28" s="104">
        <v>27538</v>
      </c>
      <c r="C28" s="76">
        <v>1</v>
      </c>
      <c r="D28" s="76">
        <v>1</v>
      </c>
      <c r="E28" s="76">
        <v>8</v>
      </c>
      <c r="F28" s="76">
        <v>3</v>
      </c>
      <c r="G28" s="76">
        <v>5</v>
      </c>
      <c r="H28" s="76">
        <v>4</v>
      </c>
      <c r="I28" s="13">
        <v>5</v>
      </c>
      <c r="J28" s="33" t="s">
        <v>18</v>
      </c>
      <c r="K28" s="250" t="s">
        <v>17</v>
      </c>
      <c r="L28" s="251"/>
      <c r="M28" s="117"/>
      <c r="N28" s="80">
        <v>2</v>
      </c>
      <c r="O28" s="118">
        <v>27</v>
      </c>
      <c r="P28" s="118">
        <v>270</v>
      </c>
      <c r="Q28" s="119">
        <v>2645</v>
      </c>
      <c r="R28" s="138">
        <v>26113</v>
      </c>
      <c r="V28" s="4"/>
    </row>
    <row r="29" spans="1:22" x14ac:dyDescent="0.15">
      <c r="A29" s="120">
        <v>22</v>
      </c>
      <c r="B29" s="104">
        <v>27545</v>
      </c>
      <c r="C29" s="76">
        <v>1</v>
      </c>
      <c r="D29" s="76">
        <v>1</v>
      </c>
      <c r="E29" s="76">
        <v>6</v>
      </c>
      <c r="F29" s="76">
        <v>3</v>
      </c>
      <c r="G29" s="76">
        <v>3</v>
      </c>
      <c r="H29" s="76">
        <v>2</v>
      </c>
      <c r="I29" s="13">
        <v>8</v>
      </c>
      <c r="J29" s="33" t="s">
        <v>18</v>
      </c>
      <c r="K29" s="250" t="s">
        <v>17</v>
      </c>
      <c r="L29" s="251"/>
      <c r="M29" s="198"/>
      <c r="N29" s="80">
        <v>3</v>
      </c>
      <c r="O29" s="118">
        <v>31</v>
      </c>
      <c r="P29" s="118">
        <v>266</v>
      </c>
      <c r="Q29" s="119">
        <v>2731</v>
      </c>
      <c r="R29" s="138">
        <v>26816</v>
      </c>
      <c r="V29" s="4"/>
    </row>
    <row r="30" spans="1:22" x14ac:dyDescent="0.15">
      <c r="A30" s="120">
        <v>23</v>
      </c>
      <c r="B30" s="104">
        <v>27552</v>
      </c>
      <c r="C30" s="76">
        <v>0</v>
      </c>
      <c r="D30" s="76">
        <v>8</v>
      </c>
      <c r="E30" s="76">
        <v>5</v>
      </c>
      <c r="F30" s="76">
        <v>8</v>
      </c>
      <c r="G30" s="76">
        <v>0</v>
      </c>
      <c r="H30" s="76">
        <v>1</v>
      </c>
      <c r="I30" s="13">
        <v>0</v>
      </c>
      <c r="J30" s="33" t="s">
        <v>18</v>
      </c>
      <c r="K30" s="250" t="s">
        <v>17</v>
      </c>
      <c r="L30" s="251"/>
      <c r="M30" s="117"/>
      <c r="N30" s="80">
        <v>3</v>
      </c>
      <c r="O30" s="118">
        <v>21</v>
      </c>
      <c r="P30" s="118">
        <v>271</v>
      </c>
      <c r="Q30" s="119">
        <v>2528</v>
      </c>
      <c r="R30" s="138">
        <v>25075</v>
      </c>
      <c r="V30" s="4"/>
    </row>
    <row r="31" spans="1:22" x14ac:dyDescent="0.15">
      <c r="A31" s="120">
        <v>24</v>
      </c>
      <c r="B31" s="104">
        <v>27559</v>
      </c>
      <c r="C31" s="76">
        <v>6</v>
      </c>
      <c r="D31" s="76">
        <v>8</v>
      </c>
      <c r="E31" s="76">
        <v>8</v>
      </c>
      <c r="F31" s="76">
        <v>1</v>
      </c>
      <c r="G31" s="76">
        <v>0</v>
      </c>
      <c r="H31" s="76">
        <v>7</v>
      </c>
      <c r="I31" s="13">
        <v>2</v>
      </c>
      <c r="J31" s="23" t="s">
        <v>18</v>
      </c>
      <c r="K31" s="250" t="s">
        <v>17</v>
      </c>
      <c r="L31" s="251"/>
      <c r="M31" s="117"/>
      <c r="N31" s="80">
        <v>3</v>
      </c>
      <c r="O31" s="118">
        <v>24</v>
      </c>
      <c r="P31" s="118">
        <v>246</v>
      </c>
      <c r="Q31" s="119">
        <v>2373</v>
      </c>
      <c r="R31" s="138">
        <v>24486</v>
      </c>
      <c r="V31" s="4"/>
    </row>
    <row r="32" spans="1:22" x14ac:dyDescent="0.15">
      <c r="A32" s="120">
        <v>25</v>
      </c>
      <c r="B32" s="104">
        <v>27566</v>
      </c>
      <c r="C32" s="76">
        <v>4</v>
      </c>
      <c r="D32" s="76">
        <v>0</v>
      </c>
      <c r="E32" s="76">
        <v>1</v>
      </c>
      <c r="F32" s="76">
        <v>6</v>
      </c>
      <c r="G32" s="76">
        <v>8</v>
      </c>
      <c r="H32" s="76">
        <v>8</v>
      </c>
      <c r="I32" s="13">
        <v>1</v>
      </c>
      <c r="J32" s="33" t="s">
        <v>18</v>
      </c>
      <c r="K32" s="250">
        <v>2</v>
      </c>
      <c r="L32" s="251"/>
      <c r="M32" s="117"/>
      <c r="N32" s="80">
        <v>1</v>
      </c>
      <c r="O32" s="118">
        <v>32</v>
      </c>
      <c r="P32" s="118">
        <v>248</v>
      </c>
      <c r="Q32" s="119">
        <v>2379</v>
      </c>
      <c r="R32" s="138">
        <v>23768</v>
      </c>
      <c r="V32" s="4"/>
    </row>
    <row r="33" spans="1:22" s="90" customFormat="1" x14ac:dyDescent="0.15">
      <c r="A33" s="162">
        <v>26</v>
      </c>
      <c r="B33" s="79">
        <v>27573</v>
      </c>
      <c r="C33" s="38">
        <v>1</v>
      </c>
      <c r="D33" s="38">
        <v>8</v>
      </c>
      <c r="E33" s="38">
        <v>9</v>
      </c>
      <c r="F33" s="38">
        <v>6</v>
      </c>
      <c r="G33" s="38">
        <v>7</v>
      </c>
      <c r="H33" s="38">
        <v>5</v>
      </c>
      <c r="I33" s="39">
        <v>7</v>
      </c>
      <c r="J33" s="40" t="s">
        <v>18</v>
      </c>
      <c r="K33" s="252">
        <v>1</v>
      </c>
      <c r="L33" s="253"/>
      <c r="M33" s="213"/>
      <c r="N33" s="214" t="s">
        <v>17</v>
      </c>
      <c r="O33" s="215">
        <v>28</v>
      </c>
      <c r="P33" s="215">
        <v>254</v>
      </c>
      <c r="Q33" s="216">
        <v>2417</v>
      </c>
      <c r="R33" s="217">
        <v>24509</v>
      </c>
    </row>
    <row r="34" spans="1:22" x14ac:dyDescent="0.15">
      <c r="A34" s="76"/>
      <c r="B34" s="76"/>
      <c r="C34" s="76"/>
      <c r="D34" s="76"/>
      <c r="E34" s="76"/>
      <c r="F34" s="76"/>
      <c r="G34" s="76"/>
      <c r="H34" s="76"/>
      <c r="I34" s="76"/>
      <c r="L34"/>
      <c r="V34" s="4"/>
    </row>
    <row r="35" spans="1:22" x14ac:dyDescent="0.15">
      <c r="A35" s="7"/>
      <c r="B35" s="8"/>
      <c r="C35" s="9"/>
      <c r="D35" s="9"/>
      <c r="E35" s="9"/>
      <c r="F35" s="9"/>
      <c r="G35" s="9"/>
      <c r="H35" s="9"/>
      <c r="I35" s="10"/>
      <c r="J35" s="11"/>
      <c r="K35" s="243" t="s">
        <v>19</v>
      </c>
      <c r="L35" s="244"/>
      <c r="M35" s="11"/>
      <c r="N35" s="8"/>
      <c r="O35" s="8"/>
      <c r="P35" s="8"/>
      <c r="Q35" s="8"/>
      <c r="R35" s="8"/>
      <c r="V35" s="4"/>
    </row>
    <row r="36" spans="1:22" x14ac:dyDescent="0.15">
      <c r="A36" s="13" t="s">
        <v>3</v>
      </c>
      <c r="B36" s="14">
        <v>1975</v>
      </c>
      <c r="C36" s="109" t="s">
        <v>4</v>
      </c>
      <c r="D36" s="110"/>
      <c r="E36" s="110"/>
      <c r="F36" s="110"/>
      <c r="G36" s="110"/>
      <c r="H36" s="110"/>
      <c r="I36" s="17" t="s">
        <v>5</v>
      </c>
      <c r="J36" s="14" t="s">
        <v>6</v>
      </c>
      <c r="K36" s="245" t="s">
        <v>20</v>
      </c>
      <c r="L36" s="209"/>
      <c r="M36" s="14" t="s">
        <v>21</v>
      </c>
      <c r="N36" s="14" t="s">
        <v>8</v>
      </c>
      <c r="O36" s="14" t="s">
        <v>9</v>
      </c>
      <c r="P36" s="14" t="s">
        <v>10</v>
      </c>
      <c r="Q36" s="14" t="s">
        <v>11</v>
      </c>
      <c r="R36" s="14" t="s">
        <v>12</v>
      </c>
      <c r="V36" s="4"/>
    </row>
    <row r="37" spans="1:22" x14ac:dyDescent="0.15">
      <c r="A37" s="13"/>
      <c r="B37" s="14"/>
      <c r="C37" s="76"/>
      <c r="D37" s="76"/>
      <c r="E37" s="76"/>
      <c r="F37" s="76"/>
      <c r="G37" s="76"/>
      <c r="H37" s="76"/>
      <c r="I37" s="17" t="s">
        <v>13</v>
      </c>
      <c r="J37" s="14" t="s">
        <v>14</v>
      </c>
      <c r="K37" s="245" t="s">
        <v>22</v>
      </c>
      <c r="L37" s="209"/>
      <c r="M37" s="14" t="s">
        <v>14</v>
      </c>
      <c r="N37" s="189">
        <v>77777.7</v>
      </c>
      <c r="O37" s="189">
        <v>7777.7</v>
      </c>
      <c r="P37" s="189">
        <v>777.7</v>
      </c>
      <c r="Q37" s="189">
        <v>77.7</v>
      </c>
      <c r="R37" s="189">
        <v>7.7</v>
      </c>
      <c r="V37" s="4"/>
    </row>
    <row r="38" spans="1:22" x14ac:dyDescent="0.15">
      <c r="A38" s="39"/>
      <c r="B38" s="21"/>
      <c r="C38" s="38"/>
      <c r="D38" s="38"/>
      <c r="E38" s="38"/>
      <c r="F38" s="38"/>
      <c r="G38" s="38"/>
      <c r="H38" s="38"/>
      <c r="I38" s="39"/>
      <c r="J38" s="21"/>
      <c r="K38" s="60" t="s">
        <v>15</v>
      </c>
      <c r="L38" s="78" t="s">
        <v>14</v>
      </c>
      <c r="M38" s="21"/>
      <c r="N38" s="96" t="s">
        <v>15</v>
      </c>
      <c r="O38" s="96" t="s">
        <v>15</v>
      </c>
      <c r="P38" s="96" t="s">
        <v>15</v>
      </c>
      <c r="Q38" s="96" t="s">
        <v>15</v>
      </c>
      <c r="R38" s="96" t="s">
        <v>15</v>
      </c>
      <c r="V38" s="4"/>
    </row>
    <row r="39" spans="1:22" x14ac:dyDescent="0.15">
      <c r="A39" s="120">
        <v>27</v>
      </c>
      <c r="B39" s="104">
        <v>27580</v>
      </c>
      <c r="C39" s="76">
        <v>9</v>
      </c>
      <c r="D39" s="76">
        <v>6</v>
      </c>
      <c r="E39" s="76">
        <v>4</v>
      </c>
      <c r="F39" s="76">
        <v>6</v>
      </c>
      <c r="G39" s="76">
        <v>3</v>
      </c>
      <c r="H39" s="76">
        <v>0</v>
      </c>
      <c r="I39" s="113">
        <v>7</v>
      </c>
      <c r="J39" s="116" t="s">
        <v>16</v>
      </c>
      <c r="K39" s="143" t="s">
        <v>23</v>
      </c>
      <c r="L39" s="34"/>
      <c r="M39" s="117">
        <v>421649.5</v>
      </c>
      <c r="N39" s="80">
        <v>4</v>
      </c>
      <c r="O39" s="118">
        <v>28</v>
      </c>
      <c r="P39" s="118">
        <v>275</v>
      </c>
      <c r="Q39" s="119">
        <v>2798</v>
      </c>
      <c r="R39" s="138">
        <v>28014</v>
      </c>
      <c r="V39" s="4"/>
    </row>
    <row r="40" spans="1:22" x14ac:dyDescent="0.15">
      <c r="A40" s="120">
        <v>28</v>
      </c>
      <c r="B40" s="104">
        <v>27587</v>
      </c>
      <c r="C40" s="76">
        <v>4</v>
      </c>
      <c r="D40" s="76">
        <v>7</v>
      </c>
      <c r="E40" s="76">
        <v>6</v>
      </c>
      <c r="F40" s="76">
        <v>8</v>
      </c>
      <c r="G40" s="76">
        <v>4</v>
      </c>
      <c r="H40" s="76">
        <v>7</v>
      </c>
      <c r="I40" s="13">
        <v>6</v>
      </c>
      <c r="J40" s="33" t="s">
        <v>18</v>
      </c>
      <c r="K40" s="143" t="s">
        <v>23</v>
      </c>
      <c r="L40" s="34"/>
      <c r="M40" s="18">
        <v>628941.1</v>
      </c>
      <c r="N40" s="56">
        <v>1</v>
      </c>
      <c r="O40" s="57">
        <v>21</v>
      </c>
      <c r="P40" s="57">
        <v>242</v>
      </c>
      <c r="Q40" s="58">
        <v>2459</v>
      </c>
      <c r="R40" s="59">
        <v>25005</v>
      </c>
      <c r="V40" s="4"/>
    </row>
    <row r="41" spans="1:22" x14ac:dyDescent="0.15">
      <c r="A41" s="120">
        <v>29</v>
      </c>
      <c r="B41" s="104">
        <v>27594</v>
      </c>
      <c r="C41" s="76">
        <v>8</v>
      </c>
      <c r="D41" s="76">
        <v>6</v>
      </c>
      <c r="E41" s="76">
        <v>9</v>
      </c>
      <c r="F41" s="76">
        <v>6</v>
      </c>
      <c r="G41" s="76">
        <v>5</v>
      </c>
      <c r="H41" s="76">
        <v>3</v>
      </c>
      <c r="I41" s="113">
        <v>0</v>
      </c>
      <c r="J41" s="116" t="s">
        <v>18</v>
      </c>
      <c r="K41" s="143" t="s">
        <v>23</v>
      </c>
      <c r="L41" s="34"/>
      <c r="M41" s="34">
        <v>833714.2</v>
      </c>
      <c r="N41" s="80">
        <v>2</v>
      </c>
      <c r="O41" s="118">
        <v>24</v>
      </c>
      <c r="P41" s="118">
        <v>244</v>
      </c>
      <c r="Q41" s="119">
        <v>2325</v>
      </c>
      <c r="R41" s="138">
        <v>23071</v>
      </c>
      <c r="V41" s="4"/>
    </row>
    <row r="42" spans="1:22" x14ac:dyDescent="0.15">
      <c r="A42" s="120">
        <v>30</v>
      </c>
      <c r="B42" s="104">
        <v>27601</v>
      </c>
      <c r="C42" s="76">
        <v>9</v>
      </c>
      <c r="D42" s="76">
        <v>4</v>
      </c>
      <c r="E42" s="76">
        <v>3</v>
      </c>
      <c r="F42" s="76">
        <v>7</v>
      </c>
      <c r="G42" s="76">
        <v>8</v>
      </c>
      <c r="H42" s="76">
        <v>8</v>
      </c>
      <c r="I42" s="13">
        <v>3</v>
      </c>
      <c r="J42" s="33" t="s">
        <v>18</v>
      </c>
      <c r="K42" s="143" t="s">
        <v>23</v>
      </c>
      <c r="L42" s="34"/>
      <c r="M42" s="18">
        <v>1031976.9</v>
      </c>
      <c r="N42" s="56">
        <v>3</v>
      </c>
      <c r="O42" s="57">
        <v>22</v>
      </c>
      <c r="P42" s="57">
        <v>247</v>
      </c>
      <c r="Q42" s="58">
        <v>2244</v>
      </c>
      <c r="R42" s="59">
        <v>23417</v>
      </c>
      <c r="V42" s="4"/>
    </row>
    <row r="43" spans="1:22" x14ac:dyDescent="0.15">
      <c r="A43" s="120">
        <v>31</v>
      </c>
      <c r="B43" s="104">
        <v>27608</v>
      </c>
      <c r="C43" s="76">
        <v>4</v>
      </c>
      <c r="D43" s="76">
        <v>8</v>
      </c>
      <c r="E43" s="76">
        <v>0</v>
      </c>
      <c r="F43" s="76">
        <v>8</v>
      </c>
      <c r="G43" s="76">
        <v>6</v>
      </c>
      <c r="H43" s="76">
        <v>3</v>
      </c>
      <c r="I43" s="13">
        <v>7</v>
      </c>
      <c r="J43" s="33" t="s">
        <v>18</v>
      </c>
      <c r="K43" s="143">
        <v>1</v>
      </c>
      <c r="L43" s="34">
        <v>1177777.7</v>
      </c>
      <c r="M43" s="18">
        <v>43831.9</v>
      </c>
      <c r="N43" s="210" t="s">
        <v>17</v>
      </c>
      <c r="O43" s="57">
        <v>23</v>
      </c>
      <c r="P43" s="57">
        <v>252</v>
      </c>
      <c r="Q43" s="58">
        <v>2283</v>
      </c>
      <c r="R43" s="59">
        <v>21941</v>
      </c>
      <c r="V43" s="4"/>
    </row>
    <row r="44" spans="1:22" x14ac:dyDescent="0.15">
      <c r="A44" s="120">
        <v>32</v>
      </c>
      <c r="B44" s="104">
        <v>27615</v>
      </c>
      <c r="C44" s="76">
        <v>2</v>
      </c>
      <c r="D44" s="76">
        <v>3</v>
      </c>
      <c r="E44" s="76">
        <v>0</v>
      </c>
      <c r="F44" s="76">
        <v>7</v>
      </c>
      <c r="G44" s="76">
        <v>3</v>
      </c>
      <c r="H44" s="76">
        <v>9</v>
      </c>
      <c r="I44" s="13">
        <v>0</v>
      </c>
      <c r="J44" s="33" t="s">
        <v>18</v>
      </c>
      <c r="K44" s="143">
        <v>1</v>
      </c>
      <c r="L44" s="34">
        <v>177777.7</v>
      </c>
      <c r="M44" s="18">
        <v>59954.6</v>
      </c>
      <c r="N44" s="56">
        <v>2</v>
      </c>
      <c r="O44" s="57">
        <v>22</v>
      </c>
      <c r="P44" s="57">
        <v>193</v>
      </c>
      <c r="Q44" s="58">
        <v>2072</v>
      </c>
      <c r="R44" s="59">
        <v>20274</v>
      </c>
      <c r="V44" s="4"/>
    </row>
    <row r="45" spans="1:22" x14ac:dyDescent="0.15">
      <c r="A45" s="120">
        <v>33</v>
      </c>
      <c r="B45" s="104">
        <v>27622</v>
      </c>
      <c r="C45" s="76">
        <v>5</v>
      </c>
      <c r="D45" s="76">
        <v>6</v>
      </c>
      <c r="E45" s="76">
        <v>6</v>
      </c>
      <c r="F45" s="76">
        <v>8</v>
      </c>
      <c r="G45" s="76">
        <v>4</v>
      </c>
      <c r="H45" s="76">
        <v>0</v>
      </c>
      <c r="I45" s="13">
        <v>6</v>
      </c>
      <c r="J45" s="33" t="s">
        <v>18</v>
      </c>
      <c r="K45" s="143" t="s">
        <v>23</v>
      </c>
      <c r="L45" s="34"/>
      <c r="M45" s="18">
        <v>255166.5</v>
      </c>
      <c r="N45" s="56">
        <v>1</v>
      </c>
      <c r="O45" s="57">
        <v>20</v>
      </c>
      <c r="P45" s="57">
        <v>205</v>
      </c>
      <c r="Q45" s="58">
        <v>2110</v>
      </c>
      <c r="R45" s="59">
        <v>21388</v>
      </c>
      <c r="V45" s="4"/>
    </row>
    <row r="46" spans="1:22" x14ac:dyDescent="0.15">
      <c r="A46" s="120">
        <v>34</v>
      </c>
      <c r="B46" s="104">
        <v>27629</v>
      </c>
      <c r="C46" s="76">
        <v>2</v>
      </c>
      <c r="D46" s="76">
        <v>8</v>
      </c>
      <c r="E46" s="76">
        <v>9</v>
      </c>
      <c r="F46" s="76">
        <v>2</v>
      </c>
      <c r="G46" s="76">
        <v>4</v>
      </c>
      <c r="H46" s="14">
        <v>3</v>
      </c>
      <c r="I46" s="14">
        <v>8</v>
      </c>
      <c r="J46" s="33" t="s">
        <v>18</v>
      </c>
      <c r="K46" s="143" t="s">
        <v>23</v>
      </c>
      <c r="L46" s="34"/>
      <c r="M46" s="18">
        <v>452930.1</v>
      </c>
      <c r="N46" s="56">
        <v>2</v>
      </c>
      <c r="O46" s="57">
        <v>19</v>
      </c>
      <c r="P46" s="57">
        <v>221</v>
      </c>
      <c r="Q46" s="58">
        <v>2244</v>
      </c>
      <c r="R46" s="59">
        <v>22766</v>
      </c>
      <c r="V46" s="4"/>
    </row>
    <row r="47" spans="1:22" s="90" customFormat="1" x14ac:dyDescent="0.15">
      <c r="A47" s="120">
        <v>35</v>
      </c>
      <c r="B47" s="104">
        <v>27636</v>
      </c>
      <c r="C47" s="76">
        <v>3</v>
      </c>
      <c r="D47" s="76">
        <v>9</v>
      </c>
      <c r="E47" s="76">
        <v>6</v>
      </c>
      <c r="F47" s="76">
        <v>1</v>
      </c>
      <c r="G47" s="76">
        <v>3</v>
      </c>
      <c r="H47" s="115">
        <v>6</v>
      </c>
      <c r="I47" s="13">
        <v>9</v>
      </c>
      <c r="J47" s="116">
        <v>3735925</v>
      </c>
      <c r="K47" s="190" t="s">
        <v>23</v>
      </c>
      <c r="L47" s="34"/>
      <c r="M47" s="34">
        <v>743502</v>
      </c>
      <c r="N47" s="218">
        <v>6</v>
      </c>
      <c r="O47" s="118">
        <v>37</v>
      </c>
      <c r="P47" s="57">
        <v>334</v>
      </c>
      <c r="Q47" s="119">
        <v>3467</v>
      </c>
      <c r="R47" s="59">
        <v>34817</v>
      </c>
      <c r="S47" s="91"/>
      <c r="V47" s="100"/>
    </row>
    <row r="48" spans="1:22" s="90" customFormat="1" x14ac:dyDescent="0.15">
      <c r="A48" s="120">
        <v>36</v>
      </c>
      <c r="B48" s="104">
        <v>27643</v>
      </c>
      <c r="C48" s="103">
        <v>6</v>
      </c>
      <c r="D48" s="103">
        <v>6</v>
      </c>
      <c r="E48" s="103">
        <v>4</v>
      </c>
      <c r="F48" s="103">
        <v>0</v>
      </c>
      <c r="G48" s="103">
        <v>8</v>
      </c>
      <c r="H48" s="115">
        <v>1</v>
      </c>
      <c r="I48" s="113">
        <v>0</v>
      </c>
      <c r="J48" s="116">
        <v>3742005.5</v>
      </c>
      <c r="K48" s="191" t="s">
        <v>23</v>
      </c>
      <c r="L48" s="34"/>
      <c r="M48" s="18">
        <v>1034546.9</v>
      </c>
      <c r="N48" s="201">
        <v>2</v>
      </c>
      <c r="O48" s="57">
        <v>32</v>
      </c>
      <c r="P48" s="219">
        <v>298</v>
      </c>
      <c r="Q48" s="197">
        <v>3053</v>
      </c>
      <c r="R48" s="139">
        <v>30730</v>
      </c>
      <c r="S48" s="91"/>
      <c r="V48" s="100"/>
    </row>
    <row r="49" spans="1:22" s="90" customFormat="1" x14ac:dyDescent="0.15">
      <c r="A49" s="120">
        <v>37</v>
      </c>
      <c r="B49" s="104">
        <v>27650</v>
      </c>
      <c r="C49" s="103">
        <v>5</v>
      </c>
      <c r="D49" s="103">
        <v>8</v>
      </c>
      <c r="E49" s="103">
        <v>6</v>
      </c>
      <c r="F49" s="103">
        <v>8</v>
      </c>
      <c r="G49" s="103">
        <v>6</v>
      </c>
      <c r="H49" s="115">
        <v>9</v>
      </c>
      <c r="I49" s="13">
        <v>1</v>
      </c>
      <c r="J49" s="33">
        <v>3714351</v>
      </c>
      <c r="K49" s="190">
        <v>1</v>
      </c>
      <c r="L49" s="34">
        <v>1277777.7</v>
      </c>
      <c r="M49" s="18">
        <v>45663.199999999997</v>
      </c>
      <c r="N49" s="218">
        <v>5</v>
      </c>
      <c r="O49" s="57">
        <v>26</v>
      </c>
      <c r="P49" s="219">
        <v>341</v>
      </c>
      <c r="Q49" s="58">
        <v>3292</v>
      </c>
      <c r="R49" s="139">
        <v>34091</v>
      </c>
      <c r="S49" s="91"/>
      <c r="V49" s="100"/>
    </row>
    <row r="50" spans="1:22" s="90" customFormat="1" x14ac:dyDescent="0.15">
      <c r="A50" s="120">
        <v>38</v>
      </c>
      <c r="B50" s="104">
        <v>27657</v>
      </c>
      <c r="C50" s="76">
        <v>7</v>
      </c>
      <c r="D50" s="76">
        <v>2</v>
      </c>
      <c r="E50" s="76">
        <v>0</v>
      </c>
      <c r="F50" s="76">
        <v>9</v>
      </c>
      <c r="G50" s="76">
        <v>8</v>
      </c>
      <c r="H50" s="76">
        <v>2</v>
      </c>
      <c r="I50" s="13">
        <v>5</v>
      </c>
      <c r="J50" s="33">
        <v>3770746</v>
      </c>
      <c r="K50" s="190" t="s">
        <v>23</v>
      </c>
      <c r="L50" s="34"/>
      <c r="M50" s="18">
        <v>338943.4</v>
      </c>
      <c r="N50" s="218">
        <v>1</v>
      </c>
      <c r="O50" s="57">
        <v>32</v>
      </c>
      <c r="P50" s="219">
        <v>316</v>
      </c>
      <c r="Q50" s="58">
        <v>3440</v>
      </c>
      <c r="R50" s="139">
        <v>34286</v>
      </c>
      <c r="S50" s="91"/>
      <c r="V50" s="100"/>
    </row>
    <row r="51" spans="1:22" s="90" customFormat="1" x14ac:dyDescent="0.15">
      <c r="A51" s="120">
        <v>39</v>
      </c>
      <c r="B51" s="104">
        <v>27664</v>
      </c>
      <c r="C51" s="76">
        <v>7</v>
      </c>
      <c r="D51" s="76">
        <v>6</v>
      </c>
      <c r="E51" s="76">
        <v>4</v>
      </c>
      <c r="F51" s="76">
        <v>5</v>
      </c>
      <c r="G51" s="76">
        <v>5</v>
      </c>
      <c r="H51" s="76">
        <v>2</v>
      </c>
      <c r="I51" s="13">
        <v>8</v>
      </c>
      <c r="J51" s="33">
        <v>3797360</v>
      </c>
      <c r="K51" s="190" t="s">
        <v>23</v>
      </c>
      <c r="L51" s="34"/>
      <c r="M51" s="18">
        <v>634293.6</v>
      </c>
      <c r="N51" s="218">
        <v>5</v>
      </c>
      <c r="O51" s="57">
        <v>29</v>
      </c>
      <c r="P51" s="219">
        <v>346</v>
      </c>
      <c r="Q51" s="58">
        <v>3479</v>
      </c>
      <c r="R51" s="139">
        <v>33948</v>
      </c>
      <c r="S51" s="91"/>
      <c r="V51" s="100"/>
    </row>
    <row r="52" spans="1:22" s="90" customFormat="1" x14ac:dyDescent="0.15">
      <c r="A52" s="120">
        <v>40</v>
      </c>
      <c r="B52" s="104">
        <v>27671</v>
      </c>
      <c r="C52" s="76">
        <v>3</v>
      </c>
      <c r="D52" s="76">
        <v>8</v>
      </c>
      <c r="E52" s="76">
        <v>8</v>
      </c>
      <c r="F52" s="76">
        <v>9</v>
      </c>
      <c r="G52" s="76">
        <v>5</v>
      </c>
      <c r="H52" s="76">
        <v>6</v>
      </c>
      <c r="I52" s="13">
        <v>3</v>
      </c>
      <c r="J52" s="33">
        <v>3764871</v>
      </c>
      <c r="K52" s="190" t="s">
        <v>23</v>
      </c>
      <c r="L52" s="34"/>
      <c r="M52" s="18">
        <v>927116.9</v>
      </c>
      <c r="N52" s="218">
        <v>1</v>
      </c>
      <c r="O52" s="57">
        <v>41</v>
      </c>
      <c r="P52" s="219">
        <v>344</v>
      </c>
      <c r="Q52" s="58">
        <v>3455</v>
      </c>
      <c r="R52" s="139">
        <v>34298</v>
      </c>
      <c r="S52" s="91"/>
      <c r="V52" s="100"/>
    </row>
    <row r="53" spans="1:22" s="90" customFormat="1" x14ac:dyDescent="0.15">
      <c r="A53" s="120">
        <v>41</v>
      </c>
      <c r="B53" s="104">
        <v>27678</v>
      </c>
      <c r="C53" s="76">
        <v>9</v>
      </c>
      <c r="D53" s="76">
        <v>8</v>
      </c>
      <c r="E53" s="76">
        <v>5</v>
      </c>
      <c r="F53" s="76">
        <v>7</v>
      </c>
      <c r="G53" s="76">
        <v>7</v>
      </c>
      <c r="H53" s="76">
        <v>8</v>
      </c>
      <c r="I53" s="13">
        <v>9</v>
      </c>
      <c r="J53" s="33">
        <v>3794028</v>
      </c>
      <c r="K53" s="190">
        <v>2</v>
      </c>
      <c r="L53" s="34">
        <v>577777.69999999995</v>
      </c>
      <c r="M53" s="18">
        <v>66652.600000000006</v>
      </c>
      <c r="N53" s="218">
        <v>3</v>
      </c>
      <c r="O53" s="57">
        <v>34</v>
      </c>
      <c r="P53" s="219">
        <v>348</v>
      </c>
      <c r="Q53" s="58">
        <v>3668</v>
      </c>
      <c r="R53" s="139">
        <v>36203</v>
      </c>
      <c r="S53" s="91"/>
      <c r="V53" s="100"/>
    </row>
    <row r="54" spans="1:22" s="90" customFormat="1" x14ac:dyDescent="0.15">
      <c r="A54" s="120">
        <v>42</v>
      </c>
      <c r="B54" s="104">
        <v>27685</v>
      </c>
      <c r="C54" s="76">
        <v>4</v>
      </c>
      <c r="D54" s="76">
        <v>3</v>
      </c>
      <c r="E54" s="76">
        <v>9</v>
      </c>
      <c r="F54" s="76">
        <v>2</v>
      </c>
      <c r="G54" s="76">
        <v>5</v>
      </c>
      <c r="H54" s="76">
        <v>3</v>
      </c>
      <c r="I54" s="13">
        <v>3</v>
      </c>
      <c r="J54" s="33">
        <v>3730031</v>
      </c>
      <c r="K54" s="190" t="s">
        <v>23</v>
      </c>
      <c r="L54" s="34"/>
      <c r="M54" s="18">
        <v>356766.1</v>
      </c>
      <c r="N54" s="218">
        <v>3</v>
      </c>
      <c r="O54" s="57">
        <v>34</v>
      </c>
      <c r="P54" s="219">
        <v>350</v>
      </c>
      <c r="Q54" s="58">
        <v>3402</v>
      </c>
      <c r="R54" s="139">
        <v>34318</v>
      </c>
      <c r="S54" s="91"/>
      <c r="V54" s="100"/>
    </row>
    <row r="55" spans="1:22" s="90" customFormat="1" x14ac:dyDescent="0.15">
      <c r="A55" s="120">
        <v>43</v>
      </c>
      <c r="B55" s="104">
        <v>27692</v>
      </c>
      <c r="C55" s="76">
        <v>6</v>
      </c>
      <c r="D55" s="76">
        <v>1</v>
      </c>
      <c r="E55" s="76">
        <v>3</v>
      </c>
      <c r="F55" s="76">
        <v>9</v>
      </c>
      <c r="G55" s="76">
        <v>6</v>
      </c>
      <c r="H55" s="76">
        <v>8</v>
      </c>
      <c r="I55" s="13">
        <v>9</v>
      </c>
      <c r="J55" s="33">
        <v>3671864</v>
      </c>
      <c r="K55" s="190" t="s">
        <v>23</v>
      </c>
      <c r="L55" s="34"/>
      <c r="M55" s="18">
        <v>642355.5</v>
      </c>
      <c r="N55" s="218">
        <v>5</v>
      </c>
      <c r="O55" s="57">
        <v>30</v>
      </c>
      <c r="P55" s="219">
        <v>312</v>
      </c>
      <c r="Q55" s="58">
        <v>3363</v>
      </c>
      <c r="R55" s="139">
        <v>33788</v>
      </c>
      <c r="S55" s="91"/>
      <c r="V55" s="100"/>
    </row>
    <row r="56" spans="1:22" s="90" customFormat="1" x14ac:dyDescent="0.15">
      <c r="A56" s="120">
        <v>44</v>
      </c>
      <c r="B56" s="104">
        <v>27699</v>
      </c>
      <c r="C56" s="76">
        <v>5</v>
      </c>
      <c r="D56" s="76">
        <v>3</v>
      </c>
      <c r="E56" s="76">
        <v>6</v>
      </c>
      <c r="F56" s="76">
        <v>2</v>
      </c>
      <c r="G56" s="76">
        <v>9</v>
      </c>
      <c r="H56" s="76">
        <v>8</v>
      </c>
      <c r="I56" s="13">
        <v>2</v>
      </c>
      <c r="J56" s="33">
        <v>3728865</v>
      </c>
      <c r="K56" s="190">
        <v>1</v>
      </c>
      <c r="L56" s="34">
        <v>877777.7</v>
      </c>
      <c r="M56" s="34">
        <v>54600.6</v>
      </c>
      <c r="N56" s="218">
        <v>1</v>
      </c>
      <c r="O56" s="118">
        <v>33</v>
      </c>
      <c r="P56" s="219">
        <v>334</v>
      </c>
      <c r="Q56" s="58">
        <v>3255</v>
      </c>
      <c r="R56" s="139">
        <v>33320</v>
      </c>
      <c r="S56" s="91"/>
      <c r="V56" s="100"/>
    </row>
    <row r="57" spans="1:22" s="90" customFormat="1" x14ac:dyDescent="0.15">
      <c r="A57" s="120">
        <v>45</v>
      </c>
      <c r="B57" s="104">
        <v>27706</v>
      </c>
      <c r="C57" s="76">
        <v>8</v>
      </c>
      <c r="D57" s="76">
        <v>5</v>
      </c>
      <c r="E57" s="76">
        <v>1</v>
      </c>
      <c r="F57" s="76">
        <v>4</v>
      </c>
      <c r="G57" s="76">
        <v>6</v>
      </c>
      <c r="H57" s="76">
        <v>7</v>
      </c>
      <c r="I57" s="13">
        <v>2</v>
      </c>
      <c r="J57" s="116">
        <v>3755950</v>
      </c>
      <c r="K57" s="190" t="s">
        <v>23</v>
      </c>
      <c r="L57" s="34"/>
      <c r="M57" s="18">
        <v>346730</v>
      </c>
      <c r="N57" s="218">
        <v>4</v>
      </c>
      <c r="O57" s="57">
        <v>28</v>
      </c>
      <c r="P57" s="219">
        <v>325</v>
      </c>
      <c r="Q57" s="119">
        <v>3192</v>
      </c>
      <c r="R57" s="139">
        <v>32079</v>
      </c>
      <c r="S57" s="91"/>
    </row>
    <row r="58" spans="1:22" s="90" customFormat="1" x14ac:dyDescent="0.15">
      <c r="A58" s="120">
        <v>46</v>
      </c>
      <c r="B58" s="104">
        <v>27713</v>
      </c>
      <c r="C58" s="76">
        <v>9</v>
      </c>
      <c r="D58" s="76">
        <v>8</v>
      </c>
      <c r="E58" s="76">
        <v>0</v>
      </c>
      <c r="F58" s="76">
        <v>9</v>
      </c>
      <c r="G58" s="76">
        <v>0</v>
      </c>
      <c r="H58" s="76">
        <v>9</v>
      </c>
      <c r="I58" s="13">
        <v>8</v>
      </c>
      <c r="J58" s="116">
        <v>3727923</v>
      </c>
      <c r="K58" s="190">
        <v>1</v>
      </c>
      <c r="L58" s="34">
        <v>577777.69999999995</v>
      </c>
      <c r="M58" s="18">
        <v>58901.9</v>
      </c>
      <c r="N58" s="218">
        <v>4</v>
      </c>
      <c r="O58" s="57">
        <v>32</v>
      </c>
      <c r="P58" s="219">
        <v>311</v>
      </c>
      <c r="Q58" s="197">
        <v>3286</v>
      </c>
      <c r="R58" s="139">
        <v>33775</v>
      </c>
      <c r="S58" s="91"/>
    </row>
    <row r="59" spans="1:22" s="90" customFormat="1" x14ac:dyDescent="0.15">
      <c r="A59" s="120">
        <v>47</v>
      </c>
      <c r="B59" s="104">
        <v>27720</v>
      </c>
      <c r="C59" s="76">
        <v>1</v>
      </c>
      <c r="D59" s="76">
        <v>3</v>
      </c>
      <c r="E59" s="76">
        <v>1</v>
      </c>
      <c r="F59" s="76">
        <v>2</v>
      </c>
      <c r="G59" s="76">
        <v>1</v>
      </c>
      <c r="H59" s="76">
        <v>3</v>
      </c>
      <c r="I59" s="13">
        <v>1</v>
      </c>
      <c r="J59" s="33">
        <v>3730019</v>
      </c>
      <c r="K59" s="190" t="s">
        <v>23</v>
      </c>
      <c r="L59" s="34"/>
      <c r="M59" s="34">
        <v>349014.5</v>
      </c>
      <c r="N59" s="218">
        <v>5</v>
      </c>
      <c r="O59" s="57">
        <v>44</v>
      </c>
      <c r="P59" s="219">
        <v>372</v>
      </c>
      <c r="Q59" s="58">
        <v>3592</v>
      </c>
      <c r="R59" s="139">
        <v>35479</v>
      </c>
      <c r="S59" s="91"/>
    </row>
    <row r="60" spans="1:22" s="90" customFormat="1" x14ac:dyDescent="0.15">
      <c r="A60" s="120">
        <v>48</v>
      </c>
      <c r="B60" s="104">
        <v>27727</v>
      </c>
      <c r="C60" s="76">
        <v>2</v>
      </c>
      <c r="D60" s="76">
        <v>4</v>
      </c>
      <c r="E60" s="76">
        <v>9</v>
      </c>
      <c r="F60" s="76">
        <v>5</v>
      </c>
      <c r="G60" s="76">
        <v>9</v>
      </c>
      <c r="H60" s="76">
        <v>1</v>
      </c>
      <c r="I60" s="13">
        <v>3</v>
      </c>
      <c r="J60" s="33">
        <v>3927698</v>
      </c>
      <c r="K60" s="190" t="s">
        <v>23</v>
      </c>
      <c r="L60" s="34"/>
      <c r="M60" s="18">
        <v>654502.1</v>
      </c>
      <c r="N60" s="218">
        <v>5</v>
      </c>
      <c r="O60" s="57">
        <v>37</v>
      </c>
      <c r="P60" s="219">
        <v>344</v>
      </c>
      <c r="Q60" s="58">
        <v>3763</v>
      </c>
      <c r="R60" s="139">
        <v>37480</v>
      </c>
      <c r="S60" s="91"/>
    </row>
    <row r="61" spans="1:22" s="90" customFormat="1" x14ac:dyDescent="0.15">
      <c r="A61" s="120">
        <v>49</v>
      </c>
      <c r="B61" s="104">
        <v>27734</v>
      </c>
      <c r="C61" s="76">
        <v>3</v>
      </c>
      <c r="D61" s="76">
        <v>7</v>
      </c>
      <c r="E61" s="76">
        <v>6</v>
      </c>
      <c r="F61" s="76">
        <v>8</v>
      </c>
      <c r="G61" s="76">
        <v>1</v>
      </c>
      <c r="H61" s="76">
        <v>8</v>
      </c>
      <c r="I61" s="13">
        <v>2</v>
      </c>
      <c r="J61" s="33">
        <v>6604548</v>
      </c>
      <c r="K61" s="190">
        <v>1</v>
      </c>
      <c r="L61" s="34">
        <v>1077777.7</v>
      </c>
      <c r="M61" s="18">
        <v>90411.5</v>
      </c>
      <c r="N61" s="218">
        <v>13</v>
      </c>
      <c r="O61" s="57">
        <v>47</v>
      </c>
      <c r="P61" s="219">
        <v>552</v>
      </c>
      <c r="Q61" s="58">
        <v>5475</v>
      </c>
      <c r="R61" s="139">
        <v>55150</v>
      </c>
      <c r="S61" s="91"/>
    </row>
    <row r="62" spans="1:22" s="90" customFormat="1" x14ac:dyDescent="0.15">
      <c r="A62" s="120">
        <v>50</v>
      </c>
      <c r="B62" s="104">
        <v>27741</v>
      </c>
      <c r="C62" s="76">
        <v>0</v>
      </c>
      <c r="D62" s="76">
        <v>0</v>
      </c>
      <c r="E62" s="76">
        <v>4</v>
      </c>
      <c r="F62" s="76">
        <v>2</v>
      </c>
      <c r="G62" s="76">
        <v>0</v>
      </c>
      <c r="H62" s="76">
        <v>4</v>
      </c>
      <c r="I62" s="13">
        <v>6</v>
      </c>
      <c r="J62" s="33">
        <v>4212844</v>
      </c>
      <c r="K62" s="190" t="s">
        <v>23</v>
      </c>
      <c r="L62" s="34"/>
      <c r="M62" s="18">
        <v>418077.1</v>
      </c>
      <c r="N62" s="218">
        <v>4</v>
      </c>
      <c r="O62" s="57">
        <v>35</v>
      </c>
      <c r="P62" s="219">
        <v>352</v>
      </c>
      <c r="Q62" s="58">
        <v>3538</v>
      </c>
      <c r="R62" s="139">
        <v>36046</v>
      </c>
      <c r="S62" s="91"/>
    </row>
    <row r="63" spans="1:22" s="90" customFormat="1" x14ac:dyDescent="0.15">
      <c r="A63" s="120">
        <v>51</v>
      </c>
      <c r="B63" s="104">
        <v>27748</v>
      </c>
      <c r="C63" s="76">
        <v>9</v>
      </c>
      <c r="D63" s="76">
        <v>6</v>
      </c>
      <c r="E63" s="76">
        <v>5</v>
      </c>
      <c r="F63" s="76">
        <v>9</v>
      </c>
      <c r="G63" s="76">
        <v>3</v>
      </c>
      <c r="H63" s="76">
        <v>5</v>
      </c>
      <c r="I63" s="13">
        <v>2</v>
      </c>
      <c r="J63" s="33">
        <v>4123958</v>
      </c>
      <c r="K63" s="190" t="s">
        <v>23</v>
      </c>
      <c r="L63" s="34"/>
      <c r="M63" s="34">
        <v>738829.4</v>
      </c>
      <c r="N63" s="218">
        <v>1</v>
      </c>
      <c r="O63" s="57">
        <v>38</v>
      </c>
      <c r="P63" s="219">
        <v>313</v>
      </c>
      <c r="Q63" s="58">
        <v>3398</v>
      </c>
      <c r="R63" s="139">
        <v>34497</v>
      </c>
      <c r="S63" s="91"/>
    </row>
    <row r="64" spans="1:22" s="122" customFormat="1" x14ac:dyDescent="0.15">
      <c r="A64" s="140">
        <v>52</v>
      </c>
      <c r="B64" s="79">
        <v>27755</v>
      </c>
      <c r="C64" s="141">
        <v>8</v>
      </c>
      <c r="D64" s="141">
        <v>6</v>
      </c>
      <c r="E64" s="141">
        <v>4</v>
      </c>
      <c r="F64" s="141">
        <v>9</v>
      </c>
      <c r="G64" s="141">
        <v>8</v>
      </c>
      <c r="H64" s="123">
        <v>4</v>
      </c>
      <c r="I64" s="123">
        <v>1</v>
      </c>
      <c r="J64" s="40">
        <v>3511702</v>
      </c>
      <c r="K64" s="192">
        <v>1</v>
      </c>
      <c r="L64" s="124">
        <v>977777.7</v>
      </c>
      <c r="M64" s="42">
        <v>34184.1</v>
      </c>
      <c r="N64" s="99">
        <v>4</v>
      </c>
      <c r="O64" s="62">
        <v>32</v>
      </c>
      <c r="P64" s="98">
        <v>334</v>
      </c>
      <c r="Q64" s="63">
        <v>3274</v>
      </c>
      <c r="R64" s="142">
        <v>32715</v>
      </c>
      <c r="S64" s="121"/>
    </row>
    <row r="65" spans="1:22" s="90" customFormat="1" x14ac:dyDescent="0.15">
      <c r="A65" s="101"/>
      <c r="B65" s="265"/>
      <c r="C65" s="97"/>
      <c r="D65" s="97"/>
      <c r="E65" s="97"/>
      <c r="F65" s="97"/>
      <c r="G65" s="97"/>
      <c r="H65" s="97" t="s">
        <v>24</v>
      </c>
      <c r="I65" s="97"/>
      <c r="J65" s="97"/>
      <c r="K65" s="267">
        <f>SUM(K8:K64)</f>
        <v>19</v>
      </c>
      <c r="L65" s="262"/>
      <c r="M65" s="262"/>
      <c r="N65" s="262">
        <f>SUM(N8:N64)</f>
        <v>77920.7</v>
      </c>
      <c r="O65" s="262">
        <f>SUM(O8:O64)</f>
        <v>9311.7000000000007</v>
      </c>
      <c r="P65" s="262">
        <f>SUM(P8:P64)</f>
        <v>16010.7</v>
      </c>
      <c r="Q65" s="262">
        <f>SUM(Q8:Q64)</f>
        <v>153986.70000000001</v>
      </c>
      <c r="R65" s="268">
        <f>SUM(R8:R64)</f>
        <v>1541511.7</v>
      </c>
      <c r="S65" s="91"/>
    </row>
    <row r="66" spans="1:22" s="90" customFormat="1" x14ac:dyDescent="0.15">
      <c r="A66" s="81"/>
      <c r="B66" s="82"/>
      <c r="C66" s="76"/>
      <c r="D66" s="76"/>
      <c r="E66" s="76"/>
      <c r="F66" s="76"/>
      <c r="G66" s="76"/>
      <c r="H66" s="76"/>
      <c r="I66" s="76"/>
      <c r="J66" s="83"/>
      <c r="K66" s="77"/>
      <c r="L66" s="84"/>
      <c r="M66" s="85"/>
      <c r="N66" s="86"/>
      <c r="O66" s="87"/>
      <c r="P66" s="87"/>
      <c r="Q66" s="88"/>
      <c r="R66" s="89"/>
      <c r="S66" s="91"/>
    </row>
    <row r="67" spans="1:22" s="90" customFormat="1" x14ac:dyDescent="0.15">
      <c r="A67" s="81"/>
      <c r="B67" s="82"/>
      <c r="C67" s="103"/>
      <c r="D67" s="103"/>
      <c r="E67" s="103"/>
      <c r="F67" s="103"/>
      <c r="G67" s="103"/>
      <c r="H67" s="103"/>
      <c r="I67" s="92"/>
      <c r="J67" s="83"/>
      <c r="K67" s="77"/>
      <c r="L67" s="94"/>
      <c r="M67" s="85"/>
      <c r="N67" s="86"/>
      <c r="O67" s="87"/>
      <c r="P67" s="87"/>
      <c r="Q67" s="88"/>
      <c r="R67" s="89"/>
      <c r="S67" s="91"/>
    </row>
    <row r="68" spans="1:22" s="90" customFormat="1" x14ac:dyDescent="0.15">
      <c r="A68" s="81"/>
      <c r="B68" s="82"/>
      <c r="C68" s="103"/>
      <c r="D68" s="103"/>
      <c r="E68" s="103"/>
      <c r="F68" s="103"/>
      <c r="G68" s="103"/>
      <c r="H68" s="103"/>
      <c r="I68" s="92"/>
      <c r="J68" s="83"/>
      <c r="K68" s="77"/>
      <c r="L68" s="94"/>
      <c r="M68" s="85"/>
      <c r="N68" s="86"/>
      <c r="O68" s="87"/>
      <c r="P68" s="87"/>
      <c r="Q68" s="88"/>
      <c r="R68" s="89"/>
      <c r="S68" s="91"/>
    </row>
    <row r="69" spans="1:22" s="90" customFormat="1" x14ac:dyDescent="0.15">
      <c r="A69" s="81"/>
      <c r="B69" s="82"/>
      <c r="C69" s="92"/>
      <c r="D69" s="92"/>
      <c r="E69" s="92"/>
      <c r="F69" s="92"/>
      <c r="G69" s="92"/>
      <c r="H69" s="92"/>
      <c r="I69" s="92"/>
      <c r="J69" s="83"/>
      <c r="K69" s="77"/>
      <c r="L69" s="94"/>
      <c r="M69" s="85"/>
      <c r="N69" s="86"/>
      <c r="O69" s="87"/>
      <c r="P69" s="87"/>
      <c r="Q69" s="88"/>
      <c r="R69" s="89"/>
      <c r="S69" s="91"/>
    </row>
    <row r="70" spans="1:22" s="90" customFormat="1" x14ac:dyDescent="0.15">
      <c r="A70" s="81"/>
      <c r="B70" s="92"/>
      <c r="C70" s="92"/>
      <c r="D70" s="92"/>
      <c r="E70" s="92"/>
      <c r="F70" s="92"/>
      <c r="G70" s="92"/>
      <c r="H70" s="92"/>
      <c r="I70" s="92"/>
      <c r="J70" s="92"/>
      <c r="K70" s="93"/>
      <c r="L70" s="93"/>
      <c r="M70" s="93"/>
      <c r="N70" s="93"/>
      <c r="O70" s="93"/>
      <c r="P70" s="93"/>
      <c r="Q70" s="93"/>
      <c r="R70" s="93"/>
      <c r="S70" s="91"/>
      <c r="V70" s="111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  <row r="174" spans="12:12" s="90" customFormat="1" x14ac:dyDescent="0.15">
      <c r="L174" s="85"/>
    </row>
    <row r="175" spans="12:12" s="90" customFormat="1" x14ac:dyDescent="0.15">
      <c r="L175" s="85"/>
    </row>
    <row r="176" spans="12:12" s="90" customFormat="1" x14ac:dyDescent="0.15">
      <c r="L176" s="85"/>
    </row>
    <row r="177" spans="12:12" s="90" customFormat="1" x14ac:dyDescent="0.15">
      <c r="L177" s="85"/>
    </row>
    <row r="178" spans="12:12" s="90" customFormat="1" x14ac:dyDescent="0.15">
      <c r="L178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78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3"/>
  <sheetViews>
    <sheetView workbookViewId="0">
      <pane ySplit="7" topLeftCell="A8" activePane="bottomLeft" state="frozenSplit"/>
      <selection activeCell="J63" sqref="J63"/>
      <selection pane="bottomLeft" activeCell="K15" sqref="K15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25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 t="s">
        <v>19</v>
      </c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1976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20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22</v>
      </c>
      <c r="L6" s="209"/>
      <c r="M6" s="14" t="s">
        <v>14</v>
      </c>
      <c r="N6" s="189">
        <v>77777.7</v>
      </c>
      <c r="O6" s="189">
        <v>7777.7</v>
      </c>
      <c r="P6" s="189">
        <v>777.7</v>
      </c>
      <c r="Q6" s="189">
        <v>77.7</v>
      </c>
      <c r="R6" s="189">
        <v>7.7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120">
        <v>1</v>
      </c>
      <c r="B8" s="104">
        <v>27762</v>
      </c>
      <c r="C8" s="76">
        <v>9</v>
      </c>
      <c r="D8" s="76">
        <v>4</v>
      </c>
      <c r="E8" s="76">
        <v>7</v>
      </c>
      <c r="F8" s="76">
        <v>8</v>
      </c>
      <c r="G8" s="76">
        <v>4</v>
      </c>
      <c r="H8" s="76">
        <v>8</v>
      </c>
      <c r="I8" s="13">
        <v>2</v>
      </c>
      <c r="J8" s="207">
        <v>3844394</v>
      </c>
      <c r="K8" s="143" t="s">
        <v>23</v>
      </c>
      <c r="L8" s="34"/>
      <c r="M8" s="18">
        <v>333192.5</v>
      </c>
      <c r="N8" s="56">
        <v>4</v>
      </c>
      <c r="O8" s="57">
        <v>25</v>
      </c>
      <c r="P8" s="57">
        <v>312</v>
      </c>
      <c r="Q8" s="58">
        <v>3312</v>
      </c>
      <c r="R8" s="59">
        <v>33487</v>
      </c>
      <c r="V8" s="4"/>
    </row>
    <row r="9" spans="1:22" x14ac:dyDescent="0.15">
      <c r="A9" s="120">
        <v>2</v>
      </c>
      <c r="B9" s="104">
        <f t="shared" ref="B9:B40" si="0">B8+7</f>
        <v>27769</v>
      </c>
      <c r="C9" s="76">
        <v>4</v>
      </c>
      <c r="D9" s="76">
        <v>0</v>
      </c>
      <c r="E9" s="76">
        <v>0</v>
      </c>
      <c r="F9" s="76">
        <v>7</v>
      </c>
      <c r="G9" s="76">
        <v>8</v>
      </c>
      <c r="H9" s="76">
        <v>4</v>
      </c>
      <c r="I9" s="13">
        <v>0</v>
      </c>
      <c r="J9" s="208">
        <v>4007132</v>
      </c>
      <c r="K9" s="143" t="s">
        <v>23</v>
      </c>
      <c r="L9" s="34"/>
      <c r="M9" s="34">
        <v>644858.30000000005</v>
      </c>
      <c r="N9" s="210" t="s">
        <v>17</v>
      </c>
      <c r="O9" s="57">
        <v>38</v>
      </c>
      <c r="P9" s="57">
        <v>332</v>
      </c>
      <c r="Q9" s="58">
        <v>3492</v>
      </c>
      <c r="R9" s="59">
        <v>35363</v>
      </c>
      <c r="V9" s="4"/>
    </row>
    <row r="10" spans="1:22" x14ac:dyDescent="0.15">
      <c r="A10" s="120">
        <v>3</v>
      </c>
      <c r="B10" s="104">
        <f t="shared" si="0"/>
        <v>27776</v>
      </c>
      <c r="C10" s="76">
        <v>8</v>
      </c>
      <c r="D10" s="76">
        <v>2</v>
      </c>
      <c r="E10" s="76">
        <v>7</v>
      </c>
      <c r="F10" s="76">
        <v>5</v>
      </c>
      <c r="G10" s="76">
        <v>6</v>
      </c>
      <c r="H10" s="76">
        <v>7</v>
      </c>
      <c r="I10" s="13">
        <v>7</v>
      </c>
      <c r="J10" s="208">
        <v>4014275</v>
      </c>
      <c r="K10" s="143" t="s">
        <v>23</v>
      </c>
      <c r="L10" s="34"/>
      <c r="M10" s="34">
        <v>957079.7</v>
      </c>
      <c r="N10" s="56">
        <v>8</v>
      </c>
      <c r="O10" s="57">
        <v>32</v>
      </c>
      <c r="P10" s="57">
        <v>380</v>
      </c>
      <c r="Q10" s="58">
        <v>3889</v>
      </c>
      <c r="R10" s="59">
        <v>39203</v>
      </c>
      <c r="V10" s="4"/>
    </row>
    <row r="11" spans="1:22" x14ac:dyDescent="0.15">
      <c r="A11" s="120">
        <v>4</v>
      </c>
      <c r="B11" s="104">
        <f t="shared" si="0"/>
        <v>27783</v>
      </c>
      <c r="C11" s="76">
        <v>8</v>
      </c>
      <c r="D11" s="76">
        <v>5</v>
      </c>
      <c r="E11" s="76">
        <v>1</v>
      </c>
      <c r="F11" s="76">
        <v>8</v>
      </c>
      <c r="G11" s="76">
        <v>6</v>
      </c>
      <c r="H11" s="76">
        <v>3</v>
      </c>
      <c r="I11" s="13">
        <v>4</v>
      </c>
      <c r="J11" s="208">
        <v>3910095</v>
      </c>
      <c r="K11" s="143" t="s">
        <v>23</v>
      </c>
      <c r="L11" s="34"/>
      <c r="M11" s="34">
        <v>1261198.2</v>
      </c>
      <c r="N11" s="56">
        <v>6</v>
      </c>
      <c r="O11" s="57">
        <v>32</v>
      </c>
      <c r="P11" s="57">
        <v>363</v>
      </c>
      <c r="Q11" s="58">
        <v>3539</v>
      </c>
      <c r="R11" s="59">
        <v>34805</v>
      </c>
      <c r="V11" s="4"/>
    </row>
    <row r="12" spans="1:22" x14ac:dyDescent="0.15">
      <c r="A12" s="120">
        <v>5</v>
      </c>
      <c r="B12" s="104">
        <f t="shared" si="0"/>
        <v>27790</v>
      </c>
      <c r="C12" s="76">
        <v>7</v>
      </c>
      <c r="D12" s="76">
        <v>3</v>
      </c>
      <c r="E12" s="76">
        <v>6</v>
      </c>
      <c r="F12" s="76">
        <v>8</v>
      </c>
      <c r="G12" s="76">
        <v>1</v>
      </c>
      <c r="H12" s="76">
        <v>2</v>
      </c>
      <c r="I12" s="13">
        <v>6</v>
      </c>
      <c r="J12" s="208">
        <v>3964892</v>
      </c>
      <c r="K12" s="143" t="s">
        <v>23</v>
      </c>
      <c r="L12" s="34"/>
      <c r="M12" s="18">
        <v>1569578.7</v>
      </c>
      <c r="N12" s="56">
        <v>3</v>
      </c>
      <c r="O12" s="57">
        <v>46</v>
      </c>
      <c r="P12" s="57">
        <v>324</v>
      </c>
      <c r="Q12" s="58">
        <v>3640</v>
      </c>
      <c r="R12" s="59">
        <v>36438</v>
      </c>
      <c r="V12" s="4"/>
    </row>
    <row r="13" spans="1:22" x14ac:dyDescent="0.15">
      <c r="A13" s="120">
        <v>6</v>
      </c>
      <c r="B13" s="104">
        <f t="shared" si="0"/>
        <v>27797</v>
      </c>
      <c r="C13" s="76">
        <v>6</v>
      </c>
      <c r="D13" s="76">
        <v>1</v>
      </c>
      <c r="E13" s="76">
        <v>5</v>
      </c>
      <c r="F13" s="76">
        <v>5</v>
      </c>
      <c r="G13" s="76">
        <v>3</v>
      </c>
      <c r="H13" s="76">
        <v>5</v>
      </c>
      <c r="I13" s="13">
        <v>6</v>
      </c>
      <c r="J13" s="208">
        <v>4088287</v>
      </c>
      <c r="K13" s="143" t="s">
        <v>23</v>
      </c>
      <c r="L13" s="34"/>
      <c r="M13" s="34">
        <v>1887556.6</v>
      </c>
      <c r="N13" s="56">
        <v>3</v>
      </c>
      <c r="O13" s="57">
        <v>37</v>
      </c>
      <c r="P13" s="57">
        <v>346</v>
      </c>
      <c r="Q13" s="58">
        <v>3586</v>
      </c>
      <c r="R13" s="59">
        <v>34747</v>
      </c>
      <c r="V13" s="4"/>
    </row>
    <row r="14" spans="1:22" x14ac:dyDescent="0.15">
      <c r="A14" s="120">
        <v>7</v>
      </c>
      <c r="B14" s="104">
        <f t="shared" si="0"/>
        <v>27804</v>
      </c>
      <c r="C14" s="76">
        <v>5</v>
      </c>
      <c r="D14" s="76">
        <v>2</v>
      </c>
      <c r="E14" s="76">
        <v>7</v>
      </c>
      <c r="F14" s="76">
        <v>5</v>
      </c>
      <c r="G14" s="76">
        <v>5</v>
      </c>
      <c r="H14" s="76">
        <v>5</v>
      </c>
      <c r="I14" s="13">
        <v>1</v>
      </c>
      <c r="J14" s="208">
        <v>3964497</v>
      </c>
      <c r="K14" s="143" t="s">
        <v>23</v>
      </c>
      <c r="L14" s="34"/>
      <c r="M14" s="18">
        <v>2195906.4</v>
      </c>
      <c r="N14" s="56">
        <v>1</v>
      </c>
      <c r="O14" s="57">
        <v>26</v>
      </c>
      <c r="P14" s="57">
        <v>348</v>
      </c>
      <c r="Q14" s="58">
        <v>3492</v>
      </c>
      <c r="R14" s="59">
        <v>35977</v>
      </c>
      <c r="V14" s="4"/>
    </row>
    <row r="15" spans="1:22" x14ac:dyDescent="0.15">
      <c r="A15" s="120">
        <v>8</v>
      </c>
      <c r="B15" s="104">
        <f t="shared" si="0"/>
        <v>27811</v>
      </c>
      <c r="C15" s="76">
        <v>7</v>
      </c>
      <c r="D15" s="76">
        <v>2</v>
      </c>
      <c r="E15" s="76">
        <v>4</v>
      </c>
      <c r="F15" s="76">
        <v>9</v>
      </c>
      <c r="G15" s="76">
        <v>9</v>
      </c>
      <c r="H15" s="76">
        <v>3</v>
      </c>
      <c r="I15" s="13">
        <v>5</v>
      </c>
      <c r="J15" s="208">
        <v>3960232</v>
      </c>
      <c r="K15" s="143">
        <v>1</v>
      </c>
      <c r="L15" s="34">
        <v>1777777.7</v>
      </c>
      <c r="M15" s="18">
        <v>726146.7</v>
      </c>
      <c r="N15" s="56">
        <v>1</v>
      </c>
      <c r="O15" s="57">
        <v>28</v>
      </c>
      <c r="P15" s="57">
        <v>329</v>
      </c>
      <c r="Q15" s="58">
        <v>3519</v>
      </c>
      <c r="R15" s="59">
        <v>36551</v>
      </c>
      <c r="V15" s="4"/>
    </row>
    <row r="16" spans="1:22" x14ac:dyDescent="0.15">
      <c r="A16" s="120">
        <v>9</v>
      </c>
      <c r="B16" s="104">
        <f t="shared" si="0"/>
        <v>27818</v>
      </c>
      <c r="C16" s="76">
        <v>2</v>
      </c>
      <c r="D16" s="76">
        <v>2</v>
      </c>
      <c r="E16" s="76">
        <v>6</v>
      </c>
      <c r="F16" s="76">
        <v>2</v>
      </c>
      <c r="G16" s="76">
        <v>6</v>
      </c>
      <c r="H16" s="76">
        <v>0</v>
      </c>
      <c r="I16" s="13">
        <v>7</v>
      </c>
      <c r="J16" s="208">
        <v>3993494</v>
      </c>
      <c r="K16" s="143" t="s">
        <v>23</v>
      </c>
      <c r="L16" s="34"/>
      <c r="M16" s="18">
        <v>1036751.8</v>
      </c>
      <c r="N16" s="56">
        <v>5</v>
      </c>
      <c r="O16" s="57">
        <v>42</v>
      </c>
      <c r="P16" s="57">
        <v>370</v>
      </c>
      <c r="Q16" s="58">
        <v>3498</v>
      </c>
      <c r="R16" s="59">
        <v>35610</v>
      </c>
      <c r="V16" s="4"/>
    </row>
    <row r="17" spans="1:22" x14ac:dyDescent="0.15">
      <c r="A17" s="120">
        <v>10</v>
      </c>
      <c r="B17" s="104">
        <f t="shared" si="0"/>
        <v>27825</v>
      </c>
      <c r="C17" s="76">
        <v>9</v>
      </c>
      <c r="D17" s="76">
        <v>5</v>
      </c>
      <c r="E17" s="76">
        <v>3</v>
      </c>
      <c r="F17" s="76">
        <v>3</v>
      </c>
      <c r="G17" s="76">
        <v>0</v>
      </c>
      <c r="H17" s="76">
        <v>4</v>
      </c>
      <c r="I17" s="13">
        <v>4</v>
      </c>
      <c r="J17" s="208">
        <v>3990408</v>
      </c>
      <c r="K17" s="143" t="s">
        <v>23</v>
      </c>
      <c r="L17" s="34"/>
      <c r="M17" s="18">
        <v>1347116.9</v>
      </c>
      <c r="N17" s="56">
        <v>6</v>
      </c>
      <c r="O17" s="57">
        <v>31</v>
      </c>
      <c r="P17" s="57">
        <v>358</v>
      </c>
      <c r="Q17" s="58">
        <v>3336</v>
      </c>
      <c r="R17" s="59">
        <v>34172</v>
      </c>
      <c r="V17" s="4"/>
    </row>
    <row r="18" spans="1:22" x14ac:dyDescent="0.15">
      <c r="A18" s="120">
        <v>11</v>
      </c>
      <c r="B18" s="104">
        <f t="shared" si="0"/>
        <v>27832</v>
      </c>
      <c r="C18" s="76">
        <v>0</v>
      </c>
      <c r="D18" s="76">
        <v>2</v>
      </c>
      <c r="E18" s="76">
        <v>7</v>
      </c>
      <c r="F18" s="76">
        <v>4</v>
      </c>
      <c r="G18" s="76">
        <v>0</v>
      </c>
      <c r="H18" s="76">
        <v>4</v>
      </c>
      <c r="I18" s="13">
        <v>3</v>
      </c>
      <c r="J18" s="208">
        <v>4011908</v>
      </c>
      <c r="K18" s="143">
        <v>2</v>
      </c>
      <c r="L18" s="34">
        <v>777777.7</v>
      </c>
      <c r="M18" s="18">
        <v>103598.8</v>
      </c>
      <c r="N18" s="56">
        <v>5</v>
      </c>
      <c r="O18" s="57">
        <v>41</v>
      </c>
      <c r="P18" s="57">
        <v>338</v>
      </c>
      <c r="Q18" s="58">
        <v>3492</v>
      </c>
      <c r="R18" s="59">
        <v>36424</v>
      </c>
      <c r="V18" s="4"/>
    </row>
    <row r="19" spans="1:22" x14ac:dyDescent="0.15">
      <c r="A19" s="120">
        <v>12</v>
      </c>
      <c r="B19" s="104">
        <f t="shared" si="0"/>
        <v>27839</v>
      </c>
      <c r="C19" s="76">
        <v>9</v>
      </c>
      <c r="D19" s="76">
        <v>6</v>
      </c>
      <c r="E19" s="76">
        <v>3</v>
      </c>
      <c r="F19" s="76">
        <v>1</v>
      </c>
      <c r="G19" s="76">
        <v>8</v>
      </c>
      <c r="H19" s="76">
        <v>9</v>
      </c>
      <c r="I19" s="13">
        <v>7</v>
      </c>
      <c r="J19" s="208">
        <v>3934978</v>
      </c>
      <c r="K19" s="143" t="s">
        <v>23</v>
      </c>
      <c r="L19" s="34"/>
      <c r="M19" s="18">
        <v>409652.6</v>
      </c>
      <c r="N19" s="56">
        <v>4</v>
      </c>
      <c r="O19" s="57">
        <v>36</v>
      </c>
      <c r="P19" s="57">
        <v>362</v>
      </c>
      <c r="Q19" s="58">
        <v>3606</v>
      </c>
      <c r="R19" s="59">
        <v>35953</v>
      </c>
      <c r="V19" s="4"/>
    </row>
    <row r="20" spans="1:22" x14ac:dyDescent="0.15">
      <c r="A20" s="120">
        <v>13</v>
      </c>
      <c r="B20" s="104">
        <f t="shared" si="0"/>
        <v>27846</v>
      </c>
      <c r="C20" s="76">
        <v>0</v>
      </c>
      <c r="D20" s="76">
        <v>0</v>
      </c>
      <c r="E20" s="76">
        <v>2</v>
      </c>
      <c r="F20" s="76">
        <v>2</v>
      </c>
      <c r="G20" s="76">
        <v>2</v>
      </c>
      <c r="H20" s="76">
        <v>4</v>
      </c>
      <c r="I20" s="13">
        <v>2</v>
      </c>
      <c r="J20" s="208">
        <v>3979713</v>
      </c>
      <c r="K20" s="143" t="s">
        <v>23</v>
      </c>
      <c r="L20" s="34"/>
      <c r="M20" s="18">
        <v>719185.8</v>
      </c>
      <c r="N20" s="56">
        <v>1</v>
      </c>
      <c r="O20" s="57">
        <v>33</v>
      </c>
      <c r="P20" s="57">
        <v>354</v>
      </c>
      <c r="Q20" s="58">
        <v>3369</v>
      </c>
      <c r="R20" s="59">
        <v>34115</v>
      </c>
      <c r="V20" s="4"/>
    </row>
    <row r="21" spans="1:22" x14ac:dyDescent="0.15">
      <c r="A21" s="120">
        <v>14</v>
      </c>
      <c r="B21" s="104">
        <f t="shared" si="0"/>
        <v>27853</v>
      </c>
      <c r="C21" s="76">
        <v>6</v>
      </c>
      <c r="D21" s="76">
        <v>6</v>
      </c>
      <c r="E21" s="76">
        <v>6</v>
      </c>
      <c r="F21" s="76">
        <v>2</v>
      </c>
      <c r="G21" s="76">
        <v>6</v>
      </c>
      <c r="H21" s="76">
        <v>7</v>
      </c>
      <c r="I21" s="13">
        <v>9</v>
      </c>
      <c r="J21" s="208">
        <v>4911980</v>
      </c>
      <c r="K21" s="143">
        <v>1</v>
      </c>
      <c r="L21" s="34">
        <v>1077777.7</v>
      </c>
      <c r="M21" s="18">
        <v>23451</v>
      </c>
      <c r="N21" s="56">
        <v>7</v>
      </c>
      <c r="O21" s="57">
        <v>44</v>
      </c>
      <c r="P21" s="57">
        <v>470</v>
      </c>
      <c r="Q21" s="58">
        <v>4613</v>
      </c>
      <c r="R21" s="59">
        <v>44040</v>
      </c>
      <c r="V21" s="4"/>
    </row>
    <row r="22" spans="1:22" x14ac:dyDescent="0.15">
      <c r="A22" s="120">
        <v>15</v>
      </c>
      <c r="B22" s="104">
        <f t="shared" si="0"/>
        <v>27860</v>
      </c>
      <c r="C22" s="76">
        <v>5</v>
      </c>
      <c r="D22" s="76">
        <v>3</v>
      </c>
      <c r="E22" s="76">
        <v>4</v>
      </c>
      <c r="F22" s="76">
        <v>5</v>
      </c>
      <c r="G22" s="76">
        <v>4</v>
      </c>
      <c r="H22" s="76">
        <v>6</v>
      </c>
      <c r="I22" s="13">
        <v>5</v>
      </c>
      <c r="J22" s="208">
        <v>4869440</v>
      </c>
      <c r="K22" s="143">
        <v>2</v>
      </c>
      <c r="L22" s="34">
        <v>177777.7</v>
      </c>
      <c r="M22" s="18">
        <v>46629.8</v>
      </c>
      <c r="N22" s="56">
        <v>6</v>
      </c>
      <c r="O22" s="57">
        <v>57</v>
      </c>
      <c r="P22" s="57">
        <v>430</v>
      </c>
      <c r="Q22" s="58">
        <v>4361</v>
      </c>
      <c r="R22" s="59">
        <v>44214</v>
      </c>
      <c r="V22" s="4"/>
    </row>
    <row r="23" spans="1:22" x14ac:dyDescent="0.15">
      <c r="A23" s="120">
        <v>16</v>
      </c>
      <c r="B23" s="104">
        <f t="shared" si="0"/>
        <v>27867</v>
      </c>
      <c r="C23" s="76">
        <v>0</v>
      </c>
      <c r="D23" s="76">
        <v>2</v>
      </c>
      <c r="E23" s="76">
        <v>4</v>
      </c>
      <c r="F23" s="76">
        <v>7</v>
      </c>
      <c r="G23" s="76">
        <v>3</v>
      </c>
      <c r="H23" s="76">
        <v>9</v>
      </c>
      <c r="I23" s="13">
        <v>8</v>
      </c>
      <c r="J23" s="208">
        <v>4765439</v>
      </c>
      <c r="K23" s="143" t="s">
        <v>23</v>
      </c>
      <c r="L23" s="34"/>
      <c r="M23" s="18">
        <v>417275.1</v>
      </c>
      <c r="N23" s="56">
        <v>3</v>
      </c>
      <c r="O23" s="57">
        <v>41</v>
      </c>
      <c r="P23" s="57">
        <v>446</v>
      </c>
      <c r="Q23" s="58">
        <v>4385</v>
      </c>
      <c r="R23" s="59">
        <v>43701</v>
      </c>
      <c r="V23" s="4"/>
    </row>
    <row r="24" spans="1:22" x14ac:dyDescent="0.15">
      <c r="A24" s="120">
        <v>17</v>
      </c>
      <c r="B24" s="104">
        <f t="shared" si="0"/>
        <v>27874</v>
      </c>
      <c r="C24" s="76">
        <v>5</v>
      </c>
      <c r="D24" s="76">
        <v>3</v>
      </c>
      <c r="E24" s="76">
        <v>9</v>
      </c>
      <c r="F24" s="76">
        <v>8</v>
      </c>
      <c r="G24" s="76">
        <v>3</v>
      </c>
      <c r="H24" s="76">
        <v>3</v>
      </c>
      <c r="I24" s="13">
        <v>2</v>
      </c>
      <c r="J24" s="208">
        <v>4711301</v>
      </c>
      <c r="K24" s="143">
        <v>1</v>
      </c>
      <c r="L24" s="34">
        <v>777777.7</v>
      </c>
      <c r="M24" s="18">
        <v>5931.9</v>
      </c>
      <c r="N24" s="56">
        <v>4</v>
      </c>
      <c r="O24" s="57">
        <v>31</v>
      </c>
      <c r="P24" s="57">
        <v>460</v>
      </c>
      <c r="Q24" s="58">
        <v>4342</v>
      </c>
      <c r="R24" s="59">
        <v>42742</v>
      </c>
      <c r="V24" s="4"/>
    </row>
    <row r="25" spans="1:22" x14ac:dyDescent="0.15">
      <c r="A25" s="120">
        <v>18</v>
      </c>
      <c r="B25" s="104">
        <f t="shared" si="0"/>
        <v>27881</v>
      </c>
      <c r="C25" s="76">
        <v>6</v>
      </c>
      <c r="D25" s="76">
        <v>4</v>
      </c>
      <c r="E25" s="76">
        <v>1</v>
      </c>
      <c r="F25" s="76">
        <v>2</v>
      </c>
      <c r="G25" s="76">
        <v>1</v>
      </c>
      <c r="H25" s="76">
        <v>9</v>
      </c>
      <c r="I25" s="13">
        <v>1</v>
      </c>
      <c r="J25" s="208">
        <v>5556299</v>
      </c>
      <c r="K25" s="143" t="s">
        <v>23</v>
      </c>
      <c r="L25" s="34"/>
      <c r="M25" s="18">
        <v>438088.5</v>
      </c>
      <c r="N25" s="56">
        <v>3</v>
      </c>
      <c r="O25" s="57">
        <v>55</v>
      </c>
      <c r="P25" s="57">
        <v>492</v>
      </c>
      <c r="Q25" s="58">
        <v>5117</v>
      </c>
      <c r="R25" s="59">
        <v>50871</v>
      </c>
      <c r="V25" s="4"/>
    </row>
    <row r="26" spans="1:22" x14ac:dyDescent="0.15">
      <c r="A26" s="120">
        <v>19</v>
      </c>
      <c r="B26" s="104">
        <f t="shared" si="0"/>
        <v>27888</v>
      </c>
      <c r="C26" s="76">
        <v>3</v>
      </c>
      <c r="D26" s="76">
        <v>9</v>
      </c>
      <c r="E26" s="76">
        <v>4</v>
      </c>
      <c r="F26" s="76">
        <v>6</v>
      </c>
      <c r="G26" s="76">
        <v>2</v>
      </c>
      <c r="H26" s="76">
        <v>7</v>
      </c>
      <c r="I26" s="13">
        <v>5</v>
      </c>
      <c r="J26" s="208">
        <v>4955792</v>
      </c>
      <c r="K26" s="143">
        <v>1</v>
      </c>
      <c r="L26" s="34">
        <v>777777.7</v>
      </c>
      <c r="M26" s="34">
        <v>45761.3</v>
      </c>
      <c r="N26" s="56">
        <v>5</v>
      </c>
      <c r="O26" s="57">
        <v>37</v>
      </c>
      <c r="P26" s="57">
        <v>436</v>
      </c>
      <c r="Q26" s="58">
        <v>4507</v>
      </c>
      <c r="R26" s="59">
        <v>45453</v>
      </c>
      <c r="V26" s="4"/>
    </row>
    <row r="27" spans="1:22" x14ac:dyDescent="0.15">
      <c r="A27" s="120">
        <v>20</v>
      </c>
      <c r="B27" s="104">
        <f t="shared" si="0"/>
        <v>27895</v>
      </c>
      <c r="C27" s="76">
        <v>1</v>
      </c>
      <c r="D27" s="76">
        <v>6</v>
      </c>
      <c r="E27" s="76">
        <v>5</v>
      </c>
      <c r="F27" s="76">
        <v>9</v>
      </c>
      <c r="G27" s="76">
        <v>0</v>
      </c>
      <c r="H27" s="76">
        <v>8</v>
      </c>
      <c r="I27" s="13">
        <v>0</v>
      </c>
      <c r="J27" s="208">
        <v>4897280</v>
      </c>
      <c r="K27" s="143" t="s">
        <v>23</v>
      </c>
      <c r="L27" s="34"/>
      <c r="M27" s="34">
        <v>426660.9</v>
      </c>
      <c r="N27" s="56">
        <v>7</v>
      </c>
      <c r="O27" s="57">
        <v>40</v>
      </c>
      <c r="P27" s="57">
        <v>437</v>
      </c>
      <c r="Q27" s="58">
        <v>4210</v>
      </c>
      <c r="R27" s="59">
        <v>43043</v>
      </c>
      <c r="V27" s="4"/>
    </row>
    <row r="28" spans="1:22" x14ac:dyDescent="0.15">
      <c r="A28" s="120">
        <v>21</v>
      </c>
      <c r="B28" s="104">
        <f t="shared" si="0"/>
        <v>27902</v>
      </c>
      <c r="C28" s="76">
        <v>5</v>
      </c>
      <c r="D28" s="76">
        <v>4</v>
      </c>
      <c r="E28" s="76">
        <v>4</v>
      </c>
      <c r="F28" s="76">
        <v>5</v>
      </c>
      <c r="G28" s="76">
        <v>2</v>
      </c>
      <c r="H28" s="76">
        <v>2</v>
      </c>
      <c r="I28" s="13">
        <v>0</v>
      </c>
      <c r="J28" s="208">
        <v>4806063</v>
      </c>
      <c r="K28" s="143" t="s">
        <v>23</v>
      </c>
      <c r="L28" s="34"/>
      <c r="M28" s="18">
        <v>800465.8</v>
      </c>
      <c r="N28" s="56">
        <v>3</v>
      </c>
      <c r="O28" s="57">
        <v>51</v>
      </c>
      <c r="P28" s="57">
        <v>385</v>
      </c>
      <c r="Q28" s="58">
        <v>4249</v>
      </c>
      <c r="R28" s="59">
        <v>42091</v>
      </c>
      <c r="V28" s="4"/>
    </row>
    <row r="29" spans="1:22" x14ac:dyDescent="0.15">
      <c r="A29" s="120">
        <v>22</v>
      </c>
      <c r="B29" s="104">
        <f t="shared" si="0"/>
        <v>27909</v>
      </c>
      <c r="C29" s="76">
        <v>5</v>
      </c>
      <c r="D29" s="76">
        <v>8</v>
      </c>
      <c r="E29" s="76">
        <v>1</v>
      </c>
      <c r="F29" s="76">
        <v>3</v>
      </c>
      <c r="G29" s="76">
        <v>0</v>
      </c>
      <c r="H29" s="76">
        <v>3</v>
      </c>
      <c r="I29" s="13">
        <v>9</v>
      </c>
      <c r="J29" s="208">
        <v>4722655</v>
      </c>
      <c r="K29" s="143" t="s">
        <v>23</v>
      </c>
      <c r="L29" s="34"/>
      <c r="M29" s="18">
        <v>1167783.3999999999</v>
      </c>
      <c r="N29" s="56">
        <v>1</v>
      </c>
      <c r="O29" s="57">
        <v>40</v>
      </c>
      <c r="P29" s="57">
        <v>413</v>
      </c>
      <c r="Q29" s="58">
        <v>4262</v>
      </c>
      <c r="R29" s="59">
        <v>44038</v>
      </c>
      <c r="V29" s="4"/>
    </row>
    <row r="30" spans="1:22" x14ac:dyDescent="0.15">
      <c r="A30" s="120">
        <v>23</v>
      </c>
      <c r="B30" s="104">
        <f t="shared" si="0"/>
        <v>27916</v>
      </c>
      <c r="C30" s="76">
        <v>5</v>
      </c>
      <c r="D30" s="76">
        <v>3</v>
      </c>
      <c r="E30" s="76">
        <v>9</v>
      </c>
      <c r="F30" s="76">
        <v>0</v>
      </c>
      <c r="G30" s="76">
        <v>7</v>
      </c>
      <c r="H30" s="76">
        <v>5</v>
      </c>
      <c r="I30" s="13">
        <v>8</v>
      </c>
      <c r="J30" s="208">
        <v>5146302</v>
      </c>
      <c r="K30" s="143" t="s">
        <v>23</v>
      </c>
      <c r="L30" s="34"/>
      <c r="M30" s="34">
        <v>1568051.3</v>
      </c>
      <c r="N30" s="56">
        <v>7</v>
      </c>
      <c r="O30" s="57">
        <v>47</v>
      </c>
      <c r="P30" s="57">
        <v>428</v>
      </c>
      <c r="Q30" s="58">
        <v>4634</v>
      </c>
      <c r="R30" s="59">
        <v>45532</v>
      </c>
      <c r="V30" s="4"/>
    </row>
    <row r="31" spans="1:22" x14ac:dyDescent="0.15">
      <c r="A31" s="120">
        <v>24</v>
      </c>
      <c r="B31" s="104">
        <f t="shared" si="0"/>
        <v>27923</v>
      </c>
      <c r="C31" s="76">
        <v>2</v>
      </c>
      <c r="D31" s="76">
        <v>9</v>
      </c>
      <c r="E31" s="76">
        <v>8</v>
      </c>
      <c r="F31" s="76">
        <v>4</v>
      </c>
      <c r="G31" s="76">
        <v>9</v>
      </c>
      <c r="H31" s="76">
        <v>0</v>
      </c>
      <c r="I31" s="13">
        <v>3</v>
      </c>
      <c r="J31" s="208">
        <v>4577116</v>
      </c>
      <c r="K31" s="143">
        <v>1</v>
      </c>
      <c r="L31" s="34">
        <v>1777777.7</v>
      </c>
      <c r="M31" s="18">
        <v>146271.5</v>
      </c>
      <c r="N31" s="56">
        <v>5</v>
      </c>
      <c r="O31" s="57">
        <v>47</v>
      </c>
      <c r="P31" s="57">
        <v>370</v>
      </c>
      <c r="Q31" s="58">
        <v>4007</v>
      </c>
      <c r="R31" s="59">
        <v>40092</v>
      </c>
      <c r="V31" s="4"/>
    </row>
    <row r="32" spans="1:22" x14ac:dyDescent="0.15">
      <c r="A32" s="120">
        <v>25</v>
      </c>
      <c r="B32" s="104">
        <f t="shared" si="0"/>
        <v>27930</v>
      </c>
      <c r="C32" s="76">
        <v>8</v>
      </c>
      <c r="D32" s="76">
        <v>5</v>
      </c>
      <c r="E32" s="76">
        <v>6</v>
      </c>
      <c r="F32" s="76">
        <v>0</v>
      </c>
      <c r="G32" s="76">
        <v>6</v>
      </c>
      <c r="H32" s="76">
        <v>4</v>
      </c>
      <c r="I32" s="13">
        <v>3</v>
      </c>
      <c r="J32" s="208">
        <v>4589904</v>
      </c>
      <c r="K32" s="143" t="s">
        <v>23</v>
      </c>
      <c r="L32" s="34"/>
      <c r="M32" s="18">
        <v>503264</v>
      </c>
      <c r="N32" s="56">
        <v>4</v>
      </c>
      <c r="O32" s="57">
        <v>53</v>
      </c>
      <c r="P32" s="57">
        <v>420</v>
      </c>
      <c r="Q32" s="58">
        <v>4347</v>
      </c>
      <c r="R32" s="59">
        <v>42323</v>
      </c>
      <c r="V32" s="4"/>
    </row>
    <row r="33" spans="1:22" x14ac:dyDescent="0.15">
      <c r="A33" s="120">
        <v>26</v>
      </c>
      <c r="B33" s="104">
        <f t="shared" si="0"/>
        <v>27937</v>
      </c>
      <c r="C33" s="76">
        <v>3</v>
      </c>
      <c r="D33" s="76">
        <v>4</v>
      </c>
      <c r="E33" s="76">
        <v>2</v>
      </c>
      <c r="F33" s="76">
        <v>1</v>
      </c>
      <c r="G33" s="76">
        <v>7</v>
      </c>
      <c r="H33" s="76">
        <v>0</v>
      </c>
      <c r="I33" s="13">
        <v>4</v>
      </c>
      <c r="J33" s="208">
        <v>5151051</v>
      </c>
      <c r="K33" s="143">
        <v>1</v>
      </c>
      <c r="L33" s="34">
        <v>877777.7</v>
      </c>
      <c r="M33" s="18">
        <v>26123.599999999999</v>
      </c>
      <c r="N33" s="56">
        <v>5</v>
      </c>
      <c r="O33" s="57">
        <v>49</v>
      </c>
      <c r="P33" s="57">
        <v>456</v>
      </c>
      <c r="Q33" s="58">
        <v>4515</v>
      </c>
      <c r="R33" s="59">
        <v>44309</v>
      </c>
      <c r="V33" s="4"/>
    </row>
    <row r="34" spans="1:22" x14ac:dyDescent="0.15">
      <c r="A34" s="120">
        <v>27</v>
      </c>
      <c r="B34" s="104">
        <f t="shared" si="0"/>
        <v>27944</v>
      </c>
      <c r="C34" s="76">
        <v>9</v>
      </c>
      <c r="D34" s="76">
        <v>3</v>
      </c>
      <c r="E34" s="76">
        <v>4</v>
      </c>
      <c r="F34" s="76">
        <v>1</v>
      </c>
      <c r="G34" s="76">
        <v>6</v>
      </c>
      <c r="H34" s="76">
        <v>3</v>
      </c>
      <c r="I34" s="113">
        <v>0</v>
      </c>
      <c r="J34" s="208">
        <v>6530773</v>
      </c>
      <c r="K34" s="143">
        <v>1</v>
      </c>
      <c r="L34" s="34">
        <v>477777.7</v>
      </c>
      <c r="M34" s="117">
        <v>56294.9</v>
      </c>
      <c r="N34" s="56">
        <v>6</v>
      </c>
      <c r="O34" s="57">
        <v>64</v>
      </c>
      <c r="P34" s="57">
        <v>566</v>
      </c>
      <c r="Q34" s="58">
        <v>5774</v>
      </c>
      <c r="R34" s="59">
        <v>58429</v>
      </c>
      <c r="V34" s="4"/>
    </row>
    <row r="35" spans="1:22" x14ac:dyDescent="0.15">
      <c r="A35" s="120">
        <v>28</v>
      </c>
      <c r="B35" s="104">
        <f t="shared" si="0"/>
        <v>27951</v>
      </c>
      <c r="C35" s="76">
        <v>1</v>
      </c>
      <c r="D35" s="76">
        <v>9</v>
      </c>
      <c r="E35" s="76">
        <v>7</v>
      </c>
      <c r="F35" s="76">
        <v>2</v>
      </c>
      <c r="G35" s="76">
        <v>7</v>
      </c>
      <c r="H35" s="76">
        <v>3</v>
      </c>
      <c r="I35" s="13">
        <v>5</v>
      </c>
      <c r="J35" s="208">
        <v>6432417</v>
      </c>
      <c r="K35" s="143" t="s">
        <v>23</v>
      </c>
      <c r="L35" s="34"/>
      <c r="M35" s="18">
        <v>556594</v>
      </c>
      <c r="N35" s="56">
        <v>6</v>
      </c>
      <c r="O35" s="57">
        <v>51</v>
      </c>
      <c r="P35" s="57">
        <v>643</v>
      </c>
      <c r="Q35" s="58">
        <v>6056</v>
      </c>
      <c r="R35" s="59">
        <v>60216</v>
      </c>
      <c r="V35" s="4"/>
    </row>
    <row r="36" spans="1:22" x14ac:dyDescent="0.15">
      <c r="A36" s="120">
        <v>29</v>
      </c>
      <c r="B36" s="104">
        <f t="shared" si="0"/>
        <v>27958</v>
      </c>
      <c r="C36" s="76">
        <v>5</v>
      </c>
      <c r="D36" s="76">
        <v>3</v>
      </c>
      <c r="E36" s="76">
        <v>5</v>
      </c>
      <c r="F36" s="76">
        <v>7</v>
      </c>
      <c r="G36" s="76">
        <v>0</v>
      </c>
      <c r="H36" s="76">
        <v>2</v>
      </c>
      <c r="I36" s="113">
        <v>0</v>
      </c>
      <c r="J36" s="208">
        <v>6325941</v>
      </c>
      <c r="K36" s="143" t="s">
        <v>23</v>
      </c>
      <c r="L36" s="34"/>
      <c r="M36" s="34">
        <v>1048611.6000000001</v>
      </c>
      <c r="N36" s="56">
        <v>8</v>
      </c>
      <c r="O36" s="57">
        <v>49</v>
      </c>
      <c r="P36" s="57">
        <v>566</v>
      </c>
      <c r="Q36" s="58">
        <v>5496</v>
      </c>
      <c r="R36" s="59">
        <v>55819</v>
      </c>
      <c r="V36" s="4"/>
    </row>
    <row r="37" spans="1:22" x14ac:dyDescent="0.15">
      <c r="A37" s="120">
        <v>30</v>
      </c>
      <c r="B37" s="104">
        <f t="shared" si="0"/>
        <v>27965</v>
      </c>
      <c r="C37" s="76">
        <v>0</v>
      </c>
      <c r="D37" s="76">
        <v>1</v>
      </c>
      <c r="E37" s="76">
        <v>7</v>
      </c>
      <c r="F37" s="76">
        <v>4</v>
      </c>
      <c r="G37" s="76">
        <v>9</v>
      </c>
      <c r="H37" s="76">
        <v>7</v>
      </c>
      <c r="I37" s="13">
        <v>5</v>
      </c>
      <c r="J37" s="208">
        <v>6265631</v>
      </c>
      <c r="K37" s="143">
        <v>1</v>
      </c>
      <c r="L37" s="34">
        <v>1477777.7</v>
      </c>
      <c r="M37" s="18">
        <v>58160.7</v>
      </c>
      <c r="N37" s="56">
        <v>5</v>
      </c>
      <c r="O37" s="57">
        <v>60</v>
      </c>
      <c r="P37" s="57">
        <v>563</v>
      </c>
      <c r="Q37" s="58">
        <v>5735</v>
      </c>
      <c r="R37" s="59">
        <v>57309</v>
      </c>
      <c r="V37" s="4"/>
    </row>
    <row r="38" spans="1:22" x14ac:dyDescent="0.15">
      <c r="A38" s="120">
        <v>31</v>
      </c>
      <c r="B38" s="104">
        <f t="shared" si="0"/>
        <v>27972</v>
      </c>
      <c r="C38" s="76">
        <v>9</v>
      </c>
      <c r="D38" s="76">
        <v>4</v>
      </c>
      <c r="E38" s="76">
        <v>5</v>
      </c>
      <c r="F38" s="76">
        <v>8</v>
      </c>
      <c r="G38" s="76">
        <v>1</v>
      </c>
      <c r="H38" s="76">
        <v>0</v>
      </c>
      <c r="I38" s="13">
        <v>3</v>
      </c>
      <c r="J38" s="208">
        <v>6300316</v>
      </c>
      <c r="K38" s="143" t="s">
        <v>23</v>
      </c>
      <c r="L38" s="34"/>
      <c r="M38" s="18">
        <v>548185.30000000005</v>
      </c>
      <c r="N38" s="56">
        <v>4</v>
      </c>
      <c r="O38" s="57">
        <v>43</v>
      </c>
      <c r="P38" s="57">
        <v>584</v>
      </c>
      <c r="Q38" s="58">
        <v>5672</v>
      </c>
      <c r="R38" s="59">
        <v>55358</v>
      </c>
      <c r="V38" s="4"/>
    </row>
    <row r="39" spans="1:22" x14ac:dyDescent="0.15">
      <c r="A39" s="120">
        <v>32</v>
      </c>
      <c r="B39" s="104">
        <f t="shared" si="0"/>
        <v>27979</v>
      </c>
      <c r="C39" s="76">
        <v>1</v>
      </c>
      <c r="D39" s="76">
        <v>1</v>
      </c>
      <c r="E39" s="76">
        <v>8</v>
      </c>
      <c r="F39" s="76">
        <v>1</v>
      </c>
      <c r="G39" s="76">
        <v>9</v>
      </c>
      <c r="H39" s="76">
        <v>3</v>
      </c>
      <c r="I39" s="13">
        <v>1</v>
      </c>
      <c r="J39" s="208">
        <v>6388356</v>
      </c>
      <c r="K39" s="143">
        <v>2</v>
      </c>
      <c r="L39" s="34">
        <v>477777.7</v>
      </c>
      <c r="M39" s="18">
        <v>89502</v>
      </c>
      <c r="N39" s="56">
        <v>8</v>
      </c>
      <c r="O39" s="57">
        <v>51</v>
      </c>
      <c r="P39" s="57">
        <v>586</v>
      </c>
      <c r="Q39" s="58">
        <v>5849</v>
      </c>
      <c r="R39" s="59">
        <v>59668</v>
      </c>
      <c r="V39" s="4"/>
    </row>
    <row r="40" spans="1:22" x14ac:dyDescent="0.15">
      <c r="A40" s="120">
        <v>33</v>
      </c>
      <c r="B40" s="104">
        <f t="shared" si="0"/>
        <v>27986</v>
      </c>
      <c r="C40" s="76">
        <v>9</v>
      </c>
      <c r="D40" s="76">
        <v>5</v>
      </c>
      <c r="E40" s="76">
        <v>6</v>
      </c>
      <c r="F40" s="76">
        <v>2</v>
      </c>
      <c r="G40" s="76">
        <v>1</v>
      </c>
      <c r="H40" s="76">
        <v>3</v>
      </c>
      <c r="I40" s="13">
        <v>1</v>
      </c>
      <c r="J40" s="208">
        <v>6370284</v>
      </c>
      <c r="K40" s="143" t="s">
        <v>23</v>
      </c>
      <c r="L40" s="34"/>
      <c r="M40" s="18">
        <v>584968.5</v>
      </c>
      <c r="N40" s="56">
        <v>3</v>
      </c>
      <c r="O40" s="57">
        <v>65</v>
      </c>
      <c r="P40" s="57">
        <v>572</v>
      </c>
      <c r="Q40" s="58">
        <v>5567</v>
      </c>
      <c r="R40" s="59">
        <v>55743</v>
      </c>
      <c r="V40" s="4"/>
    </row>
    <row r="41" spans="1:22" x14ac:dyDescent="0.15">
      <c r="A41" s="120">
        <v>34</v>
      </c>
      <c r="B41" s="104">
        <f t="shared" ref="B41:B58" si="1">B40+7</f>
        <v>27993</v>
      </c>
      <c r="C41" s="76">
        <v>4</v>
      </c>
      <c r="D41" s="76">
        <v>7</v>
      </c>
      <c r="E41" s="76">
        <v>4</v>
      </c>
      <c r="F41" s="76">
        <v>0</v>
      </c>
      <c r="G41" s="76">
        <v>9</v>
      </c>
      <c r="H41" s="14">
        <v>8</v>
      </c>
      <c r="I41" s="14">
        <v>7</v>
      </c>
      <c r="J41" s="208">
        <v>6319157</v>
      </c>
      <c r="K41" s="143">
        <v>1</v>
      </c>
      <c r="L41" s="34">
        <v>977777.7</v>
      </c>
      <c r="M41" s="18">
        <v>98680.8</v>
      </c>
      <c r="N41" s="56">
        <v>3</v>
      </c>
      <c r="O41" s="57">
        <v>60</v>
      </c>
      <c r="P41" s="57">
        <v>565</v>
      </c>
      <c r="Q41" s="58">
        <v>5785</v>
      </c>
      <c r="R41" s="59">
        <v>56782</v>
      </c>
      <c r="V41" s="4"/>
    </row>
    <row r="42" spans="1:22" s="90" customFormat="1" x14ac:dyDescent="0.15">
      <c r="A42" s="120">
        <v>35</v>
      </c>
      <c r="B42" s="104">
        <f t="shared" si="1"/>
        <v>28000</v>
      </c>
      <c r="C42" s="76">
        <v>5</v>
      </c>
      <c r="D42" s="76">
        <v>3</v>
      </c>
      <c r="E42" s="76">
        <v>9</v>
      </c>
      <c r="F42" s="76">
        <v>5</v>
      </c>
      <c r="G42" s="76">
        <v>5</v>
      </c>
      <c r="H42" s="115">
        <v>1</v>
      </c>
      <c r="I42" s="13">
        <v>9</v>
      </c>
      <c r="J42" s="208">
        <v>6541176</v>
      </c>
      <c r="K42" s="143" t="s">
        <v>23</v>
      </c>
      <c r="L42" s="34"/>
      <c r="M42" s="34">
        <v>629661.19999999995</v>
      </c>
      <c r="N42" s="56">
        <v>4</v>
      </c>
      <c r="O42" s="57">
        <v>57</v>
      </c>
      <c r="P42" s="57">
        <v>597</v>
      </c>
      <c r="Q42" s="58">
        <v>5965</v>
      </c>
      <c r="R42" s="59">
        <v>59068</v>
      </c>
      <c r="S42" s="91"/>
      <c r="V42" s="100"/>
    </row>
    <row r="43" spans="1:22" s="90" customFormat="1" x14ac:dyDescent="0.15">
      <c r="A43" s="120">
        <v>36</v>
      </c>
      <c r="B43" s="104">
        <f t="shared" si="1"/>
        <v>28007</v>
      </c>
      <c r="C43" s="103">
        <v>0</v>
      </c>
      <c r="D43" s="103">
        <v>9</v>
      </c>
      <c r="E43" s="103">
        <v>6</v>
      </c>
      <c r="F43" s="103">
        <v>5</v>
      </c>
      <c r="G43" s="103">
        <v>6</v>
      </c>
      <c r="H43" s="115">
        <v>0</v>
      </c>
      <c r="I43" s="113">
        <v>7</v>
      </c>
      <c r="J43" s="208">
        <v>6658199</v>
      </c>
      <c r="K43" s="191">
        <v>1</v>
      </c>
      <c r="L43" s="34">
        <v>1077777.7</v>
      </c>
      <c r="M43" s="18">
        <v>69743.399999999994</v>
      </c>
      <c r="N43" s="56">
        <v>10</v>
      </c>
      <c r="O43" s="57">
        <v>67</v>
      </c>
      <c r="P43" s="57">
        <v>628</v>
      </c>
      <c r="Q43" s="58">
        <v>6062</v>
      </c>
      <c r="R43" s="59">
        <v>61261</v>
      </c>
      <c r="S43" s="91"/>
      <c r="V43" s="100"/>
    </row>
    <row r="44" spans="1:22" s="90" customFormat="1" x14ac:dyDescent="0.15">
      <c r="A44" s="120">
        <v>37</v>
      </c>
      <c r="B44" s="104">
        <f t="shared" si="1"/>
        <v>28014</v>
      </c>
      <c r="C44" s="103">
        <v>4</v>
      </c>
      <c r="D44" s="103">
        <v>9</v>
      </c>
      <c r="E44" s="103">
        <v>8</v>
      </c>
      <c r="F44" s="103">
        <v>4</v>
      </c>
      <c r="G44" s="103">
        <v>7</v>
      </c>
      <c r="H44" s="115">
        <v>7</v>
      </c>
      <c r="I44" s="13">
        <v>9</v>
      </c>
      <c r="J44" s="208">
        <v>6537356</v>
      </c>
      <c r="K44" s="143" t="s">
        <v>23</v>
      </c>
      <c r="L44" s="34"/>
      <c r="M44" s="18">
        <v>578204.4</v>
      </c>
      <c r="N44" s="56">
        <v>5</v>
      </c>
      <c r="O44" s="57">
        <v>60</v>
      </c>
      <c r="P44" s="57">
        <v>586</v>
      </c>
      <c r="Q44" s="58">
        <v>6025</v>
      </c>
      <c r="R44" s="59">
        <v>60355</v>
      </c>
      <c r="S44" s="91"/>
      <c r="V44" s="100"/>
    </row>
    <row r="45" spans="1:22" s="90" customFormat="1" x14ac:dyDescent="0.15">
      <c r="A45" s="120">
        <v>38</v>
      </c>
      <c r="B45" s="104">
        <f t="shared" si="1"/>
        <v>28021</v>
      </c>
      <c r="C45" s="76">
        <v>2</v>
      </c>
      <c r="D45" s="76">
        <v>5</v>
      </c>
      <c r="E45" s="76">
        <v>8</v>
      </c>
      <c r="F45" s="76">
        <v>3</v>
      </c>
      <c r="G45" s="76">
        <v>0</v>
      </c>
      <c r="H45" s="76">
        <v>1</v>
      </c>
      <c r="I45" s="13">
        <v>1</v>
      </c>
      <c r="J45" s="208">
        <v>7229779</v>
      </c>
      <c r="K45" s="190">
        <v>1</v>
      </c>
      <c r="L45" s="34">
        <v>1077777.7</v>
      </c>
      <c r="M45" s="18">
        <v>62742.8</v>
      </c>
      <c r="N45" s="56">
        <v>12</v>
      </c>
      <c r="O45" s="57">
        <v>80</v>
      </c>
      <c r="P45" s="57">
        <v>627</v>
      </c>
      <c r="Q45" s="58">
        <v>6460</v>
      </c>
      <c r="R45" s="59">
        <v>65086</v>
      </c>
      <c r="S45" s="91"/>
      <c r="V45" s="100"/>
    </row>
    <row r="46" spans="1:22" s="90" customFormat="1" x14ac:dyDescent="0.15">
      <c r="A46" s="120">
        <v>39</v>
      </c>
      <c r="B46" s="104">
        <f t="shared" si="1"/>
        <v>28028</v>
      </c>
      <c r="C46" s="76">
        <v>8</v>
      </c>
      <c r="D46" s="76">
        <v>5</v>
      </c>
      <c r="E46" s="76">
        <v>6</v>
      </c>
      <c r="F46" s="76">
        <v>4</v>
      </c>
      <c r="G46" s="76">
        <v>1</v>
      </c>
      <c r="H46" s="76">
        <v>7</v>
      </c>
      <c r="I46" s="13">
        <v>8</v>
      </c>
      <c r="J46" s="208">
        <v>6807150</v>
      </c>
      <c r="K46" s="190">
        <v>2</v>
      </c>
      <c r="L46" s="34">
        <v>277777.7</v>
      </c>
      <c r="M46" s="18">
        <v>36632.400000000001</v>
      </c>
      <c r="N46" s="56">
        <v>8</v>
      </c>
      <c r="O46" s="57">
        <v>51</v>
      </c>
      <c r="P46" s="57">
        <v>610</v>
      </c>
      <c r="Q46" s="58">
        <v>6195</v>
      </c>
      <c r="R46" s="59">
        <v>61112</v>
      </c>
      <c r="S46" s="91"/>
      <c r="V46" s="100"/>
    </row>
    <row r="47" spans="1:22" s="90" customFormat="1" x14ac:dyDescent="0.15">
      <c r="A47" s="120">
        <v>40</v>
      </c>
      <c r="B47" s="104">
        <f t="shared" si="1"/>
        <v>28035</v>
      </c>
      <c r="C47" s="76">
        <v>6</v>
      </c>
      <c r="D47" s="76">
        <v>8</v>
      </c>
      <c r="E47" s="76">
        <v>6</v>
      </c>
      <c r="F47" s="76">
        <v>9</v>
      </c>
      <c r="G47" s="76">
        <v>5</v>
      </c>
      <c r="H47" s="76">
        <v>3</v>
      </c>
      <c r="I47" s="13">
        <v>2</v>
      </c>
      <c r="J47" s="208">
        <v>7032615</v>
      </c>
      <c r="K47" s="143" t="s">
        <v>23</v>
      </c>
      <c r="L47" s="34"/>
      <c r="M47" s="18">
        <v>583613.6</v>
      </c>
      <c r="N47" s="56">
        <v>7</v>
      </c>
      <c r="O47" s="57">
        <v>66</v>
      </c>
      <c r="P47" s="57">
        <v>638</v>
      </c>
      <c r="Q47" s="58">
        <v>6069</v>
      </c>
      <c r="R47" s="59">
        <v>61736</v>
      </c>
      <c r="S47" s="91"/>
      <c r="V47" s="100"/>
    </row>
    <row r="48" spans="1:22" s="90" customFormat="1" x14ac:dyDescent="0.15">
      <c r="A48" s="120">
        <v>41</v>
      </c>
      <c r="B48" s="104">
        <f t="shared" si="1"/>
        <v>28042</v>
      </c>
      <c r="C48" s="76">
        <v>1</v>
      </c>
      <c r="D48" s="76">
        <v>2</v>
      </c>
      <c r="E48" s="76">
        <v>0</v>
      </c>
      <c r="F48" s="76">
        <v>9</v>
      </c>
      <c r="G48" s="76">
        <v>1</v>
      </c>
      <c r="H48" s="76">
        <v>2</v>
      </c>
      <c r="I48" s="13">
        <v>3</v>
      </c>
      <c r="J48" s="208">
        <v>7289319</v>
      </c>
      <c r="K48" s="190">
        <v>2</v>
      </c>
      <c r="L48" s="34">
        <v>477777.7</v>
      </c>
      <c r="M48" s="18">
        <v>195005.2</v>
      </c>
      <c r="N48" s="56">
        <v>6</v>
      </c>
      <c r="O48" s="57">
        <v>66</v>
      </c>
      <c r="P48" s="57">
        <v>699</v>
      </c>
      <c r="Q48" s="58">
        <v>6800</v>
      </c>
      <c r="R48" s="59">
        <v>67698</v>
      </c>
      <c r="S48" s="91"/>
      <c r="V48" s="100"/>
    </row>
    <row r="49" spans="1:22" s="90" customFormat="1" x14ac:dyDescent="0.15">
      <c r="A49" s="120">
        <v>42</v>
      </c>
      <c r="B49" s="104">
        <f t="shared" si="1"/>
        <v>28049</v>
      </c>
      <c r="C49" s="76">
        <v>2</v>
      </c>
      <c r="D49" s="76">
        <v>8</v>
      </c>
      <c r="E49" s="76">
        <v>5</v>
      </c>
      <c r="F49" s="76">
        <v>1</v>
      </c>
      <c r="G49" s="76">
        <v>9</v>
      </c>
      <c r="H49" s="76">
        <v>9</v>
      </c>
      <c r="I49" s="13">
        <v>5</v>
      </c>
      <c r="J49" s="208">
        <v>7384940</v>
      </c>
      <c r="K49" s="143" t="s">
        <v>23</v>
      </c>
      <c r="L49" s="34"/>
      <c r="M49" s="18">
        <v>769389.4</v>
      </c>
      <c r="N49" s="56">
        <v>5</v>
      </c>
      <c r="O49" s="57">
        <v>73</v>
      </c>
      <c r="P49" s="57">
        <v>676</v>
      </c>
      <c r="Q49" s="58">
        <v>6512</v>
      </c>
      <c r="R49" s="59">
        <v>66619</v>
      </c>
      <c r="S49" s="91"/>
      <c r="V49" s="100"/>
    </row>
    <row r="50" spans="1:22" s="90" customFormat="1" x14ac:dyDescent="0.15">
      <c r="A50" s="120">
        <v>43</v>
      </c>
      <c r="B50" s="104">
        <f t="shared" si="1"/>
        <v>28056</v>
      </c>
      <c r="C50" s="76">
        <v>5</v>
      </c>
      <c r="D50" s="76">
        <v>0</v>
      </c>
      <c r="E50" s="76">
        <v>9</v>
      </c>
      <c r="F50" s="76">
        <v>8</v>
      </c>
      <c r="G50" s="76">
        <v>6</v>
      </c>
      <c r="H50" s="76">
        <v>6</v>
      </c>
      <c r="I50" s="13">
        <v>7</v>
      </c>
      <c r="J50" s="208">
        <v>7395189</v>
      </c>
      <c r="K50" s="143" t="s">
        <v>23</v>
      </c>
      <c r="L50" s="34"/>
      <c r="M50" s="18">
        <v>1344570.8</v>
      </c>
      <c r="N50" s="56">
        <v>5</v>
      </c>
      <c r="O50" s="57">
        <v>74</v>
      </c>
      <c r="P50" s="57">
        <v>647</v>
      </c>
      <c r="Q50" s="58">
        <v>6869</v>
      </c>
      <c r="R50" s="59">
        <v>67470</v>
      </c>
      <c r="S50" s="91"/>
      <c r="V50" s="100"/>
    </row>
    <row r="51" spans="1:22" s="90" customFormat="1" x14ac:dyDescent="0.15">
      <c r="A51" s="120">
        <v>44</v>
      </c>
      <c r="B51" s="104">
        <f t="shared" si="1"/>
        <v>28063</v>
      </c>
      <c r="C51" s="76">
        <v>6</v>
      </c>
      <c r="D51" s="76">
        <v>0</v>
      </c>
      <c r="E51" s="76">
        <v>3</v>
      </c>
      <c r="F51" s="76">
        <v>9</v>
      </c>
      <c r="G51" s="76">
        <v>6</v>
      </c>
      <c r="H51" s="76">
        <v>0</v>
      </c>
      <c r="I51" s="13">
        <v>3</v>
      </c>
      <c r="J51" s="208">
        <v>7610748</v>
      </c>
      <c r="K51" s="143" t="s">
        <v>23</v>
      </c>
      <c r="L51" s="34"/>
      <c r="M51" s="34">
        <v>1936517.9</v>
      </c>
      <c r="N51" s="56">
        <v>13</v>
      </c>
      <c r="O51" s="57">
        <v>76</v>
      </c>
      <c r="P51" s="57">
        <v>705</v>
      </c>
      <c r="Q51" s="58">
        <v>6967</v>
      </c>
      <c r="R51" s="59">
        <v>68474</v>
      </c>
      <c r="S51" s="91"/>
      <c r="V51" s="100"/>
    </row>
    <row r="52" spans="1:22" s="90" customFormat="1" x14ac:dyDescent="0.15">
      <c r="A52" s="120">
        <v>45</v>
      </c>
      <c r="B52" s="104">
        <f t="shared" si="1"/>
        <v>28070</v>
      </c>
      <c r="C52" s="76">
        <v>2</v>
      </c>
      <c r="D52" s="76">
        <v>7</v>
      </c>
      <c r="E52" s="76">
        <v>3</v>
      </c>
      <c r="F52" s="76">
        <v>2</v>
      </c>
      <c r="G52" s="76">
        <v>9</v>
      </c>
      <c r="H52" s="76">
        <v>8</v>
      </c>
      <c r="I52" s="13">
        <v>2</v>
      </c>
      <c r="J52" s="208">
        <v>7718800</v>
      </c>
      <c r="K52" s="143" t="s">
        <v>23</v>
      </c>
      <c r="L52" s="34"/>
      <c r="M52" s="18">
        <v>2536869</v>
      </c>
      <c r="N52" s="56">
        <v>3</v>
      </c>
      <c r="O52" s="57">
        <v>74</v>
      </c>
      <c r="P52" s="57">
        <v>633</v>
      </c>
      <c r="Q52" s="58">
        <v>6975</v>
      </c>
      <c r="R52" s="59">
        <v>69064</v>
      </c>
      <c r="S52" s="91"/>
    </row>
    <row r="53" spans="1:22" s="90" customFormat="1" x14ac:dyDescent="0.15">
      <c r="A53" s="120">
        <v>46</v>
      </c>
      <c r="B53" s="104">
        <f t="shared" si="1"/>
        <v>28077</v>
      </c>
      <c r="C53" s="76">
        <v>2</v>
      </c>
      <c r="D53" s="76">
        <v>1</v>
      </c>
      <c r="E53" s="76">
        <v>3</v>
      </c>
      <c r="F53" s="76">
        <v>6</v>
      </c>
      <c r="G53" s="76">
        <v>2</v>
      </c>
      <c r="H53" s="76">
        <v>6</v>
      </c>
      <c r="I53" s="13">
        <v>4</v>
      </c>
      <c r="J53" s="208">
        <v>8009996</v>
      </c>
      <c r="K53" s="190">
        <v>1</v>
      </c>
      <c r="L53" s="34">
        <v>1777777.7</v>
      </c>
      <c r="M53" s="18">
        <v>1382091</v>
      </c>
      <c r="N53" s="56">
        <v>10</v>
      </c>
      <c r="O53" s="57">
        <v>72</v>
      </c>
      <c r="P53" s="57">
        <v>701</v>
      </c>
      <c r="Q53" s="58">
        <v>7062</v>
      </c>
      <c r="R53" s="59">
        <v>71558</v>
      </c>
      <c r="S53" s="91"/>
    </row>
    <row r="54" spans="1:22" s="90" customFormat="1" x14ac:dyDescent="0.15">
      <c r="A54" s="120">
        <v>47</v>
      </c>
      <c r="B54" s="104">
        <f t="shared" si="1"/>
        <v>28084</v>
      </c>
      <c r="C54" s="76">
        <v>4</v>
      </c>
      <c r="D54" s="76">
        <v>8</v>
      </c>
      <c r="E54" s="76">
        <v>6</v>
      </c>
      <c r="F54" s="76">
        <v>5</v>
      </c>
      <c r="G54" s="76">
        <v>5</v>
      </c>
      <c r="H54" s="76">
        <v>2</v>
      </c>
      <c r="I54" s="13">
        <v>7</v>
      </c>
      <c r="J54" s="208">
        <v>7653964</v>
      </c>
      <c r="K54" s="190">
        <v>1</v>
      </c>
      <c r="L54" s="34">
        <v>1777777.7</v>
      </c>
      <c r="M54" s="34">
        <v>199621.6</v>
      </c>
      <c r="N54" s="56">
        <v>4</v>
      </c>
      <c r="O54" s="57">
        <v>81</v>
      </c>
      <c r="P54" s="57">
        <v>653</v>
      </c>
      <c r="Q54" s="58">
        <v>7054</v>
      </c>
      <c r="R54" s="59">
        <v>70601</v>
      </c>
      <c r="S54" s="91"/>
    </row>
    <row r="55" spans="1:22" s="90" customFormat="1" x14ac:dyDescent="0.15">
      <c r="A55" s="120">
        <v>48</v>
      </c>
      <c r="B55" s="104">
        <f t="shared" si="1"/>
        <v>28091</v>
      </c>
      <c r="C55" s="76">
        <v>3</v>
      </c>
      <c r="D55" s="76">
        <v>3</v>
      </c>
      <c r="E55" s="76">
        <v>1</v>
      </c>
      <c r="F55" s="76">
        <v>5</v>
      </c>
      <c r="G55" s="76">
        <v>8</v>
      </c>
      <c r="H55" s="76">
        <v>1</v>
      </c>
      <c r="I55" s="13">
        <v>7</v>
      </c>
      <c r="J55" s="208">
        <v>8061647</v>
      </c>
      <c r="K55" s="143" t="s">
        <v>23</v>
      </c>
      <c r="L55" s="34"/>
      <c r="M55" s="18">
        <v>826638.6</v>
      </c>
      <c r="N55" s="56">
        <v>10</v>
      </c>
      <c r="O55" s="57">
        <v>62</v>
      </c>
      <c r="P55" s="57">
        <v>682</v>
      </c>
      <c r="Q55" s="58">
        <v>7366</v>
      </c>
      <c r="R55" s="59">
        <v>73089</v>
      </c>
      <c r="S55" s="91"/>
    </row>
    <row r="56" spans="1:22" s="90" customFormat="1" x14ac:dyDescent="0.15">
      <c r="A56" s="120">
        <v>49</v>
      </c>
      <c r="B56" s="104">
        <f t="shared" si="1"/>
        <v>28098</v>
      </c>
      <c r="C56" s="76">
        <v>7</v>
      </c>
      <c r="D56" s="76">
        <v>2</v>
      </c>
      <c r="E56" s="76">
        <v>9</v>
      </c>
      <c r="F56" s="76">
        <v>3</v>
      </c>
      <c r="G56" s="76">
        <v>6</v>
      </c>
      <c r="H56" s="76">
        <v>9</v>
      </c>
      <c r="I56" s="13">
        <v>0</v>
      </c>
      <c r="J56" s="208">
        <v>12457191</v>
      </c>
      <c r="K56" s="190">
        <v>3</v>
      </c>
      <c r="L56" s="34">
        <v>577777.69999999995</v>
      </c>
      <c r="M56" s="18">
        <v>62198.1</v>
      </c>
      <c r="N56" s="56">
        <v>13</v>
      </c>
      <c r="O56" s="57">
        <v>108</v>
      </c>
      <c r="P56" s="57">
        <v>1167</v>
      </c>
      <c r="Q56" s="58">
        <v>11122</v>
      </c>
      <c r="R56" s="59">
        <v>112839</v>
      </c>
      <c r="S56" s="91"/>
    </row>
    <row r="57" spans="1:22" s="90" customFormat="1" x14ac:dyDescent="0.15">
      <c r="A57" s="120">
        <v>50</v>
      </c>
      <c r="B57" s="104">
        <f t="shared" si="1"/>
        <v>28105</v>
      </c>
      <c r="C57" s="76">
        <v>9</v>
      </c>
      <c r="D57" s="76">
        <v>3</v>
      </c>
      <c r="E57" s="76">
        <v>1</v>
      </c>
      <c r="F57" s="76">
        <v>0</v>
      </c>
      <c r="G57" s="76">
        <v>9</v>
      </c>
      <c r="H57" s="76">
        <v>0</v>
      </c>
      <c r="I57" s="13">
        <v>4</v>
      </c>
      <c r="J57" s="208">
        <v>8613974</v>
      </c>
      <c r="K57" s="190">
        <v>2</v>
      </c>
      <c r="L57" s="34">
        <v>277777.7</v>
      </c>
      <c r="M57" s="18">
        <v>176618.4</v>
      </c>
      <c r="N57" s="56">
        <v>6</v>
      </c>
      <c r="O57" s="57">
        <v>67</v>
      </c>
      <c r="P57" s="57">
        <v>691</v>
      </c>
      <c r="Q57" s="58">
        <v>7296</v>
      </c>
      <c r="R57" s="59">
        <v>73796</v>
      </c>
      <c r="S57" s="91"/>
    </row>
    <row r="58" spans="1:22" s="90" customFormat="1" x14ac:dyDescent="0.15">
      <c r="A58" s="120">
        <v>51</v>
      </c>
      <c r="B58" s="104">
        <f t="shared" si="1"/>
        <v>28112</v>
      </c>
      <c r="C58" s="76">
        <v>6</v>
      </c>
      <c r="D58" s="76">
        <v>7</v>
      </c>
      <c r="E58" s="76">
        <v>5</v>
      </c>
      <c r="F58" s="76">
        <v>8</v>
      </c>
      <c r="G58" s="76">
        <v>5</v>
      </c>
      <c r="H58" s="76">
        <v>5</v>
      </c>
      <c r="I58" s="13">
        <v>4</v>
      </c>
      <c r="J58" s="208">
        <v>7461055</v>
      </c>
      <c r="K58" s="190">
        <v>2</v>
      </c>
      <c r="L58" s="34">
        <v>377777.7</v>
      </c>
      <c r="M58" s="34">
        <v>1367.3</v>
      </c>
      <c r="N58" s="56">
        <v>9</v>
      </c>
      <c r="O58" s="57">
        <v>69</v>
      </c>
      <c r="P58" s="57">
        <v>691</v>
      </c>
      <c r="Q58" s="58">
        <v>6728</v>
      </c>
      <c r="R58" s="59">
        <v>66910</v>
      </c>
      <c r="S58" s="91"/>
    </row>
    <row r="59" spans="1:22" s="122" customFormat="1" x14ac:dyDescent="0.15">
      <c r="A59" s="140">
        <v>52</v>
      </c>
      <c r="B59" s="79">
        <v>28119</v>
      </c>
      <c r="C59" s="141">
        <v>4</v>
      </c>
      <c r="D59" s="141">
        <v>6</v>
      </c>
      <c r="E59" s="141">
        <v>7</v>
      </c>
      <c r="F59" s="141">
        <v>8</v>
      </c>
      <c r="G59" s="141">
        <v>4</v>
      </c>
      <c r="H59" s="123">
        <v>1</v>
      </c>
      <c r="I59" s="123">
        <v>8</v>
      </c>
      <c r="J59" s="206">
        <v>7163632</v>
      </c>
      <c r="K59" s="192">
        <v>1</v>
      </c>
      <c r="L59" s="124">
        <v>477777.7</v>
      </c>
      <c r="M59" s="42">
        <v>80761</v>
      </c>
      <c r="N59" s="99">
        <v>7</v>
      </c>
      <c r="O59" s="62">
        <v>72</v>
      </c>
      <c r="P59" s="98">
        <v>715</v>
      </c>
      <c r="Q59" s="63">
        <v>6687</v>
      </c>
      <c r="R59" s="142">
        <v>66409</v>
      </c>
      <c r="S59" s="121"/>
    </row>
    <row r="60" spans="1:22" s="90" customFormat="1" x14ac:dyDescent="0.15">
      <c r="A60" s="101"/>
      <c r="B60" s="265"/>
      <c r="C60" s="97"/>
      <c r="D60" s="97"/>
      <c r="E60" s="97"/>
      <c r="F60" s="97"/>
      <c r="G60" s="97"/>
      <c r="H60" s="97" t="s">
        <v>24</v>
      </c>
      <c r="I60" s="97"/>
      <c r="J60" s="97"/>
      <c r="K60" s="262">
        <f>SUM(K8:K59)</f>
        <v>31</v>
      </c>
      <c r="L60" s="262"/>
      <c r="M60" s="262"/>
      <c r="N60" s="262">
        <f>SUM(N8:N59)</f>
        <v>287</v>
      </c>
      <c r="O60" s="262">
        <f>SUM(O8:O59)</f>
        <v>2757</v>
      </c>
      <c r="P60" s="262">
        <f>SUM(P8:P59)</f>
        <v>27150</v>
      </c>
      <c r="Q60" s="262">
        <f>SUM(Q8:Q59)</f>
        <v>273467</v>
      </c>
      <c r="R60" s="268">
        <f>SUM(R8:R59)</f>
        <v>2737763</v>
      </c>
      <c r="S60" s="91"/>
    </row>
    <row r="61" spans="1:22" s="90" customFormat="1" x14ac:dyDescent="0.15">
      <c r="A61" s="81"/>
      <c r="B61" s="82"/>
      <c r="C61" s="76"/>
      <c r="D61" s="76"/>
      <c r="E61" s="76"/>
      <c r="F61" s="76"/>
      <c r="G61" s="76"/>
      <c r="H61" s="76"/>
      <c r="I61" s="76"/>
      <c r="J61" s="83"/>
      <c r="K61" s="77"/>
      <c r="L61" s="84"/>
      <c r="M61" s="85"/>
      <c r="N61" s="86"/>
      <c r="O61" s="87"/>
      <c r="P61" s="87"/>
      <c r="Q61" s="88"/>
      <c r="R61" s="89"/>
      <c r="S61" s="91"/>
    </row>
    <row r="62" spans="1:22" s="90" customFormat="1" x14ac:dyDescent="0.15">
      <c r="A62" s="81"/>
      <c r="B62" s="82"/>
      <c r="C62" s="103"/>
      <c r="D62" s="103"/>
      <c r="E62" s="103"/>
      <c r="F62" s="103"/>
      <c r="G62" s="103"/>
      <c r="H62" s="103"/>
      <c r="I62" s="92"/>
      <c r="J62" s="83"/>
      <c r="K62" s="77"/>
      <c r="L62" s="9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92"/>
      <c r="D64" s="92"/>
      <c r="E64" s="92"/>
      <c r="F64" s="92"/>
      <c r="G64" s="92"/>
      <c r="H64" s="92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92"/>
      <c r="C65" s="92"/>
      <c r="D65" s="92"/>
      <c r="E65" s="92"/>
      <c r="F65" s="92"/>
      <c r="G65" s="92"/>
      <c r="H65" s="92"/>
      <c r="I65" s="92"/>
      <c r="J65" s="92"/>
      <c r="K65" s="93"/>
      <c r="L65" s="93"/>
      <c r="M65" s="93"/>
      <c r="N65" s="93"/>
      <c r="O65" s="93"/>
      <c r="P65" s="93"/>
      <c r="Q65" s="93"/>
      <c r="R65" s="93"/>
      <c r="S65" s="91"/>
      <c r="V65" s="111"/>
    </row>
    <row r="66" spans="1:22" s="90" customFormat="1" x14ac:dyDescent="0.15">
      <c r="L66" s="85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4"/>
  <sheetViews>
    <sheetView workbookViewId="0">
      <pane ySplit="7" topLeftCell="A36" activePane="bottomLeft" state="frozenSplit"/>
      <selection activeCell="J63" sqref="J63"/>
      <selection pane="bottomLeft" activeCell="L7" sqref="L7:L60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26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 t="s">
        <v>19</v>
      </c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1977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20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22</v>
      </c>
      <c r="L6" s="209"/>
      <c r="M6" s="14" t="s">
        <v>14</v>
      </c>
      <c r="N6" s="189">
        <v>77777.7</v>
      </c>
      <c r="O6" s="189">
        <v>7777.7</v>
      </c>
      <c r="P6" s="189">
        <v>777.7</v>
      </c>
      <c r="Q6" s="189">
        <v>77.7</v>
      </c>
      <c r="R6" s="189">
        <v>7.7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120">
        <v>1</v>
      </c>
      <c r="B8" s="104">
        <v>28126</v>
      </c>
      <c r="C8" s="76">
        <v>3</v>
      </c>
      <c r="D8" s="76">
        <v>0</v>
      </c>
      <c r="E8" s="76">
        <v>3</v>
      </c>
      <c r="F8" s="76">
        <v>0</v>
      </c>
      <c r="G8" s="76">
        <v>9</v>
      </c>
      <c r="H8" s="76">
        <v>7</v>
      </c>
      <c r="I8" s="13">
        <v>4</v>
      </c>
      <c r="J8" s="193">
        <v>6924904</v>
      </c>
      <c r="K8" s="143">
        <v>2</v>
      </c>
      <c r="L8" s="34">
        <v>277777.7</v>
      </c>
      <c r="M8" s="18">
        <v>63809.2</v>
      </c>
      <c r="N8" s="56">
        <v>8</v>
      </c>
      <c r="O8" s="57">
        <v>58</v>
      </c>
      <c r="P8" s="57">
        <v>608</v>
      </c>
      <c r="Q8" s="58">
        <v>6082</v>
      </c>
      <c r="R8" s="59">
        <v>60827</v>
      </c>
      <c r="V8" s="4"/>
    </row>
    <row r="9" spans="1:22" x14ac:dyDescent="0.15">
      <c r="A9" s="120">
        <v>2</v>
      </c>
      <c r="B9" s="104">
        <v>28133</v>
      </c>
      <c r="C9" s="76">
        <v>0</v>
      </c>
      <c r="D9" s="76">
        <v>2</v>
      </c>
      <c r="E9" s="76">
        <v>8</v>
      </c>
      <c r="F9" s="76">
        <v>3</v>
      </c>
      <c r="G9" s="76">
        <v>0</v>
      </c>
      <c r="H9" s="76">
        <v>3</v>
      </c>
      <c r="I9" s="13">
        <v>0</v>
      </c>
      <c r="J9" s="193">
        <v>7004406</v>
      </c>
      <c r="K9" s="143" t="s">
        <v>23</v>
      </c>
      <c r="L9" s="34"/>
      <c r="M9" s="34">
        <v>608596.30000000005</v>
      </c>
      <c r="N9" s="56">
        <v>8</v>
      </c>
      <c r="O9" s="57">
        <v>61</v>
      </c>
      <c r="P9" s="57">
        <v>609</v>
      </c>
      <c r="Q9" s="58">
        <v>6023</v>
      </c>
      <c r="R9" s="59">
        <v>62041</v>
      </c>
      <c r="V9" s="4"/>
    </row>
    <row r="10" spans="1:22" x14ac:dyDescent="0.15">
      <c r="A10" s="120">
        <v>3</v>
      </c>
      <c r="B10" s="104">
        <v>28140</v>
      </c>
      <c r="C10" s="76">
        <v>9</v>
      </c>
      <c r="D10" s="76">
        <v>6</v>
      </c>
      <c r="E10" s="76">
        <v>3</v>
      </c>
      <c r="F10" s="76">
        <v>4</v>
      </c>
      <c r="G10" s="76">
        <v>9</v>
      </c>
      <c r="H10" s="76">
        <v>3</v>
      </c>
      <c r="I10" s="13">
        <v>9</v>
      </c>
      <c r="J10" s="193">
        <v>7367625</v>
      </c>
      <c r="K10" s="143" t="s">
        <v>23</v>
      </c>
      <c r="L10" s="34"/>
      <c r="M10" s="34">
        <v>1181633.8</v>
      </c>
      <c r="N10" s="56">
        <v>5</v>
      </c>
      <c r="O10" s="57">
        <v>59</v>
      </c>
      <c r="P10" s="57">
        <v>723</v>
      </c>
      <c r="Q10" s="58">
        <v>6592</v>
      </c>
      <c r="R10" s="59">
        <v>66690</v>
      </c>
      <c r="V10" s="4"/>
    </row>
    <row r="11" spans="1:22" x14ac:dyDescent="0.15">
      <c r="A11" s="120">
        <v>4</v>
      </c>
      <c r="B11" s="104">
        <v>28147</v>
      </c>
      <c r="C11" s="76">
        <v>2</v>
      </c>
      <c r="D11" s="76">
        <v>8</v>
      </c>
      <c r="E11" s="76">
        <v>7</v>
      </c>
      <c r="F11" s="76">
        <v>3</v>
      </c>
      <c r="G11" s="76">
        <v>8</v>
      </c>
      <c r="H11" s="76">
        <v>3</v>
      </c>
      <c r="I11" s="13">
        <v>0</v>
      </c>
      <c r="J11" s="193">
        <v>7140409</v>
      </c>
      <c r="K11" s="143" t="s">
        <v>23</v>
      </c>
      <c r="L11" s="34"/>
      <c r="M11" s="34">
        <v>1736998.9</v>
      </c>
      <c r="N11" s="56">
        <v>11</v>
      </c>
      <c r="O11" s="57">
        <v>56</v>
      </c>
      <c r="P11" s="57">
        <v>683</v>
      </c>
      <c r="Q11" s="58">
        <v>6362</v>
      </c>
      <c r="R11" s="59">
        <v>62798</v>
      </c>
      <c r="V11" s="4"/>
    </row>
    <row r="12" spans="1:22" x14ac:dyDescent="0.15">
      <c r="A12" s="120">
        <v>5</v>
      </c>
      <c r="B12" s="104">
        <v>28154</v>
      </c>
      <c r="C12" s="76">
        <v>5</v>
      </c>
      <c r="D12" s="76">
        <v>6</v>
      </c>
      <c r="E12" s="76">
        <v>8</v>
      </c>
      <c r="F12" s="76">
        <v>8</v>
      </c>
      <c r="G12" s="76">
        <v>5</v>
      </c>
      <c r="H12" s="76">
        <v>0</v>
      </c>
      <c r="I12" s="13">
        <v>7</v>
      </c>
      <c r="J12" s="193">
        <v>7320448</v>
      </c>
      <c r="K12" s="143">
        <v>1</v>
      </c>
      <c r="L12" s="34">
        <v>1777777.7</v>
      </c>
      <c r="M12" s="18">
        <v>528589.4</v>
      </c>
      <c r="N12" s="56">
        <v>4</v>
      </c>
      <c r="O12" s="57">
        <v>54</v>
      </c>
      <c r="P12" s="57">
        <v>606</v>
      </c>
      <c r="Q12" s="58">
        <v>6325</v>
      </c>
      <c r="R12" s="59">
        <v>62984</v>
      </c>
      <c r="V12" s="4"/>
    </row>
    <row r="13" spans="1:22" x14ac:dyDescent="0.15">
      <c r="A13" s="120">
        <v>6</v>
      </c>
      <c r="B13" s="104">
        <v>28161</v>
      </c>
      <c r="C13" s="76">
        <v>9</v>
      </c>
      <c r="D13" s="76">
        <v>9</v>
      </c>
      <c r="E13" s="76">
        <v>7</v>
      </c>
      <c r="F13" s="76">
        <v>4</v>
      </c>
      <c r="G13" s="76">
        <v>7</v>
      </c>
      <c r="H13" s="76">
        <v>1</v>
      </c>
      <c r="I13" s="13">
        <v>7</v>
      </c>
      <c r="J13" s="193">
        <v>7333469</v>
      </c>
      <c r="K13" s="143" t="s">
        <v>23</v>
      </c>
      <c r="L13" s="34"/>
      <c r="M13" s="34">
        <v>1098970.3</v>
      </c>
      <c r="N13" s="56">
        <v>5</v>
      </c>
      <c r="O13" s="57">
        <v>62</v>
      </c>
      <c r="P13" s="57">
        <v>643</v>
      </c>
      <c r="Q13" s="58">
        <v>6640</v>
      </c>
      <c r="R13" s="59">
        <v>65752</v>
      </c>
      <c r="V13" s="4"/>
    </row>
    <row r="14" spans="1:22" x14ac:dyDescent="0.15">
      <c r="A14" s="120">
        <v>7</v>
      </c>
      <c r="B14" s="104">
        <v>28168</v>
      </c>
      <c r="C14" s="76">
        <v>0</v>
      </c>
      <c r="D14" s="76">
        <v>5</v>
      </c>
      <c r="E14" s="76">
        <v>7</v>
      </c>
      <c r="F14" s="76">
        <v>6</v>
      </c>
      <c r="G14" s="76">
        <v>0</v>
      </c>
      <c r="H14" s="76">
        <v>0</v>
      </c>
      <c r="I14" s="13">
        <v>8</v>
      </c>
      <c r="J14" s="193">
        <v>7372235</v>
      </c>
      <c r="K14" s="143">
        <v>1</v>
      </c>
      <c r="L14" s="34">
        <v>1577777.7</v>
      </c>
      <c r="M14" s="18">
        <v>94588.6</v>
      </c>
      <c r="N14" s="56">
        <v>5</v>
      </c>
      <c r="O14" s="57">
        <v>71</v>
      </c>
      <c r="P14" s="57">
        <v>682</v>
      </c>
      <c r="Q14" s="58">
        <v>6493</v>
      </c>
      <c r="R14" s="59">
        <v>67274</v>
      </c>
      <c r="V14" s="4"/>
    </row>
    <row r="15" spans="1:22" x14ac:dyDescent="0.15">
      <c r="A15" s="120">
        <v>8</v>
      </c>
      <c r="B15" s="104">
        <v>28175</v>
      </c>
      <c r="C15" s="76">
        <v>3</v>
      </c>
      <c r="D15" s="76">
        <v>0</v>
      </c>
      <c r="E15" s="76">
        <v>4</v>
      </c>
      <c r="F15" s="76">
        <v>6</v>
      </c>
      <c r="G15" s="76">
        <v>4</v>
      </c>
      <c r="H15" s="76">
        <v>2</v>
      </c>
      <c r="I15" s="13">
        <v>4</v>
      </c>
      <c r="J15" s="193">
        <v>7258037</v>
      </c>
      <c r="K15" s="143" t="s">
        <v>23</v>
      </c>
      <c r="L15" s="34"/>
      <c r="M15" s="18">
        <v>659102.6</v>
      </c>
      <c r="N15" s="56">
        <v>14</v>
      </c>
      <c r="O15" s="57">
        <v>63</v>
      </c>
      <c r="P15" s="57">
        <v>650</v>
      </c>
      <c r="Q15" s="58">
        <v>6547</v>
      </c>
      <c r="R15" s="59">
        <v>66607</v>
      </c>
      <c r="V15" s="4"/>
    </row>
    <row r="16" spans="1:22" x14ac:dyDescent="0.15">
      <c r="A16" s="120">
        <v>9</v>
      </c>
      <c r="B16" s="104">
        <v>28182</v>
      </c>
      <c r="C16" s="76">
        <v>9</v>
      </c>
      <c r="D16" s="76">
        <v>0</v>
      </c>
      <c r="E16" s="76">
        <v>8</v>
      </c>
      <c r="F16" s="76">
        <v>6</v>
      </c>
      <c r="G16" s="76">
        <v>1</v>
      </c>
      <c r="H16" s="76">
        <v>0</v>
      </c>
      <c r="I16" s="13">
        <v>0</v>
      </c>
      <c r="J16" s="193">
        <v>7477115</v>
      </c>
      <c r="K16" s="143" t="s">
        <v>23</v>
      </c>
      <c r="L16" s="34"/>
      <c r="M16" s="18">
        <v>1240656</v>
      </c>
      <c r="N16" s="56">
        <v>6</v>
      </c>
      <c r="O16" s="57">
        <v>71</v>
      </c>
      <c r="P16" s="57">
        <v>651</v>
      </c>
      <c r="Q16" s="58">
        <v>6798</v>
      </c>
      <c r="R16" s="59">
        <v>65974</v>
      </c>
      <c r="V16" s="4"/>
    </row>
    <row r="17" spans="1:22" x14ac:dyDescent="0.15">
      <c r="A17" s="120">
        <v>10</v>
      </c>
      <c r="B17" s="104">
        <v>28189</v>
      </c>
      <c r="C17" s="76">
        <v>2</v>
      </c>
      <c r="D17" s="76">
        <v>5</v>
      </c>
      <c r="E17" s="76">
        <v>0</v>
      </c>
      <c r="F17" s="76">
        <v>0</v>
      </c>
      <c r="G17" s="76">
        <v>8</v>
      </c>
      <c r="H17" s="76">
        <v>2</v>
      </c>
      <c r="I17" s="13">
        <v>3</v>
      </c>
      <c r="J17" s="193">
        <v>7320873</v>
      </c>
      <c r="K17" s="143" t="s">
        <v>23</v>
      </c>
      <c r="L17" s="34"/>
      <c r="M17" s="18">
        <v>1810057.2</v>
      </c>
      <c r="N17" s="56">
        <v>6</v>
      </c>
      <c r="O17" s="57">
        <v>74</v>
      </c>
      <c r="P17" s="57">
        <v>640</v>
      </c>
      <c r="Q17" s="58">
        <v>6488</v>
      </c>
      <c r="R17" s="59">
        <v>65761</v>
      </c>
      <c r="V17" s="4"/>
    </row>
    <row r="18" spans="1:22" x14ac:dyDescent="0.15">
      <c r="A18" s="120">
        <v>11</v>
      </c>
      <c r="B18" s="104">
        <v>28196</v>
      </c>
      <c r="C18" s="76">
        <v>7</v>
      </c>
      <c r="D18" s="76">
        <v>5</v>
      </c>
      <c r="E18" s="76">
        <v>3</v>
      </c>
      <c r="F18" s="76">
        <v>7</v>
      </c>
      <c r="G18" s="76">
        <v>3</v>
      </c>
      <c r="H18" s="76">
        <v>2</v>
      </c>
      <c r="I18" s="13">
        <v>7</v>
      </c>
      <c r="J18" s="193">
        <v>7240967</v>
      </c>
      <c r="K18" s="143">
        <v>1</v>
      </c>
      <c r="L18" s="34">
        <v>1777777.7</v>
      </c>
      <c r="M18" s="18">
        <v>595465.80000000005</v>
      </c>
      <c r="N18" s="56">
        <v>4</v>
      </c>
      <c r="O18" s="57">
        <v>51</v>
      </c>
      <c r="P18" s="57">
        <v>656</v>
      </c>
      <c r="Q18" s="58">
        <v>6444</v>
      </c>
      <c r="R18" s="59">
        <v>64133</v>
      </c>
      <c r="V18" s="4"/>
    </row>
    <row r="19" spans="1:22" x14ac:dyDescent="0.15">
      <c r="A19" s="120">
        <v>12</v>
      </c>
      <c r="B19" s="104">
        <v>28203</v>
      </c>
      <c r="C19" s="76">
        <v>6</v>
      </c>
      <c r="D19" s="76">
        <v>6</v>
      </c>
      <c r="E19" s="76">
        <v>5</v>
      </c>
      <c r="F19" s="76">
        <v>6</v>
      </c>
      <c r="G19" s="76">
        <v>8</v>
      </c>
      <c r="H19" s="76">
        <v>9</v>
      </c>
      <c r="I19" s="13">
        <v>0</v>
      </c>
      <c r="J19" s="193">
        <v>7291738</v>
      </c>
      <c r="K19" s="143" t="s">
        <v>23</v>
      </c>
      <c r="L19" s="34"/>
      <c r="M19" s="18">
        <v>1162601</v>
      </c>
      <c r="N19" s="56">
        <v>4</v>
      </c>
      <c r="O19" s="57">
        <v>61</v>
      </c>
      <c r="P19" s="57">
        <v>666</v>
      </c>
      <c r="Q19" s="58">
        <v>6522</v>
      </c>
      <c r="R19" s="59">
        <v>65300</v>
      </c>
      <c r="V19" s="4"/>
    </row>
    <row r="20" spans="1:22" x14ac:dyDescent="0.15">
      <c r="A20" s="120">
        <v>13</v>
      </c>
      <c r="B20" s="104">
        <v>28210</v>
      </c>
      <c r="C20" s="76">
        <v>1</v>
      </c>
      <c r="D20" s="76">
        <v>2</v>
      </c>
      <c r="E20" s="76">
        <v>0</v>
      </c>
      <c r="F20" s="76">
        <v>9</v>
      </c>
      <c r="G20" s="76">
        <v>7</v>
      </c>
      <c r="H20" s="76">
        <v>3</v>
      </c>
      <c r="I20" s="13">
        <v>4</v>
      </c>
      <c r="J20" s="193">
        <v>7261442</v>
      </c>
      <c r="K20" s="143" t="s">
        <v>23</v>
      </c>
      <c r="L20" s="34"/>
      <c r="M20" s="18">
        <v>1727379.8</v>
      </c>
      <c r="N20" s="56">
        <v>7</v>
      </c>
      <c r="O20" s="57">
        <v>59</v>
      </c>
      <c r="P20" s="57">
        <v>643</v>
      </c>
      <c r="Q20" s="58">
        <v>6433</v>
      </c>
      <c r="R20" s="59">
        <v>63020</v>
      </c>
      <c r="V20" s="4"/>
    </row>
    <row r="21" spans="1:22" x14ac:dyDescent="0.15">
      <c r="A21" s="120">
        <v>14</v>
      </c>
      <c r="B21" s="104">
        <v>28217</v>
      </c>
      <c r="C21" s="76">
        <v>0</v>
      </c>
      <c r="D21" s="76">
        <v>9</v>
      </c>
      <c r="E21" s="76">
        <v>8</v>
      </c>
      <c r="F21" s="76">
        <v>6</v>
      </c>
      <c r="G21" s="76">
        <v>2</v>
      </c>
      <c r="H21" s="76">
        <v>9</v>
      </c>
      <c r="I21" s="13">
        <v>9</v>
      </c>
      <c r="J21" s="193">
        <v>7264043</v>
      </c>
      <c r="K21" s="143" t="s">
        <v>23</v>
      </c>
      <c r="L21" s="34"/>
      <c r="M21" s="18">
        <v>2292360.9</v>
      </c>
      <c r="N21" s="56">
        <v>7</v>
      </c>
      <c r="O21" s="57">
        <v>65</v>
      </c>
      <c r="P21" s="57">
        <v>644</v>
      </c>
      <c r="Q21" s="58">
        <v>6426</v>
      </c>
      <c r="R21" s="59">
        <v>64685</v>
      </c>
      <c r="V21" s="4"/>
    </row>
    <row r="22" spans="1:22" x14ac:dyDescent="0.15">
      <c r="A22" s="120">
        <v>15</v>
      </c>
      <c r="B22" s="104">
        <v>28224</v>
      </c>
      <c r="C22" s="76">
        <v>0</v>
      </c>
      <c r="D22" s="76">
        <v>5</v>
      </c>
      <c r="E22" s="76">
        <v>9</v>
      </c>
      <c r="F22" s="76">
        <v>1</v>
      </c>
      <c r="G22" s="76">
        <v>7</v>
      </c>
      <c r="H22" s="76">
        <v>2</v>
      </c>
      <c r="I22" s="13">
        <v>6</v>
      </c>
      <c r="J22" s="193">
        <v>7087718</v>
      </c>
      <c r="K22" s="143">
        <v>1</v>
      </c>
      <c r="L22" s="34">
        <v>1777777.7</v>
      </c>
      <c r="M22" s="18">
        <v>1065850.2</v>
      </c>
      <c r="N22" s="56">
        <v>6</v>
      </c>
      <c r="O22" s="57">
        <v>67</v>
      </c>
      <c r="P22" s="57">
        <v>630</v>
      </c>
      <c r="Q22" s="58">
        <v>6592</v>
      </c>
      <c r="R22" s="59">
        <v>65253</v>
      </c>
      <c r="V22" s="4"/>
    </row>
    <row r="23" spans="1:22" x14ac:dyDescent="0.15">
      <c r="A23" s="120">
        <v>16</v>
      </c>
      <c r="B23" s="104">
        <v>28231</v>
      </c>
      <c r="C23" s="76">
        <v>1</v>
      </c>
      <c r="D23" s="76">
        <v>7</v>
      </c>
      <c r="E23" s="76">
        <v>6</v>
      </c>
      <c r="F23" s="76">
        <v>0</v>
      </c>
      <c r="G23" s="76">
        <v>9</v>
      </c>
      <c r="H23" s="76">
        <v>8</v>
      </c>
      <c r="I23" s="13">
        <v>0</v>
      </c>
      <c r="J23" s="193">
        <v>7153618</v>
      </c>
      <c r="K23" s="143" t="s">
        <v>23</v>
      </c>
      <c r="L23" s="34"/>
      <c r="M23" s="18">
        <v>1622242.7</v>
      </c>
      <c r="N23" s="56">
        <v>8</v>
      </c>
      <c r="O23" s="57">
        <v>62</v>
      </c>
      <c r="P23" s="57">
        <v>622</v>
      </c>
      <c r="Q23" s="58">
        <v>6402</v>
      </c>
      <c r="R23" s="59">
        <v>64220</v>
      </c>
      <c r="V23" s="4"/>
    </row>
    <row r="24" spans="1:22" x14ac:dyDescent="0.15">
      <c r="A24" s="120">
        <v>17</v>
      </c>
      <c r="B24" s="104">
        <v>28238</v>
      </c>
      <c r="C24" s="76">
        <v>0</v>
      </c>
      <c r="D24" s="76">
        <v>0</v>
      </c>
      <c r="E24" s="76">
        <v>2</v>
      </c>
      <c r="F24" s="76">
        <v>6</v>
      </c>
      <c r="G24" s="76">
        <v>6</v>
      </c>
      <c r="H24" s="76">
        <v>5</v>
      </c>
      <c r="I24" s="13">
        <v>2</v>
      </c>
      <c r="J24" s="193">
        <v>7169383</v>
      </c>
      <c r="K24" s="143">
        <v>1</v>
      </c>
      <c r="L24" s="34">
        <v>1777777.7</v>
      </c>
      <c r="M24" s="18">
        <v>402083.7</v>
      </c>
      <c r="N24" s="56">
        <v>5</v>
      </c>
      <c r="O24" s="57">
        <v>81</v>
      </c>
      <c r="P24" s="57">
        <v>656</v>
      </c>
      <c r="Q24" s="58">
        <v>6622</v>
      </c>
      <c r="R24" s="59">
        <v>65269</v>
      </c>
      <c r="V24" s="4"/>
    </row>
    <row r="25" spans="1:22" x14ac:dyDescent="0.15">
      <c r="A25" s="120">
        <v>18</v>
      </c>
      <c r="B25" s="104">
        <v>28245</v>
      </c>
      <c r="C25" s="76">
        <v>1</v>
      </c>
      <c r="D25" s="76">
        <v>0</v>
      </c>
      <c r="E25" s="76">
        <v>2</v>
      </c>
      <c r="F25" s="76">
        <v>4</v>
      </c>
      <c r="G25" s="76">
        <v>5</v>
      </c>
      <c r="H25" s="76">
        <v>5</v>
      </c>
      <c r="I25" s="13">
        <v>6</v>
      </c>
      <c r="J25" s="193">
        <v>7582975</v>
      </c>
      <c r="K25" s="143">
        <v>1</v>
      </c>
      <c r="L25" s="34">
        <v>977777.7</v>
      </c>
      <c r="M25" s="18">
        <v>14092.9</v>
      </c>
      <c r="N25" s="56">
        <v>6</v>
      </c>
      <c r="O25" s="57">
        <v>70</v>
      </c>
      <c r="P25" s="57">
        <v>674</v>
      </c>
      <c r="Q25" s="58">
        <v>6458</v>
      </c>
      <c r="R25" s="59">
        <v>65804</v>
      </c>
      <c r="V25" s="4"/>
    </row>
    <row r="26" spans="1:22" x14ac:dyDescent="0.15">
      <c r="A26" s="120">
        <v>19</v>
      </c>
      <c r="B26" s="104">
        <v>28252</v>
      </c>
      <c r="C26" s="76">
        <v>3</v>
      </c>
      <c r="D26" s="76">
        <v>5</v>
      </c>
      <c r="E26" s="76">
        <v>0</v>
      </c>
      <c r="F26" s="76">
        <v>6</v>
      </c>
      <c r="G26" s="76">
        <v>1</v>
      </c>
      <c r="H26" s="76">
        <v>8</v>
      </c>
      <c r="I26" s="13">
        <v>5</v>
      </c>
      <c r="J26" s="193">
        <v>8900306</v>
      </c>
      <c r="K26" s="143">
        <v>1</v>
      </c>
      <c r="L26" s="34">
        <v>677777.7</v>
      </c>
      <c r="M26" s="34">
        <v>28561.200000000001</v>
      </c>
      <c r="N26" s="56">
        <v>8</v>
      </c>
      <c r="O26" s="57">
        <v>71</v>
      </c>
      <c r="P26" s="57">
        <v>797</v>
      </c>
      <c r="Q26" s="58">
        <v>8004</v>
      </c>
      <c r="R26" s="59">
        <v>81073</v>
      </c>
      <c r="V26" s="4"/>
    </row>
    <row r="27" spans="1:22" x14ac:dyDescent="0.15">
      <c r="A27" s="120">
        <v>20</v>
      </c>
      <c r="B27" s="104">
        <v>28259</v>
      </c>
      <c r="C27" s="76">
        <v>4</v>
      </c>
      <c r="D27" s="76">
        <v>9</v>
      </c>
      <c r="E27" s="76">
        <v>6</v>
      </c>
      <c r="F27" s="76">
        <v>1</v>
      </c>
      <c r="G27" s="76">
        <v>3</v>
      </c>
      <c r="H27" s="76">
        <v>5</v>
      </c>
      <c r="I27" s="13">
        <v>4</v>
      </c>
      <c r="J27" s="193">
        <v>7481486</v>
      </c>
      <c r="K27" s="143" t="s">
        <v>23</v>
      </c>
      <c r="L27" s="34"/>
      <c r="M27" s="18">
        <v>610454.5</v>
      </c>
      <c r="N27" s="56">
        <v>7</v>
      </c>
      <c r="O27" s="57">
        <v>73</v>
      </c>
      <c r="P27" s="57">
        <v>668</v>
      </c>
      <c r="Q27" s="58">
        <v>6778</v>
      </c>
      <c r="R27" s="59">
        <v>67318</v>
      </c>
      <c r="V27" s="4"/>
    </row>
    <row r="28" spans="1:22" x14ac:dyDescent="0.15">
      <c r="A28" s="120">
        <v>21</v>
      </c>
      <c r="B28" s="104">
        <v>28266</v>
      </c>
      <c r="C28" s="76">
        <v>1</v>
      </c>
      <c r="D28" s="76">
        <v>5</v>
      </c>
      <c r="E28" s="76">
        <v>7</v>
      </c>
      <c r="F28" s="76">
        <v>3</v>
      </c>
      <c r="G28" s="76">
        <v>9</v>
      </c>
      <c r="H28" s="76">
        <v>9</v>
      </c>
      <c r="I28" s="13">
        <v>6</v>
      </c>
      <c r="J28" s="193">
        <v>7100270</v>
      </c>
      <c r="K28" s="143" t="s">
        <v>23</v>
      </c>
      <c r="L28" s="34"/>
      <c r="M28" s="18">
        <v>1162697.7</v>
      </c>
      <c r="N28" s="56">
        <v>10</v>
      </c>
      <c r="O28" s="57">
        <v>56</v>
      </c>
      <c r="P28" s="57">
        <v>654</v>
      </c>
      <c r="Q28" s="58">
        <v>6270</v>
      </c>
      <c r="R28" s="59">
        <v>64239</v>
      </c>
      <c r="V28" s="4"/>
    </row>
    <row r="29" spans="1:22" x14ac:dyDescent="0.15">
      <c r="A29" s="120">
        <v>22</v>
      </c>
      <c r="B29" s="104">
        <v>28273</v>
      </c>
      <c r="C29" s="76">
        <v>1</v>
      </c>
      <c r="D29" s="76">
        <v>9</v>
      </c>
      <c r="E29" s="76">
        <v>9</v>
      </c>
      <c r="F29" s="76">
        <v>0</v>
      </c>
      <c r="G29" s="76">
        <v>0</v>
      </c>
      <c r="H29" s="76">
        <v>4</v>
      </c>
      <c r="I29" s="13">
        <v>7</v>
      </c>
      <c r="J29" s="193">
        <v>7070389</v>
      </c>
      <c r="K29" s="143">
        <v>3</v>
      </c>
      <c r="L29" s="34">
        <v>477777.7</v>
      </c>
      <c r="M29" s="34">
        <v>279283.7</v>
      </c>
      <c r="N29" s="56">
        <v>4</v>
      </c>
      <c r="O29" s="57">
        <v>63</v>
      </c>
      <c r="P29" s="57">
        <v>623</v>
      </c>
      <c r="Q29" s="58">
        <v>6470</v>
      </c>
      <c r="R29" s="59">
        <v>64616</v>
      </c>
      <c r="V29" s="4"/>
    </row>
    <row r="30" spans="1:22" x14ac:dyDescent="0.15">
      <c r="A30" s="120">
        <v>23</v>
      </c>
      <c r="B30" s="104">
        <v>28280</v>
      </c>
      <c r="C30" s="76">
        <v>1</v>
      </c>
      <c r="D30" s="76">
        <v>4</v>
      </c>
      <c r="E30" s="76">
        <v>8</v>
      </c>
      <c r="F30" s="76">
        <v>8</v>
      </c>
      <c r="G30" s="76">
        <v>4</v>
      </c>
      <c r="H30" s="76">
        <v>1</v>
      </c>
      <c r="I30" s="13">
        <v>3</v>
      </c>
      <c r="J30" s="193">
        <v>7011655</v>
      </c>
      <c r="K30" s="143" t="s">
        <v>23</v>
      </c>
      <c r="L30" s="34"/>
      <c r="M30" s="18">
        <v>824634.6</v>
      </c>
      <c r="N30" s="56">
        <v>7</v>
      </c>
      <c r="O30" s="57">
        <v>80</v>
      </c>
      <c r="P30" s="57">
        <v>724</v>
      </c>
      <c r="Q30" s="58">
        <v>6648</v>
      </c>
      <c r="R30" s="59">
        <v>65897</v>
      </c>
      <c r="V30" s="4"/>
    </row>
    <row r="31" spans="1:22" x14ac:dyDescent="0.15">
      <c r="A31" s="120">
        <v>24</v>
      </c>
      <c r="B31" s="104">
        <v>28287</v>
      </c>
      <c r="C31" s="76">
        <v>0</v>
      </c>
      <c r="D31" s="76">
        <v>7</v>
      </c>
      <c r="E31" s="76">
        <v>0</v>
      </c>
      <c r="F31" s="76">
        <v>7</v>
      </c>
      <c r="G31" s="76">
        <v>5</v>
      </c>
      <c r="H31" s="76">
        <v>7</v>
      </c>
      <c r="I31" s="13">
        <v>1</v>
      </c>
      <c r="J31" s="193">
        <v>6900765</v>
      </c>
      <c r="K31" s="143" t="s">
        <v>23</v>
      </c>
      <c r="L31" s="34"/>
      <c r="M31" s="18">
        <v>1361360.8</v>
      </c>
      <c r="N31" s="56">
        <v>4</v>
      </c>
      <c r="O31" s="57">
        <v>62</v>
      </c>
      <c r="P31" s="57">
        <v>644</v>
      </c>
      <c r="Q31" s="58">
        <v>6298</v>
      </c>
      <c r="R31" s="59">
        <v>92739</v>
      </c>
      <c r="V31" s="4"/>
    </row>
    <row r="32" spans="1:22" x14ac:dyDescent="0.15">
      <c r="A32" s="120">
        <v>25</v>
      </c>
      <c r="B32" s="104">
        <v>28294</v>
      </c>
      <c r="C32" s="76">
        <v>2</v>
      </c>
      <c r="D32" s="76">
        <v>6</v>
      </c>
      <c r="E32" s="76">
        <v>5</v>
      </c>
      <c r="F32" s="76">
        <v>2</v>
      </c>
      <c r="G32" s="76">
        <v>9</v>
      </c>
      <c r="H32" s="76">
        <v>7</v>
      </c>
      <c r="I32" s="13">
        <v>7</v>
      </c>
      <c r="J32" s="193">
        <v>6670108</v>
      </c>
      <c r="K32" s="143">
        <v>2</v>
      </c>
      <c r="L32" s="34">
        <v>877777.7</v>
      </c>
      <c r="M32" s="18">
        <v>124591.6</v>
      </c>
      <c r="N32" s="56">
        <v>6</v>
      </c>
      <c r="O32" s="57">
        <v>58</v>
      </c>
      <c r="P32" s="57">
        <v>598</v>
      </c>
      <c r="Q32" s="58">
        <v>6194</v>
      </c>
      <c r="R32" s="59">
        <v>61038</v>
      </c>
      <c r="V32" s="4"/>
    </row>
    <row r="33" spans="1:22" x14ac:dyDescent="0.15">
      <c r="A33" s="120">
        <v>26</v>
      </c>
      <c r="B33" s="104">
        <v>28301</v>
      </c>
      <c r="C33" s="76">
        <v>0</v>
      </c>
      <c r="D33" s="76">
        <v>9</v>
      </c>
      <c r="E33" s="76">
        <v>8</v>
      </c>
      <c r="F33" s="76">
        <v>5</v>
      </c>
      <c r="G33" s="76">
        <v>9</v>
      </c>
      <c r="H33" s="76">
        <v>2</v>
      </c>
      <c r="I33" s="13">
        <v>0</v>
      </c>
      <c r="J33" s="193">
        <v>6869376</v>
      </c>
      <c r="K33" s="143" t="s">
        <v>23</v>
      </c>
      <c r="L33" s="34"/>
      <c r="M33" s="18">
        <v>658876.4</v>
      </c>
      <c r="N33" s="56">
        <v>7</v>
      </c>
      <c r="O33" s="57">
        <v>63</v>
      </c>
      <c r="P33" s="57">
        <v>655</v>
      </c>
      <c r="Q33" s="58">
        <v>6396</v>
      </c>
      <c r="R33" s="59">
        <v>63722</v>
      </c>
      <c r="V33" s="4"/>
    </row>
    <row r="34" spans="1:22" x14ac:dyDescent="0.15">
      <c r="A34" s="120">
        <v>27</v>
      </c>
      <c r="B34" s="104">
        <v>28308</v>
      </c>
      <c r="C34" s="76">
        <v>1</v>
      </c>
      <c r="D34" s="76">
        <v>8</v>
      </c>
      <c r="E34" s="76">
        <v>8</v>
      </c>
      <c r="F34" s="76">
        <v>9</v>
      </c>
      <c r="G34" s="76">
        <v>4</v>
      </c>
      <c r="H34" s="76">
        <v>6</v>
      </c>
      <c r="I34" s="113">
        <v>5</v>
      </c>
      <c r="J34" s="193">
        <v>7868694</v>
      </c>
      <c r="K34" s="143">
        <v>1</v>
      </c>
      <c r="L34" s="34">
        <v>1177777.7</v>
      </c>
      <c r="M34" s="117">
        <v>93108.2</v>
      </c>
      <c r="N34" s="56">
        <v>8</v>
      </c>
      <c r="O34" s="57">
        <v>69</v>
      </c>
      <c r="P34" s="57">
        <v>698</v>
      </c>
      <c r="Q34" s="58">
        <v>6978</v>
      </c>
      <c r="R34" s="59">
        <v>70841</v>
      </c>
      <c r="V34" s="4"/>
    </row>
    <row r="35" spans="1:22" x14ac:dyDescent="0.15">
      <c r="A35" s="120">
        <v>28</v>
      </c>
      <c r="B35" s="104">
        <v>28315</v>
      </c>
      <c r="C35" s="76">
        <v>5</v>
      </c>
      <c r="D35" s="76">
        <v>3</v>
      </c>
      <c r="E35" s="76">
        <v>6</v>
      </c>
      <c r="F35" s="76">
        <v>5</v>
      </c>
      <c r="G35" s="76">
        <v>4</v>
      </c>
      <c r="H35" s="76">
        <v>9</v>
      </c>
      <c r="I35" s="13">
        <v>2</v>
      </c>
      <c r="J35" s="193">
        <v>7791481</v>
      </c>
      <c r="K35" s="143" t="s">
        <v>23</v>
      </c>
      <c r="L35" s="34"/>
      <c r="M35" s="18">
        <v>699112.3</v>
      </c>
      <c r="N35" s="56">
        <v>6</v>
      </c>
      <c r="O35" s="57">
        <v>59</v>
      </c>
      <c r="P35" s="57">
        <v>677</v>
      </c>
      <c r="Q35" s="58">
        <v>6744</v>
      </c>
      <c r="R35" s="59">
        <v>69025</v>
      </c>
      <c r="V35" s="4"/>
    </row>
    <row r="36" spans="1:22" x14ac:dyDescent="0.15">
      <c r="A36" s="120">
        <v>29</v>
      </c>
      <c r="B36" s="104">
        <v>28322</v>
      </c>
      <c r="C36" s="76">
        <v>0</v>
      </c>
      <c r="D36" s="76">
        <v>5</v>
      </c>
      <c r="E36" s="76">
        <v>7</v>
      </c>
      <c r="F36" s="76">
        <v>6</v>
      </c>
      <c r="G36" s="76">
        <v>6</v>
      </c>
      <c r="H36" s="76">
        <v>1</v>
      </c>
      <c r="I36" s="113">
        <v>7</v>
      </c>
      <c r="J36" s="193">
        <v>7803287</v>
      </c>
      <c r="K36" s="143" t="s">
        <v>23</v>
      </c>
      <c r="L36" s="34"/>
      <c r="M36" s="34">
        <v>1306034.6000000001</v>
      </c>
      <c r="N36" s="56">
        <v>4</v>
      </c>
      <c r="O36" s="57">
        <v>74</v>
      </c>
      <c r="P36" s="57">
        <v>724</v>
      </c>
      <c r="Q36" s="58">
        <v>7254</v>
      </c>
      <c r="R36" s="59">
        <v>71699</v>
      </c>
      <c r="V36" s="4"/>
    </row>
    <row r="37" spans="1:22" x14ac:dyDescent="0.15">
      <c r="A37" s="120">
        <v>30</v>
      </c>
      <c r="B37" s="104">
        <v>28329</v>
      </c>
      <c r="C37" s="76">
        <v>7</v>
      </c>
      <c r="D37" s="76">
        <v>5</v>
      </c>
      <c r="E37" s="76">
        <v>9</v>
      </c>
      <c r="F37" s="76">
        <v>7</v>
      </c>
      <c r="G37" s="76">
        <v>0</v>
      </c>
      <c r="H37" s="76">
        <v>3</v>
      </c>
      <c r="I37" s="13">
        <v>1</v>
      </c>
      <c r="J37" s="193">
        <v>7879895</v>
      </c>
      <c r="K37" s="143" t="s">
        <v>23</v>
      </c>
      <c r="L37" s="34"/>
      <c r="M37" s="18">
        <v>1918915.3</v>
      </c>
      <c r="N37" s="56">
        <v>9</v>
      </c>
      <c r="O37" s="57">
        <v>84</v>
      </c>
      <c r="P37" s="57">
        <v>668</v>
      </c>
      <c r="Q37" s="58">
        <v>7112</v>
      </c>
      <c r="R37" s="59">
        <v>72270</v>
      </c>
      <c r="V37" s="4"/>
    </row>
    <row r="38" spans="1:22" x14ac:dyDescent="0.15">
      <c r="A38" s="120">
        <v>31</v>
      </c>
      <c r="B38" s="104">
        <v>28336</v>
      </c>
      <c r="C38" s="76">
        <v>7</v>
      </c>
      <c r="D38" s="76">
        <v>1</v>
      </c>
      <c r="E38" s="76">
        <v>2</v>
      </c>
      <c r="F38" s="76">
        <v>9</v>
      </c>
      <c r="G38" s="76">
        <v>5</v>
      </c>
      <c r="H38" s="76">
        <v>6</v>
      </c>
      <c r="I38" s="13">
        <v>7</v>
      </c>
      <c r="J38" s="193">
        <v>7898589</v>
      </c>
      <c r="K38" s="143">
        <v>1</v>
      </c>
      <c r="L38" s="34">
        <v>1777777.7</v>
      </c>
      <c r="M38" s="18">
        <v>755472.3</v>
      </c>
      <c r="N38" s="56">
        <v>4</v>
      </c>
      <c r="O38" s="57">
        <v>72</v>
      </c>
      <c r="P38" s="57">
        <v>725</v>
      </c>
      <c r="Q38" s="58">
        <v>7272</v>
      </c>
      <c r="R38" s="59">
        <v>69697</v>
      </c>
      <c r="V38" s="4"/>
    </row>
    <row r="39" spans="1:22" x14ac:dyDescent="0.15">
      <c r="A39" s="120">
        <v>32</v>
      </c>
      <c r="B39" s="104">
        <v>28343</v>
      </c>
      <c r="C39" s="76">
        <v>1</v>
      </c>
      <c r="D39" s="76">
        <v>2</v>
      </c>
      <c r="E39" s="76">
        <v>0</v>
      </c>
      <c r="F39" s="76">
        <v>4</v>
      </c>
      <c r="G39" s="76">
        <v>8</v>
      </c>
      <c r="H39" s="76">
        <v>2</v>
      </c>
      <c r="I39" s="13">
        <v>3</v>
      </c>
      <c r="J39" s="193">
        <v>7760711</v>
      </c>
      <c r="K39" s="143" t="s">
        <v>23</v>
      </c>
      <c r="L39" s="34"/>
      <c r="M39" s="18">
        <v>1359083.1</v>
      </c>
      <c r="N39" s="56">
        <v>7</v>
      </c>
      <c r="O39" s="57">
        <v>69</v>
      </c>
      <c r="P39" s="57">
        <v>707</v>
      </c>
      <c r="Q39" s="58">
        <v>6966</v>
      </c>
      <c r="R39" s="59">
        <v>70803</v>
      </c>
      <c r="V39" s="4"/>
    </row>
    <row r="40" spans="1:22" x14ac:dyDescent="0.15">
      <c r="A40" s="120">
        <v>33</v>
      </c>
      <c r="B40" s="104">
        <v>28350</v>
      </c>
      <c r="C40" s="76">
        <v>5</v>
      </c>
      <c r="D40" s="76">
        <v>2</v>
      </c>
      <c r="E40" s="76">
        <v>4</v>
      </c>
      <c r="F40" s="76">
        <v>3</v>
      </c>
      <c r="G40" s="76">
        <v>5</v>
      </c>
      <c r="H40" s="76">
        <v>0</v>
      </c>
      <c r="I40" s="13">
        <v>8</v>
      </c>
      <c r="J40" s="193">
        <v>7865735</v>
      </c>
      <c r="K40" s="143" t="s">
        <v>23</v>
      </c>
      <c r="L40" s="34"/>
      <c r="M40" s="18">
        <v>1970862.5</v>
      </c>
      <c r="N40" s="56">
        <v>10</v>
      </c>
      <c r="O40" s="57">
        <v>67</v>
      </c>
      <c r="P40" s="57">
        <v>776</v>
      </c>
      <c r="Q40" s="58">
        <v>6901</v>
      </c>
      <c r="R40" s="59">
        <v>69319</v>
      </c>
      <c r="V40" s="4"/>
    </row>
    <row r="41" spans="1:22" x14ac:dyDescent="0.15">
      <c r="A41" s="120">
        <v>34</v>
      </c>
      <c r="B41" s="104">
        <v>28357</v>
      </c>
      <c r="C41" s="76">
        <v>7</v>
      </c>
      <c r="D41" s="76">
        <v>2</v>
      </c>
      <c r="E41" s="76">
        <v>3</v>
      </c>
      <c r="F41" s="76">
        <v>1</v>
      </c>
      <c r="G41" s="76">
        <v>9</v>
      </c>
      <c r="H41" s="14">
        <v>4</v>
      </c>
      <c r="I41" s="14">
        <v>5</v>
      </c>
      <c r="J41" s="193">
        <v>7919595</v>
      </c>
      <c r="K41" s="143">
        <v>1</v>
      </c>
      <c r="L41" s="34">
        <v>1777777.7</v>
      </c>
      <c r="M41" s="18">
        <v>809053.3</v>
      </c>
      <c r="N41" s="56">
        <v>6</v>
      </c>
      <c r="O41" s="57">
        <v>70</v>
      </c>
      <c r="P41" s="57">
        <v>707</v>
      </c>
      <c r="Q41" s="58">
        <v>7280</v>
      </c>
      <c r="R41" s="59">
        <v>72622</v>
      </c>
      <c r="V41" s="4"/>
    </row>
    <row r="42" spans="1:22" s="90" customFormat="1" x14ac:dyDescent="0.15">
      <c r="A42" s="120">
        <v>35</v>
      </c>
      <c r="B42" s="104">
        <v>28364</v>
      </c>
      <c r="C42" s="76">
        <v>8</v>
      </c>
      <c r="D42" s="76">
        <v>8</v>
      </c>
      <c r="E42" s="76">
        <v>1</v>
      </c>
      <c r="F42" s="76">
        <v>7</v>
      </c>
      <c r="G42" s="76">
        <v>9</v>
      </c>
      <c r="H42" s="115">
        <v>2</v>
      </c>
      <c r="I42" s="13">
        <v>6</v>
      </c>
      <c r="J42" s="193">
        <v>7954556</v>
      </c>
      <c r="K42" s="190">
        <v>1</v>
      </c>
      <c r="L42" s="34">
        <v>1377777.7</v>
      </c>
      <c r="M42" s="34">
        <v>49963.3</v>
      </c>
      <c r="N42" s="56">
        <v>8</v>
      </c>
      <c r="O42" s="57">
        <v>55</v>
      </c>
      <c r="P42" s="57">
        <v>701</v>
      </c>
      <c r="Q42" s="58">
        <v>7123</v>
      </c>
      <c r="R42" s="59">
        <v>71737</v>
      </c>
      <c r="S42" s="91"/>
      <c r="V42" s="100"/>
    </row>
    <row r="43" spans="1:22" s="90" customFormat="1" x14ac:dyDescent="0.15">
      <c r="A43" s="120">
        <v>36</v>
      </c>
      <c r="B43" s="104">
        <v>28371</v>
      </c>
      <c r="C43" s="103">
        <v>9</v>
      </c>
      <c r="D43" s="103">
        <v>3</v>
      </c>
      <c r="E43" s="103">
        <v>7</v>
      </c>
      <c r="F43" s="103">
        <v>9</v>
      </c>
      <c r="G43" s="103">
        <v>0</v>
      </c>
      <c r="H43" s="115">
        <v>5</v>
      </c>
      <c r="I43" s="113">
        <v>2</v>
      </c>
      <c r="J43" s="193">
        <v>9945595</v>
      </c>
      <c r="K43" s="191">
        <v>2</v>
      </c>
      <c r="L43" s="34">
        <v>377777.7</v>
      </c>
      <c r="M43" s="18">
        <v>67954.2</v>
      </c>
      <c r="N43" s="56">
        <v>9</v>
      </c>
      <c r="O43" s="57">
        <v>91</v>
      </c>
      <c r="P43" s="57">
        <v>865</v>
      </c>
      <c r="Q43" s="58">
        <v>8543</v>
      </c>
      <c r="R43" s="59">
        <v>85804</v>
      </c>
      <c r="S43" s="91"/>
      <c r="V43" s="100"/>
    </row>
    <row r="44" spans="1:22" s="90" customFormat="1" x14ac:dyDescent="0.15">
      <c r="A44" s="120">
        <v>37</v>
      </c>
      <c r="B44" s="104">
        <v>28378</v>
      </c>
      <c r="C44" s="103">
        <v>3</v>
      </c>
      <c r="D44" s="103">
        <v>8</v>
      </c>
      <c r="E44" s="103">
        <v>7</v>
      </c>
      <c r="F44" s="103">
        <v>2</v>
      </c>
      <c r="G44" s="103">
        <v>7</v>
      </c>
      <c r="H44" s="115">
        <v>9</v>
      </c>
      <c r="I44" s="13">
        <v>5</v>
      </c>
      <c r="J44" s="193">
        <v>9357966</v>
      </c>
      <c r="K44" s="190">
        <v>1</v>
      </c>
      <c r="L44" s="34">
        <v>777777.7</v>
      </c>
      <c r="M44" s="18">
        <v>18018.3</v>
      </c>
      <c r="N44" s="56">
        <v>11</v>
      </c>
      <c r="O44" s="57">
        <v>94</v>
      </c>
      <c r="P44" s="57">
        <v>890</v>
      </c>
      <c r="Q44" s="58">
        <v>8676</v>
      </c>
      <c r="R44" s="59">
        <v>85770</v>
      </c>
      <c r="S44" s="91"/>
      <c r="V44" s="100"/>
    </row>
    <row r="45" spans="1:22" s="90" customFormat="1" x14ac:dyDescent="0.15">
      <c r="A45" s="120">
        <v>38</v>
      </c>
      <c r="B45" s="104">
        <v>28385</v>
      </c>
      <c r="C45" s="76">
        <v>6</v>
      </c>
      <c r="D45" s="76">
        <v>7</v>
      </c>
      <c r="E45" s="76">
        <v>8</v>
      </c>
      <c r="F45" s="76">
        <v>4</v>
      </c>
      <c r="G45" s="76">
        <v>6</v>
      </c>
      <c r="H45" s="76">
        <v>7</v>
      </c>
      <c r="I45" s="13">
        <v>0</v>
      </c>
      <c r="J45" s="193">
        <v>9553238</v>
      </c>
      <c r="K45" s="190">
        <v>1</v>
      </c>
      <c r="L45" s="34">
        <v>677777.7</v>
      </c>
      <c r="M45" s="18">
        <v>83270.2</v>
      </c>
      <c r="N45" s="56">
        <v>18</v>
      </c>
      <c r="O45" s="57">
        <v>79</v>
      </c>
      <c r="P45" s="57">
        <v>863</v>
      </c>
      <c r="Q45" s="58">
        <v>8465</v>
      </c>
      <c r="R45" s="59">
        <v>83879</v>
      </c>
      <c r="S45" s="91"/>
      <c r="V45" s="100"/>
    </row>
    <row r="46" spans="1:22" s="90" customFormat="1" x14ac:dyDescent="0.15">
      <c r="A46" s="120">
        <v>39</v>
      </c>
      <c r="B46" s="104">
        <v>28392</v>
      </c>
      <c r="C46" s="76">
        <v>8</v>
      </c>
      <c r="D46" s="76">
        <v>7</v>
      </c>
      <c r="E46" s="76">
        <v>9</v>
      </c>
      <c r="F46" s="76">
        <v>5</v>
      </c>
      <c r="G46" s="76">
        <v>9</v>
      </c>
      <c r="H46" s="76">
        <v>3</v>
      </c>
      <c r="I46" s="13">
        <v>0</v>
      </c>
      <c r="J46" s="193">
        <v>10071366</v>
      </c>
      <c r="K46" s="143" t="s">
        <v>23</v>
      </c>
      <c r="L46" s="34"/>
      <c r="M46" s="18">
        <v>866598.7</v>
      </c>
      <c r="N46" s="56">
        <v>7</v>
      </c>
      <c r="O46" s="57">
        <v>95</v>
      </c>
      <c r="P46" s="57">
        <v>864</v>
      </c>
      <c r="Q46" s="58">
        <v>8914</v>
      </c>
      <c r="R46" s="59">
        <v>89532</v>
      </c>
      <c r="S46" s="91"/>
      <c r="V46" s="100"/>
    </row>
    <row r="47" spans="1:22" s="90" customFormat="1" x14ac:dyDescent="0.15">
      <c r="A47" s="120">
        <v>40</v>
      </c>
      <c r="B47" s="104">
        <v>28399</v>
      </c>
      <c r="C47" s="76">
        <v>6</v>
      </c>
      <c r="D47" s="76">
        <v>6</v>
      </c>
      <c r="E47" s="76">
        <v>7</v>
      </c>
      <c r="F47" s="76">
        <v>9</v>
      </c>
      <c r="G47" s="76">
        <v>5</v>
      </c>
      <c r="H47" s="76">
        <v>0</v>
      </c>
      <c r="I47" s="13">
        <v>3</v>
      </c>
      <c r="J47" s="193">
        <v>10725437</v>
      </c>
      <c r="K47" s="143" t="s">
        <v>23</v>
      </c>
      <c r="L47" s="34"/>
      <c r="M47" s="18">
        <v>1700799.3</v>
      </c>
      <c r="N47" s="56">
        <v>7</v>
      </c>
      <c r="O47" s="57">
        <v>104</v>
      </c>
      <c r="P47" s="57">
        <v>1055</v>
      </c>
      <c r="Q47" s="58">
        <v>9927</v>
      </c>
      <c r="R47" s="59">
        <v>95380</v>
      </c>
      <c r="S47" s="91"/>
      <c r="V47" s="100"/>
    </row>
    <row r="48" spans="1:22" s="90" customFormat="1" x14ac:dyDescent="0.15">
      <c r="A48" s="120">
        <v>41</v>
      </c>
      <c r="B48" s="104">
        <v>28406</v>
      </c>
      <c r="C48" s="76">
        <v>9</v>
      </c>
      <c r="D48" s="76">
        <v>3</v>
      </c>
      <c r="E48" s="76">
        <v>6</v>
      </c>
      <c r="F48" s="76">
        <v>3</v>
      </c>
      <c r="G48" s="76">
        <v>0</v>
      </c>
      <c r="H48" s="76">
        <v>0</v>
      </c>
      <c r="I48" s="13">
        <v>6</v>
      </c>
      <c r="J48" s="193">
        <v>10710515</v>
      </c>
      <c r="K48" s="190">
        <v>1</v>
      </c>
      <c r="L48" s="34">
        <v>1777777.7</v>
      </c>
      <c r="M48" s="18">
        <v>756061.6</v>
      </c>
      <c r="N48" s="56">
        <v>7</v>
      </c>
      <c r="O48" s="57">
        <v>105</v>
      </c>
      <c r="P48" s="57">
        <v>836</v>
      </c>
      <c r="Q48" s="58">
        <v>8775</v>
      </c>
      <c r="R48" s="59">
        <v>92220</v>
      </c>
      <c r="S48" s="91"/>
      <c r="V48" s="100"/>
    </row>
    <row r="49" spans="1:22" s="90" customFormat="1" x14ac:dyDescent="0.15">
      <c r="A49" s="120">
        <v>42</v>
      </c>
      <c r="B49" s="104">
        <v>28413</v>
      </c>
      <c r="C49" s="76">
        <v>4</v>
      </c>
      <c r="D49" s="76">
        <v>0</v>
      </c>
      <c r="E49" s="76">
        <v>1</v>
      </c>
      <c r="F49" s="76">
        <v>2</v>
      </c>
      <c r="G49" s="76">
        <v>8</v>
      </c>
      <c r="H49" s="76">
        <v>4</v>
      </c>
      <c r="I49" s="13">
        <v>2</v>
      </c>
      <c r="J49" s="193">
        <v>10989327</v>
      </c>
      <c r="K49" s="190">
        <v>1</v>
      </c>
      <c r="L49" s="34">
        <v>1577777.7</v>
      </c>
      <c r="M49" s="18">
        <v>33009.300000000003</v>
      </c>
      <c r="N49" s="56">
        <v>11</v>
      </c>
      <c r="O49" s="57">
        <v>102</v>
      </c>
      <c r="P49" s="57">
        <v>986</v>
      </c>
      <c r="Q49" s="58">
        <v>9956</v>
      </c>
      <c r="R49" s="59">
        <v>98685</v>
      </c>
      <c r="S49" s="91"/>
      <c r="V49" s="100"/>
    </row>
    <row r="50" spans="1:22" s="90" customFormat="1" x14ac:dyDescent="0.15">
      <c r="A50" s="120">
        <v>43</v>
      </c>
      <c r="B50" s="104">
        <v>28420</v>
      </c>
      <c r="C50" s="76">
        <v>0</v>
      </c>
      <c r="D50" s="76">
        <v>7</v>
      </c>
      <c r="E50" s="76">
        <v>8</v>
      </c>
      <c r="F50" s="76">
        <v>8</v>
      </c>
      <c r="G50" s="76">
        <v>3</v>
      </c>
      <c r="H50" s="76">
        <v>3</v>
      </c>
      <c r="I50" s="13">
        <v>1</v>
      </c>
      <c r="J50" s="193">
        <v>10786364</v>
      </c>
      <c r="K50" s="190">
        <v>1</v>
      </c>
      <c r="L50" s="34">
        <v>777777.7</v>
      </c>
      <c r="M50" s="18">
        <v>94171</v>
      </c>
      <c r="N50" s="56">
        <v>10</v>
      </c>
      <c r="O50" s="57">
        <v>84</v>
      </c>
      <c r="P50" s="57">
        <v>979</v>
      </c>
      <c r="Q50" s="58">
        <v>9681</v>
      </c>
      <c r="R50" s="59">
        <v>98265</v>
      </c>
      <c r="S50" s="91"/>
      <c r="V50" s="100"/>
    </row>
    <row r="51" spans="1:22" s="90" customFormat="1" x14ac:dyDescent="0.15">
      <c r="A51" s="120">
        <v>44</v>
      </c>
      <c r="B51" s="104">
        <v>28427</v>
      </c>
      <c r="C51" s="76">
        <v>1</v>
      </c>
      <c r="D51" s="76">
        <v>5</v>
      </c>
      <c r="E51" s="76">
        <v>9</v>
      </c>
      <c r="F51" s="76">
        <v>2</v>
      </c>
      <c r="G51" s="76">
        <v>3</v>
      </c>
      <c r="H51" s="76">
        <v>8</v>
      </c>
      <c r="I51" s="13">
        <v>7</v>
      </c>
      <c r="J51" s="193">
        <v>11121548</v>
      </c>
      <c r="K51" s="190">
        <v>1</v>
      </c>
      <c r="L51" s="34">
        <v>877777.7</v>
      </c>
      <c r="M51" s="34">
        <v>81402.600000000006</v>
      </c>
      <c r="N51" s="56">
        <v>9</v>
      </c>
      <c r="O51" s="57">
        <v>113</v>
      </c>
      <c r="P51" s="57">
        <v>1069</v>
      </c>
      <c r="Q51" s="58">
        <v>10193</v>
      </c>
      <c r="R51" s="59">
        <v>103213</v>
      </c>
      <c r="S51" s="91"/>
      <c r="V51" s="100"/>
    </row>
    <row r="52" spans="1:22" s="90" customFormat="1" x14ac:dyDescent="0.15">
      <c r="A52" s="120">
        <v>45</v>
      </c>
      <c r="B52" s="104">
        <v>28434</v>
      </c>
      <c r="C52" s="76">
        <v>0</v>
      </c>
      <c r="D52" s="76">
        <v>9</v>
      </c>
      <c r="E52" s="76">
        <v>4</v>
      </c>
      <c r="F52" s="76">
        <v>9</v>
      </c>
      <c r="G52" s="76">
        <v>2</v>
      </c>
      <c r="H52" s="76">
        <v>4</v>
      </c>
      <c r="I52" s="13">
        <v>1</v>
      </c>
      <c r="J52" s="193">
        <v>11057943</v>
      </c>
      <c r="K52" s="190">
        <v>2</v>
      </c>
      <c r="L52" s="34">
        <v>377777.7</v>
      </c>
      <c r="M52" s="18">
        <v>185909.4</v>
      </c>
      <c r="N52" s="56">
        <v>9</v>
      </c>
      <c r="O52" s="57">
        <v>79</v>
      </c>
      <c r="P52" s="57">
        <v>962</v>
      </c>
      <c r="Q52" s="58">
        <v>10011</v>
      </c>
      <c r="R52" s="59">
        <v>99945</v>
      </c>
      <c r="S52" s="91"/>
    </row>
    <row r="53" spans="1:22" s="90" customFormat="1" x14ac:dyDescent="0.15">
      <c r="A53" s="120">
        <v>46</v>
      </c>
      <c r="B53" s="104">
        <v>28441</v>
      </c>
      <c r="C53" s="76">
        <v>4</v>
      </c>
      <c r="D53" s="76">
        <v>3</v>
      </c>
      <c r="E53" s="76">
        <v>5</v>
      </c>
      <c r="F53" s="76">
        <v>0</v>
      </c>
      <c r="G53" s="76">
        <v>8</v>
      </c>
      <c r="H53" s="76">
        <v>2</v>
      </c>
      <c r="I53" s="13">
        <v>1</v>
      </c>
      <c r="J53" s="193">
        <v>11190197</v>
      </c>
      <c r="K53" s="190">
        <v>2</v>
      </c>
      <c r="L53" s="34">
        <v>477777.7</v>
      </c>
      <c r="M53" s="18">
        <v>100702.6</v>
      </c>
      <c r="N53" s="56">
        <v>11</v>
      </c>
      <c r="O53" s="57">
        <v>103</v>
      </c>
      <c r="P53" s="57">
        <v>1037</v>
      </c>
      <c r="Q53" s="58">
        <v>10370</v>
      </c>
      <c r="R53" s="59">
        <v>102639</v>
      </c>
      <c r="S53" s="91"/>
    </row>
    <row r="54" spans="1:22" s="90" customFormat="1" x14ac:dyDescent="0.15">
      <c r="A54" s="120">
        <v>47</v>
      </c>
      <c r="B54" s="104">
        <v>28448</v>
      </c>
      <c r="C54" s="76">
        <v>3</v>
      </c>
      <c r="D54" s="76">
        <v>9</v>
      </c>
      <c r="E54" s="76">
        <v>7</v>
      </c>
      <c r="F54" s="76">
        <v>1</v>
      </c>
      <c r="G54" s="76">
        <v>4</v>
      </c>
      <c r="H54" s="76">
        <v>3</v>
      </c>
      <c r="I54" s="13">
        <v>9</v>
      </c>
      <c r="J54" s="193">
        <v>10885752</v>
      </c>
      <c r="K54" s="190">
        <v>1</v>
      </c>
      <c r="L54" s="34">
        <v>877777.7</v>
      </c>
      <c r="M54" s="34">
        <v>69594.5</v>
      </c>
      <c r="N54" s="56">
        <v>12</v>
      </c>
      <c r="O54" s="57">
        <v>100</v>
      </c>
      <c r="P54" s="57">
        <v>988</v>
      </c>
      <c r="Q54" s="58">
        <v>10143</v>
      </c>
      <c r="R54" s="59">
        <v>99893</v>
      </c>
      <c r="S54" s="91"/>
    </row>
    <row r="55" spans="1:22" s="90" customFormat="1" x14ac:dyDescent="0.15">
      <c r="A55" s="120">
        <v>48</v>
      </c>
      <c r="B55" s="104">
        <v>28455</v>
      </c>
      <c r="C55" s="76">
        <v>2</v>
      </c>
      <c r="D55" s="76">
        <v>6</v>
      </c>
      <c r="E55" s="76">
        <v>2</v>
      </c>
      <c r="F55" s="76">
        <v>1</v>
      </c>
      <c r="G55" s="76">
        <v>3</v>
      </c>
      <c r="H55" s="76">
        <v>6</v>
      </c>
      <c r="I55" s="13">
        <v>1</v>
      </c>
      <c r="J55" s="193">
        <v>11179102</v>
      </c>
      <c r="K55" s="190">
        <v>2</v>
      </c>
      <c r="L55" s="34">
        <v>377777.7</v>
      </c>
      <c r="M55" s="18">
        <v>183524.8</v>
      </c>
      <c r="N55" s="56">
        <v>11</v>
      </c>
      <c r="O55" s="57">
        <v>82</v>
      </c>
      <c r="P55" s="57">
        <v>995</v>
      </c>
      <c r="Q55" s="58">
        <v>10134</v>
      </c>
      <c r="R55" s="59">
        <v>99888</v>
      </c>
      <c r="S55" s="91"/>
    </row>
    <row r="56" spans="1:22" s="90" customFormat="1" x14ac:dyDescent="0.15">
      <c r="A56" s="120">
        <v>49</v>
      </c>
      <c r="B56" s="104">
        <v>28462</v>
      </c>
      <c r="C56" s="76">
        <v>0</v>
      </c>
      <c r="D56" s="76">
        <v>9</v>
      </c>
      <c r="E56" s="76">
        <v>9</v>
      </c>
      <c r="F56" s="76">
        <v>3</v>
      </c>
      <c r="G56" s="76">
        <v>5</v>
      </c>
      <c r="H56" s="76">
        <v>1</v>
      </c>
      <c r="I56" s="13">
        <v>6</v>
      </c>
      <c r="J56" s="193">
        <v>16912621</v>
      </c>
      <c r="K56" s="190">
        <v>3</v>
      </c>
      <c r="L56" s="34">
        <v>477777.7</v>
      </c>
      <c r="M56" s="18">
        <v>65617.8</v>
      </c>
      <c r="N56" s="56">
        <v>12</v>
      </c>
      <c r="O56" s="57">
        <v>150</v>
      </c>
      <c r="P56" s="57">
        <v>1471</v>
      </c>
      <c r="Q56" s="58">
        <v>14839</v>
      </c>
      <c r="R56" s="59">
        <v>148926</v>
      </c>
      <c r="S56" s="91"/>
    </row>
    <row r="57" spans="1:22" s="90" customFormat="1" x14ac:dyDescent="0.15">
      <c r="A57" s="120">
        <v>50</v>
      </c>
      <c r="B57" s="104">
        <v>28469</v>
      </c>
      <c r="C57" s="76">
        <v>7</v>
      </c>
      <c r="D57" s="76">
        <v>6</v>
      </c>
      <c r="E57" s="76">
        <v>5</v>
      </c>
      <c r="F57" s="76">
        <v>2</v>
      </c>
      <c r="G57" s="76">
        <v>4</v>
      </c>
      <c r="H57" s="76">
        <v>5</v>
      </c>
      <c r="I57" s="13">
        <v>6</v>
      </c>
      <c r="J57" s="193">
        <v>11804740</v>
      </c>
      <c r="K57" s="190">
        <v>3</v>
      </c>
      <c r="L57" s="34">
        <v>277777.7</v>
      </c>
      <c r="M57" s="18">
        <v>150431.1</v>
      </c>
      <c r="N57" s="56">
        <v>12</v>
      </c>
      <c r="O57" s="57">
        <v>110</v>
      </c>
      <c r="P57" s="57">
        <v>1113</v>
      </c>
      <c r="Q57" s="58">
        <v>10351</v>
      </c>
      <c r="R57" s="59">
        <v>104673</v>
      </c>
      <c r="S57" s="91"/>
    </row>
    <row r="58" spans="1:22" s="90" customFormat="1" x14ac:dyDescent="0.15">
      <c r="A58" s="120">
        <v>51</v>
      </c>
      <c r="B58" s="104">
        <v>28476</v>
      </c>
      <c r="C58" s="76">
        <v>8</v>
      </c>
      <c r="D58" s="76">
        <v>4</v>
      </c>
      <c r="E58" s="76">
        <v>6</v>
      </c>
      <c r="F58" s="76">
        <v>5</v>
      </c>
      <c r="G58" s="76">
        <v>0</v>
      </c>
      <c r="H58" s="76">
        <v>9</v>
      </c>
      <c r="I58" s="13">
        <v>9</v>
      </c>
      <c r="J58" s="193">
        <v>13259300</v>
      </c>
      <c r="K58" s="190">
        <v>2</v>
      </c>
      <c r="L58" s="34">
        <v>577777.69999999995</v>
      </c>
      <c r="M58" s="34">
        <v>26154.6</v>
      </c>
      <c r="N58" s="56">
        <v>11</v>
      </c>
      <c r="O58" s="57">
        <v>102</v>
      </c>
      <c r="P58" s="57">
        <v>1250</v>
      </c>
      <c r="Q58" s="58">
        <v>11713</v>
      </c>
      <c r="R58" s="59">
        <v>118672</v>
      </c>
      <c r="S58" s="91"/>
    </row>
    <row r="59" spans="1:22" s="90" customFormat="1" x14ac:dyDescent="0.15">
      <c r="A59" s="120">
        <v>52</v>
      </c>
      <c r="B59" s="104">
        <v>28483</v>
      </c>
      <c r="C59" s="76">
        <v>0</v>
      </c>
      <c r="D59" s="76">
        <v>3</v>
      </c>
      <c r="E59" s="76">
        <v>5</v>
      </c>
      <c r="F59" s="76">
        <v>8</v>
      </c>
      <c r="G59" s="76">
        <v>1</v>
      </c>
      <c r="H59" s="14">
        <v>3</v>
      </c>
      <c r="I59" s="14">
        <v>4</v>
      </c>
      <c r="J59" s="193">
        <v>10022836</v>
      </c>
      <c r="K59" s="143" t="s">
        <v>23</v>
      </c>
      <c r="L59" s="34"/>
      <c r="M59" s="34">
        <v>805708.5</v>
      </c>
      <c r="N59" s="56">
        <v>9</v>
      </c>
      <c r="O59" s="57">
        <v>92</v>
      </c>
      <c r="P59" s="57">
        <v>878</v>
      </c>
      <c r="Q59" s="58">
        <v>8925</v>
      </c>
      <c r="R59" s="59">
        <v>90865</v>
      </c>
      <c r="S59" s="91"/>
    </row>
    <row r="60" spans="1:22" s="122" customFormat="1" x14ac:dyDescent="0.15">
      <c r="A60" s="140">
        <v>53</v>
      </c>
      <c r="B60" s="79">
        <v>28490</v>
      </c>
      <c r="C60" s="141">
        <v>7</v>
      </c>
      <c r="D60" s="141">
        <v>7</v>
      </c>
      <c r="E60" s="141">
        <v>0</v>
      </c>
      <c r="F60" s="141">
        <v>3</v>
      </c>
      <c r="G60" s="141">
        <v>5</v>
      </c>
      <c r="H60" s="123">
        <v>5</v>
      </c>
      <c r="I60" s="123">
        <v>9</v>
      </c>
      <c r="J60" s="206">
        <v>10031128</v>
      </c>
      <c r="K60" s="192" t="s">
        <v>23</v>
      </c>
      <c r="L60" s="42"/>
      <c r="M60" s="42">
        <v>1585907.3</v>
      </c>
      <c r="N60" s="99">
        <v>9</v>
      </c>
      <c r="O60" s="62">
        <v>91</v>
      </c>
      <c r="P60" s="98">
        <v>943</v>
      </c>
      <c r="Q60" s="63">
        <v>9538</v>
      </c>
      <c r="R60" s="142">
        <v>92977</v>
      </c>
      <c r="S60" s="121"/>
    </row>
    <row r="61" spans="1:22" s="90" customFormat="1" x14ac:dyDescent="0.15">
      <c r="A61" s="101"/>
      <c r="B61" s="265"/>
      <c r="C61" s="97"/>
      <c r="D61" s="97"/>
      <c r="E61" s="97"/>
      <c r="F61" s="97"/>
      <c r="G61" s="97"/>
      <c r="H61" s="97" t="s">
        <v>24</v>
      </c>
      <c r="I61" s="97"/>
      <c r="J61" s="97"/>
      <c r="K61" s="262">
        <f>SUM(K8:K60)</f>
        <v>41</v>
      </c>
      <c r="L61" s="262"/>
      <c r="M61" s="262"/>
      <c r="N61" s="262">
        <f>SUM(N8:N60)</f>
        <v>419</v>
      </c>
      <c r="O61" s="262">
        <f>SUM(O8:O60)</f>
        <v>4066</v>
      </c>
      <c r="P61" s="262">
        <f>SUM(P8:P60)</f>
        <v>41476</v>
      </c>
      <c r="Q61" s="262">
        <f>SUM(Q8:Q60)</f>
        <v>412091</v>
      </c>
      <c r="R61" s="268">
        <f>SUM(R8:R60)</f>
        <v>4154273</v>
      </c>
      <c r="S61" s="91"/>
    </row>
    <row r="62" spans="1:22" s="90" customFormat="1" x14ac:dyDescent="0.15">
      <c r="A62" s="81"/>
      <c r="B62" s="82"/>
      <c r="C62" s="76"/>
      <c r="D62" s="76"/>
      <c r="E62" s="76"/>
      <c r="F62" s="76"/>
      <c r="G62" s="76"/>
      <c r="H62" s="76"/>
      <c r="I62" s="76"/>
      <c r="J62" s="83"/>
      <c r="K62" s="77"/>
      <c r="L62" s="8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103"/>
      <c r="D64" s="103"/>
      <c r="E64" s="103"/>
      <c r="F64" s="103"/>
      <c r="G64" s="103"/>
      <c r="H64" s="103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82"/>
      <c r="C65" s="92"/>
      <c r="D65" s="92"/>
      <c r="E65" s="92"/>
      <c r="F65" s="92"/>
      <c r="G65" s="92"/>
      <c r="H65" s="92"/>
      <c r="I65" s="92"/>
      <c r="J65" s="83"/>
      <c r="K65" s="77"/>
      <c r="L65" s="94"/>
      <c r="M65" s="85"/>
      <c r="N65" s="86"/>
      <c r="O65" s="87"/>
      <c r="P65" s="87"/>
      <c r="Q65" s="88"/>
      <c r="R65" s="89"/>
      <c r="S65" s="91"/>
    </row>
    <row r="66" spans="1:22" s="90" customFormat="1" x14ac:dyDescent="0.15">
      <c r="A66" s="81"/>
      <c r="B66" s="92"/>
      <c r="C66" s="92"/>
      <c r="D66" s="92"/>
      <c r="E66" s="92"/>
      <c r="F66" s="92"/>
      <c r="G66" s="92"/>
      <c r="H66" s="92"/>
      <c r="I66" s="92"/>
      <c r="J66" s="92"/>
      <c r="K66" s="93"/>
      <c r="L66" s="93"/>
      <c r="M66" s="93"/>
      <c r="N66" s="93"/>
      <c r="O66" s="93"/>
      <c r="P66" s="93"/>
      <c r="Q66" s="93"/>
      <c r="R66" s="93"/>
      <c r="S66" s="91"/>
      <c r="V66" s="111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  <row r="174" spans="12:12" s="90" customFormat="1" x14ac:dyDescent="0.15">
      <c r="L174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4" orientation="landscape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3"/>
  <sheetViews>
    <sheetView workbookViewId="0">
      <pane ySplit="7" topLeftCell="A36" activePane="bottomLeft" state="frozenSplit"/>
      <selection activeCell="J63" sqref="J63"/>
      <selection pane="bottomLeft" activeCell="K61" sqref="K61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27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 t="s">
        <v>19</v>
      </c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1978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20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22</v>
      </c>
      <c r="L6" s="209"/>
      <c r="M6" s="14" t="s">
        <v>14</v>
      </c>
      <c r="N6" s="189">
        <v>77777.7</v>
      </c>
      <c r="O6" s="189">
        <v>7777.7</v>
      </c>
      <c r="P6" s="189">
        <v>777.7</v>
      </c>
      <c r="Q6" s="189">
        <v>77.7</v>
      </c>
      <c r="R6" s="189">
        <v>7.7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120">
        <v>1</v>
      </c>
      <c r="B8" s="104">
        <v>28497</v>
      </c>
      <c r="C8" s="76">
        <v>8</v>
      </c>
      <c r="D8" s="76">
        <v>0</v>
      </c>
      <c r="E8" s="76">
        <v>2</v>
      </c>
      <c r="F8" s="76">
        <v>6</v>
      </c>
      <c r="G8" s="76">
        <v>2</v>
      </c>
      <c r="H8" s="76">
        <v>4</v>
      </c>
      <c r="I8" s="13">
        <v>5</v>
      </c>
      <c r="J8" s="193">
        <v>9680621</v>
      </c>
      <c r="K8" s="143">
        <v>1</v>
      </c>
      <c r="L8" s="34">
        <v>1777777.7</v>
      </c>
      <c r="M8" s="18">
        <v>561066.80000000005</v>
      </c>
      <c r="N8" s="56">
        <v>9</v>
      </c>
      <c r="O8" s="57">
        <v>97</v>
      </c>
      <c r="P8" s="57">
        <v>932</v>
      </c>
      <c r="Q8" s="58">
        <v>8864</v>
      </c>
      <c r="R8" s="59">
        <v>89261</v>
      </c>
      <c r="V8" s="4"/>
    </row>
    <row r="9" spans="1:22" x14ac:dyDescent="0.15">
      <c r="A9" s="120">
        <v>2</v>
      </c>
      <c r="B9" s="104">
        <v>28504</v>
      </c>
      <c r="C9" s="76">
        <v>1</v>
      </c>
      <c r="D9" s="76">
        <v>5</v>
      </c>
      <c r="E9" s="76">
        <v>4</v>
      </c>
      <c r="F9" s="76">
        <v>3</v>
      </c>
      <c r="G9" s="76">
        <v>4</v>
      </c>
      <c r="H9" s="76">
        <v>6</v>
      </c>
      <c r="I9" s="13">
        <v>7</v>
      </c>
      <c r="J9" s="193">
        <v>10158466</v>
      </c>
      <c r="K9" s="143">
        <v>1</v>
      </c>
      <c r="L9" s="34">
        <v>1277777.7</v>
      </c>
      <c r="M9" s="34">
        <v>73392</v>
      </c>
      <c r="N9" s="56">
        <v>9</v>
      </c>
      <c r="O9" s="57">
        <v>105</v>
      </c>
      <c r="P9" s="57">
        <v>928</v>
      </c>
      <c r="Q9" s="58">
        <v>9225</v>
      </c>
      <c r="R9" s="59">
        <v>92691</v>
      </c>
      <c r="V9" s="4"/>
    </row>
    <row r="10" spans="1:22" x14ac:dyDescent="0.15">
      <c r="A10" s="120">
        <v>3</v>
      </c>
      <c r="B10" s="104">
        <v>28511</v>
      </c>
      <c r="C10" s="76">
        <v>3</v>
      </c>
      <c r="D10" s="76">
        <v>3</v>
      </c>
      <c r="E10" s="76">
        <v>3</v>
      </c>
      <c r="F10" s="76">
        <v>9</v>
      </c>
      <c r="G10" s="76">
        <v>1</v>
      </c>
      <c r="H10" s="76">
        <v>9</v>
      </c>
      <c r="I10" s="13">
        <v>6</v>
      </c>
      <c r="J10" s="193">
        <v>10100796</v>
      </c>
      <c r="K10" s="143">
        <v>1</v>
      </c>
      <c r="L10" s="34">
        <v>777777.7</v>
      </c>
      <c r="M10" s="34">
        <v>81231.8</v>
      </c>
      <c r="N10" s="56">
        <v>7</v>
      </c>
      <c r="O10" s="57">
        <v>88</v>
      </c>
      <c r="P10" s="57">
        <v>925</v>
      </c>
      <c r="Q10" s="58">
        <v>8995</v>
      </c>
      <c r="R10" s="59">
        <v>89246</v>
      </c>
      <c r="V10" s="4"/>
    </row>
    <row r="11" spans="1:22" x14ac:dyDescent="0.15">
      <c r="A11" s="120">
        <v>4</v>
      </c>
      <c r="B11" s="104">
        <v>28518</v>
      </c>
      <c r="C11" s="76">
        <v>8</v>
      </c>
      <c r="D11" s="76">
        <v>1</v>
      </c>
      <c r="E11" s="76">
        <v>6</v>
      </c>
      <c r="F11" s="76">
        <v>3</v>
      </c>
      <c r="G11" s="76">
        <v>7</v>
      </c>
      <c r="H11" s="76">
        <v>2</v>
      </c>
      <c r="I11" s="13">
        <v>0</v>
      </c>
      <c r="J11" s="193">
        <v>9967972</v>
      </c>
      <c r="K11" s="143" t="s">
        <v>23</v>
      </c>
      <c r="L11" s="34"/>
      <c r="M11" s="34">
        <v>856518.5</v>
      </c>
      <c r="N11" s="56">
        <v>12</v>
      </c>
      <c r="O11" s="57">
        <v>102</v>
      </c>
      <c r="P11" s="57">
        <v>867</v>
      </c>
      <c r="Q11" s="58">
        <v>8533</v>
      </c>
      <c r="R11" s="59">
        <v>85164</v>
      </c>
      <c r="V11" s="4"/>
    </row>
    <row r="12" spans="1:22" x14ac:dyDescent="0.15">
      <c r="A12" s="120">
        <v>5</v>
      </c>
      <c r="B12" s="104">
        <v>28525</v>
      </c>
      <c r="C12" s="76">
        <v>4</v>
      </c>
      <c r="D12" s="76">
        <v>1</v>
      </c>
      <c r="E12" s="76">
        <v>1</v>
      </c>
      <c r="F12" s="76">
        <v>7</v>
      </c>
      <c r="G12" s="76">
        <v>4</v>
      </c>
      <c r="H12" s="76">
        <v>6</v>
      </c>
      <c r="I12" s="13">
        <v>1</v>
      </c>
      <c r="J12" s="193">
        <v>9711421</v>
      </c>
      <c r="K12" s="143">
        <v>1</v>
      </c>
      <c r="L12" s="34">
        <v>1577777.7</v>
      </c>
      <c r="M12" s="18">
        <v>34073.5</v>
      </c>
      <c r="N12" s="56">
        <v>14</v>
      </c>
      <c r="O12" s="57">
        <v>87</v>
      </c>
      <c r="P12" s="57">
        <v>880</v>
      </c>
      <c r="Q12" s="58">
        <v>8797</v>
      </c>
      <c r="R12" s="59">
        <v>87959</v>
      </c>
      <c r="V12" s="4"/>
    </row>
    <row r="13" spans="1:22" x14ac:dyDescent="0.15">
      <c r="A13" s="120">
        <v>6</v>
      </c>
      <c r="B13" s="104">
        <v>28532</v>
      </c>
      <c r="C13" s="76">
        <v>6</v>
      </c>
      <c r="D13" s="76">
        <v>4</v>
      </c>
      <c r="E13" s="76">
        <v>2</v>
      </c>
      <c r="F13" s="76">
        <v>4</v>
      </c>
      <c r="G13" s="76">
        <v>8</v>
      </c>
      <c r="H13" s="76">
        <v>4</v>
      </c>
      <c r="I13" s="13">
        <v>7</v>
      </c>
      <c r="J13" s="193">
        <v>9632948</v>
      </c>
      <c r="K13" s="143" t="s">
        <v>23</v>
      </c>
      <c r="L13" s="34"/>
      <c r="M13" s="34">
        <v>783302.8</v>
      </c>
      <c r="N13" s="56">
        <v>8</v>
      </c>
      <c r="O13" s="57">
        <v>79</v>
      </c>
      <c r="P13" s="57">
        <v>863</v>
      </c>
      <c r="Q13" s="58">
        <v>8809</v>
      </c>
      <c r="R13" s="59">
        <v>89376</v>
      </c>
      <c r="V13" s="4"/>
    </row>
    <row r="14" spans="1:22" x14ac:dyDescent="0.15">
      <c r="A14" s="120">
        <v>7</v>
      </c>
      <c r="B14" s="104">
        <v>28539</v>
      </c>
      <c r="C14" s="76">
        <v>4</v>
      </c>
      <c r="D14" s="76">
        <v>1</v>
      </c>
      <c r="E14" s="76">
        <v>6</v>
      </c>
      <c r="F14" s="76">
        <v>8</v>
      </c>
      <c r="G14" s="76">
        <v>4</v>
      </c>
      <c r="H14" s="76">
        <v>4</v>
      </c>
      <c r="I14" s="13">
        <v>8</v>
      </c>
      <c r="J14" s="193">
        <v>9728278</v>
      </c>
      <c r="K14" s="143">
        <v>2</v>
      </c>
      <c r="L14" s="34">
        <v>677777.7</v>
      </c>
      <c r="M14" s="18">
        <v>184391.2</v>
      </c>
      <c r="N14" s="56">
        <v>10</v>
      </c>
      <c r="O14" s="57">
        <v>97</v>
      </c>
      <c r="P14" s="57">
        <v>884</v>
      </c>
      <c r="Q14" s="58">
        <v>8537</v>
      </c>
      <c r="R14" s="59">
        <v>86641</v>
      </c>
      <c r="V14" s="4"/>
    </row>
    <row r="15" spans="1:22" x14ac:dyDescent="0.15">
      <c r="A15" s="120">
        <v>8</v>
      </c>
      <c r="B15" s="104">
        <v>28546</v>
      </c>
      <c r="C15" s="76">
        <v>7</v>
      </c>
      <c r="D15" s="76">
        <v>6</v>
      </c>
      <c r="E15" s="76">
        <v>4</v>
      </c>
      <c r="F15" s="76">
        <v>3</v>
      </c>
      <c r="G15" s="76">
        <v>2</v>
      </c>
      <c r="H15" s="76">
        <v>5</v>
      </c>
      <c r="I15" s="13">
        <v>6</v>
      </c>
      <c r="J15" s="193">
        <v>9835415</v>
      </c>
      <c r="K15" s="143">
        <v>1</v>
      </c>
      <c r="L15" s="34">
        <v>877777.7</v>
      </c>
      <c r="M15" s="18">
        <v>71590.2</v>
      </c>
      <c r="N15" s="56">
        <v>8</v>
      </c>
      <c r="O15" s="57">
        <v>92</v>
      </c>
      <c r="P15" s="57">
        <v>897</v>
      </c>
      <c r="Q15" s="58">
        <v>9071</v>
      </c>
      <c r="R15" s="59">
        <v>89393</v>
      </c>
      <c r="V15" s="4"/>
    </row>
    <row r="16" spans="1:22" s="199" customFormat="1" x14ac:dyDescent="0.15">
      <c r="A16" s="194">
        <v>9</v>
      </c>
      <c r="B16" s="195">
        <v>28553</v>
      </c>
      <c r="C16" s="103">
        <v>9</v>
      </c>
      <c r="D16" s="103">
        <v>0</v>
      </c>
      <c r="E16" s="103">
        <v>7</v>
      </c>
      <c r="F16" s="103">
        <v>0</v>
      </c>
      <c r="G16" s="103">
        <v>5</v>
      </c>
      <c r="H16" s="103">
        <v>9</v>
      </c>
      <c r="I16" s="113">
        <v>6</v>
      </c>
      <c r="J16" s="196">
        <v>10071011</v>
      </c>
      <c r="K16" s="197">
        <v>2</v>
      </c>
      <c r="L16" s="198">
        <v>377777.7</v>
      </c>
      <c r="M16" s="117">
        <v>99335.6</v>
      </c>
      <c r="N16" s="80">
        <v>9</v>
      </c>
      <c r="O16" s="118">
        <v>104</v>
      </c>
      <c r="P16" s="118">
        <v>865</v>
      </c>
      <c r="Q16" s="119">
        <v>8996</v>
      </c>
      <c r="R16" s="138">
        <v>88894</v>
      </c>
      <c r="V16" s="200"/>
    </row>
    <row r="17" spans="1:22" s="199" customFormat="1" x14ac:dyDescent="0.15">
      <c r="A17" s="194">
        <v>10</v>
      </c>
      <c r="B17" s="195">
        <v>28560</v>
      </c>
      <c r="C17" s="103">
        <v>3</v>
      </c>
      <c r="D17" s="103">
        <v>1</v>
      </c>
      <c r="E17" s="103">
        <v>2</v>
      </c>
      <c r="F17" s="103">
        <v>1</v>
      </c>
      <c r="G17" s="103">
        <v>7</v>
      </c>
      <c r="H17" s="103">
        <v>0</v>
      </c>
      <c r="I17" s="113">
        <v>1</v>
      </c>
      <c r="J17" s="196">
        <v>9783976</v>
      </c>
      <c r="K17" s="197">
        <v>2</v>
      </c>
      <c r="L17" s="198">
        <v>377777.7</v>
      </c>
      <c r="M17" s="117">
        <v>104756.1</v>
      </c>
      <c r="N17" s="80">
        <v>10</v>
      </c>
      <c r="O17" s="118">
        <v>84</v>
      </c>
      <c r="P17" s="118">
        <v>836</v>
      </c>
      <c r="Q17" s="119">
        <v>8566</v>
      </c>
      <c r="R17" s="138">
        <v>84465</v>
      </c>
      <c r="V17" s="200"/>
    </row>
    <row r="18" spans="1:22" x14ac:dyDescent="0.15">
      <c r="A18" s="120">
        <v>11</v>
      </c>
      <c r="B18" s="104">
        <v>28567</v>
      </c>
      <c r="C18" s="76">
        <v>9</v>
      </c>
      <c r="D18" s="76">
        <v>3</v>
      </c>
      <c r="E18" s="76">
        <v>3</v>
      </c>
      <c r="F18" s="76">
        <v>2</v>
      </c>
      <c r="G18" s="76">
        <v>4</v>
      </c>
      <c r="H18" s="76">
        <v>6</v>
      </c>
      <c r="I18" s="13">
        <v>5</v>
      </c>
      <c r="J18" s="193">
        <v>9698935</v>
      </c>
      <c r="K18" s="143" t="s">
        <v>23</v>
      </c>
      <c r="L18" s="34"/>
      <c r="M18" s="18">
        <v>859117.7</v>
      </c>
      <c r="N18" s="56">
        <v>10</v>
      </c>
      <c r="O18" s="57">
        <v>92</v>
      </c>
      <c r="P18" s="57">
        <v>849</v>
      </c>
      <c r="Q18" s="58">
        <v>8858</v>
      </c>
      <c r="R18" s="59">
        <v>87761</v>
      </c>
      <c r="V18" s="4"/>
    </row>
    <row r="19" spans="1:22" x14ac:dyDescent="0.15">
      <c r="A19" s="120">
        <v>12</v>
      </c>
      <c r="B19" s="104">
        <v>28574</v>
      </c>
      <c r="C19" s="76">
        <v>0</v>
      </c>
      <c r="D19" s="76">
        <v>4</v>
      </c>
      <c r="E19" s="76">
        <v>7</v>
      </c>
      <c r="F19" s="76">
        <v>9</v>
      </c>
      <c r="G19" s="76">
        <v>7</v>
      </c>
      <c r="H19" s="76">
        <v>9</v>
      </c>
      <c r="I19" s="13">
        <v>1</v>
      </c>
      <c r="J19" s="193">
        <v>9609547</v>
      </c>
      <c r="K19" s="143">
        <v>1</v>
      </c>
      <c r="L19" s="34">
        <v>1577777.7</v>
      </c>
      <c r="M19" s="18">
        <v>28749.200000000001</v>
      </c>
      <c r="N19" s="56">
        <v>10</v>
      </c>
      <c r="O19" s="57">
        <v>75</v>
      </c>
      <c r="P19" s="57">
        <v>891</v>
      </c>
      <c r="Q19" s="58">
        <v>8557</v>
      </c>
      <c r="R19" s="59">
        <v>85604</v>
      </c>
      <c r="V19" s="4"/>
    </row>
    <row r="20" spans="1:22" x14ac:dyDescent="0.15">
      <c r="A20" s="120">
        <v>13</v>
      </c>
      <c r="B20" s="104">
        <v>28581</v>
      </c>
      <c r="C20" s="76">
        <v>8</v>
      </c>
      <c r="D20" s="76">
        <v>0</v>
      </c>
      <c r="E20" s="76">
        <v>6</v>
      </c>
      <c r="F20" s="76">
        <v>7</v>
      </c>
      <c r="G20" s="76">
        <v>9</v>
      </c>
      <c r="H20" s="76">
        <v>1</v>
      </c>
      <c r="I20" s="13">
        <v>3</v>
      </c>
      <c r="J20" s="193">
        <v>9653005</v>
      </c>
      <c r="K20" s="143">
        <v>2</v>
      </c>
      <c r="L20" s="34">
        <v>377777.7</v>
      </c>
      <c r="M20" s="18">
        <v>23983.1</v>
      </c>
      <c r="N20" s="56">
        <v>9</v>
      </c>
      <c r="O20" s="57">
        <v>79</v>
      </c>
      <c r="P20" s="57">
        <v>914</v>
      </c>
      <c r="Q20" s="58">
        <v>9103</v>
      </c>
      <c r="R20" s="59">
        <v>89422</v>
      </c>
      <c r="V20" s="4"/>
    </row>
    <row r="21" spans="1:22" x14ac:dyDescent="0.15">
      <c r="A21" s="120">
        <v>14</v>
      </c>
      <c r="B21" s="104">
        <v>28588</v>
      </c>
      <c r="C21" s="76">
        <v>8</v>
      </c>
      <c r="D21" s="76">
        <v>1</v>
      </c>
      <c r="E21" s="76">
        <v>2</v>
      </c>
      <c r="F21" s="76">
        <v>9</v>
      </c>
      <c r="G21" s="76">
        <v>1</v>
      </c>
      <c r="H21" s="76">
        <v>6</v>
      </c>
      <c r="I21" s="13">
        <v>3</v>
      </c>
      <c r="J21" s="193">
        <v>10766932</v>
      </c>
      <c r="K21" s="143" t="s">
        <v>23</v>
      </c>
      <c r="L21" s="34"/>
      <c r="M21" s="18">
        <v>861411.1</v>
      </c>
      <c r="N21" s="56">
        <v>6</v>
      </c>
      <c r="O21" s="57">
        <v>91</v>
      </c>
      <c r="P21" s="57">
        <v>964</v>
      </c>
      <c r="Q21" s="58">
        <v>9747</v>
      </c>
      <c r="R21" s="59">
        <v>97208</v>
      </c>
      <c r="V21" s="4"/>
    </row>
    <row r="22" spans="1:22" x14ac:dyDescent="0.15">
      <c r="A22" s="120">
        <v>15</v>
      </c>
      <c r="B22" s="104">
        <v>28595</v>
      </c>
      <c r="C22" s="76">
        <v>9</v>
      </c>
      <c r="D22" s="76">
        <v>4</v>
      </c>
      <c r="E22" s="76">
        <v>6</v>
      </c>
      <c r="F22" s="76">
        <v>3</v>
      </c>
      <c r="G22" s="76">
        <v>4</v>
      </c>
      <c r="H22" s="76">
        <v>1</v>
      </c>
      <c r="I22" s="13">
        <v>5</v>
      </c>
      <c r="J22" s="193">
        <v>9792456</v>
      </c>
      <c r="K22" s="143" t="s">
        <v>23</v>
      </c>
      <c r="L22" s="34"/>
      <c r="M22" s="18">
        <v>1623046.6</v>
      </c>
      <c r="N22" s="56">
        <v>9</v>
      </c>
      <c r="O22" s="57">
        <v>102</v>
      </c>
      <c r="P22" s="57">
        <v>863</v>
      </c>
      <c r="Q22" s="58">
        <v>9065</v>
      </c>
      <c r="R22" s="59">
        <v>89069</v>
      </c>
      <c r="V22" s="4"/>
    </row>
    <row r="23" spans="1:22" x14ac:dyDescent="0.15">
      <c r="A23" s="120">
        <v>16</v>
      </c>
      <c r="B23" s="104">
        <v>28602</v>
      </c>
      <c r="C23" s="76">
        <v>2</v>
      </c>
      <c r="D23" s="76">
        <v>9</v>
      </c>
      <c r="E23" s="76">
        <v>3</v>
      </c>
      <c r="F23" s="76">
        <v>1</v>
      </c>
      <c r="G23" s="76">
        <v>0</v>
      </c>
      <c r="H23" s="76">
        <v>5</v>
      </c>
      <c r="I23" s="13">
        <v>8</v>
      </c>
      <c r="J23" s="193">
        <v>9685955</v>
      </c>
      <c r="K23" s="143">
        <v>2</v>
      </c>
      <c r="L23" s="34">
        <v>1177777.7</v>
      </c>
      <c r="M23" s="18">
        <v>20843.2</v>
      </c>
      <c r="N23" s="56">
        <v>3</v>
      </c>
      <c r="O23" s="57">
        <v>86</v>
      </c>
      <c r="P23" s="57">
        <v>854</v>
      </c>
      <c r="Q23" s="58">
        <v>8457</v>
      </c>
      <c r="R23" s="59">
        <v>87965</v>
      </c>
      <c r="V23" s="4"/>
    </row>
    <row r="24" spans="1:22" x14ac:dyDescent="0.15">
      <c r="A24" s="120">
        <v>17</v>
      </c>
      <c r="B24" s="104">
        <v>28609</v>
      </c>
      <c r="C24" s="76">
        <v>8</v>
      </c>
      <c r="D24" s="76">
        <v>8</v>
      </c>
      <c r="E24" s="76">
        <v>4</v>
      </c>
      <c r="F24" s="76">
        <v>7</v>
      </c>
      <c r="G24" s="76">
        <v>4</v>
      </c>
      <c r="H24" s="76">
        <v>8</v>
      </c>
      <c r="I24" s="13">
        <v>0</v>
      </c>
      <c r="J24" s="193">
        <v>9688595</v>
      </c>
      <c r="K24" s="143" t="s">
        <v>23</v>
      </c>
      <c r="L24" s="34"/>
      <c r="M24" s="18">
        <v>774400.6</v>
      </c>
      <c r="N24" s="56">
        <v>5</v>
      </c>
      <c r="O24" s="57">
        <v>86</v>
      </c>
      <c r="P24" s="57">
        <v>799</v>
      </c>
      <c r="Q24" s="58">
        <v>8227</v>
      </c>
      <c r="R24" s="59">
        <v>82927</v>
      </c>
      <c r="V24" s="4"/>
    </row>
    <row r="25" spans="1:22" x14ac:dyDescent="0.15">
      <c r="A25" s="120">
        <v>18</v>
      </c>
      <c r="B25" s="104">
        <v>28616</v>
      </c>
      <c r="C25" s="76">
        <v>3</v>
      </c>
      <c r="D25" s="76">
        <v>8</v>
      </c>
      <c r="E25" s="76">
        <v>7</v>
      </c>
      <c r="F25" s="76">
        <v>8</v>
      </c>
      <c r="G25" s="76">
        <v>5</v>
      </c>
      <c r="H25" s="76">
        <v>7</v>
      </c>
      <c r="I25" s="13">
        <v>1</v>
      </c>
      <c r="J25" s="193">
        <v>9053909</v>
      </c>
      <c r="K25" s="143" t="s">
        <v>23</v>
      </c>
      <c r="L25" s="34"/>
      <c r="M25" s="18">
        <v>1478593.5</v>
      </c>
      <c r="N25" s="56">
        <v>12</v>
      </c>
      <c r="O25" s="57">
        <v>84</v>
      </c>
      <c r="P25" s="57">
        <v>777</v>
      </c>
      <c r="Q25" s="58">
        <v>8373</v>
      </c>
      <c r="R25" s="59">
        <v>82721</v>
      </c>
      <c r="V25" s="4"/>
    </row>
    <row r="26" spans="1:22" x14ac:dyDescent="0.15">
      <c r="A26" s="120">
        <v>19</v>
      </c>
      <c r="B26" s="104">
        <v>28623</v>
      </c>
      <c r="C26" s="76">
        <v>0</v>
      </c>
      <c r="D26" s="76">
        <v>8</v>
      </c>
      <c r="E26" s="76">
        <v>1</v>
      </c>
      <c r="F26" s="76">
        <v>7</v>
      </c>
      <c r="G26" s="76">
        <v>6</v>
      </c>
      <c r="H26" s="76">
        <v>7</v>
      </c>
      <c r="I26" s="13">
        <v>3</v>
      </c>
      <c r="J26" s="193">
        <v>9430530</v>
      </c>
      <c r="K26" s="143" t="s">
        <v>23</v>
      </c>
      <c r="L26" s="34"/>
      <c r="M26" s="34">
        <v>2212079.2000000002</v>
      </c>
      <c r="N26" s="56">
        <v>11</v>
      </c>
      <c r="O26" s="57">
        <v>75</v>
      </c>
      <c r="P26" s="57">
        <v>830</v>
      </c>
      <c r="Q26" s="58">
        <v>8574</v>
      </c>
      <c r="R26" s="59">
        <v>84777</v>
      </c>
      <c r="V26" s="4"/>
    </row>
    <row r="27" spans="1:22" x14ac:dyDescent="0.15">
      <c r="A27" s="120">
        <v>20</v>
      </c>
      <c r="B27" s="104">
        <v>28630</v>
      </c>
      <c r="C27" s="76">
        <v>1</v>
      </c>
      <c r="D27" s="76">
        <v>8</v>
      </c>
      <c r="E27" s="76">
        <v>9</v>
      </c>
      <c r="F27" s="76">
        <v>3</v>
      </c>
      <c r="G27" s="76">
        <v>3</v>
      </c>
      <c r="H27" s="76">
        <v>7</v>
      </c>
      <c r="I27" s="13">
        <v>8</v>
      </c>
      <c r="J27" s="193">
        <v>9758773</v>
      </c>
      <c r="K27" s="143">
        <v>1</v>
      </c>
      <c r="L27" s="34">
        <v>1777777.7</v>
      </c>
      <c r="M27" s="18">
        <v>1193317.2</v>
      </c>
      <c r="N27" s="56">
        <v>6</v>
      </c>
      <c r="O27" s="57">
        <v>72</v>
      </c>
      <c r="P27" s="57">
        <v>912</v>
      </c>
      <c r="Q27" s="58">
        <v>8934</v>
      </c>
      <c r="R27" s="59">
        <v>87640</v>
      </c>
      <c r="V27" s="4"/>
    </row>
    <row r="28" spans="1:22" x14ac:dyDescent="0.15">
      <c r="A28" s="120">
        <v>21</v>
      </c>
      <c r="B28" s="104">
        <v>28637</v>
      </c>
      <c r="C28" s="76">
        <v>2</v>
      </c>
      <c r="D28" s="76">
        <v>2</v>
      </c>
      <c r="E28" s="76">
        <v>9</v>
      </c>
      <c r="F28" s="76">
        <v>9</v>
      </c>
      <c r="G28" s="76">
        <v>4</v>
      </c>
      <c r="H28" s="76">
        <v>7</v>
      </c>
      <c r="I28" s="13">
        <v>7</v>
      </c>
      <c r="J28" s="193">
        <v>9660025</v>
      </c>
      <c r="K28" s="143">
        <v>2</v>
      </c>
      <c r="L28" s="34">
        <v>877777.7</v>
      </c>
      <c r="M28" s="18">
        <v>189097.1</v>
      </c>
      <c r="N28" s="56">
        <v>13</v>
      </c>
      <c r="O28" s="57">
        <v>86</v>
      </c>
      <c r="P28" s="57">
        <v>874</v>
      </c>
      <c r="Q28" s="58">
        <v>8904</v>
      </c>
      <c r="R28" s="59">
        <v>87959</v>
      </c>
      <c r="V28" s="4"/>
    </row>
    <row r="29" spans="1:22" x14ac:dyDescent="0.15">
      <c r="A29" s="120">
        <v>22</v>
      </c>
      <c r="B29" s="104">
        <v>28644</v>
      </c>
      <c r="C29" s="76">
        <v>6</v>
      </c>
      <c r="D29" s="76">
        <v>2</v>
      </c>
      <c r="E29" s="76">
        <v>8</v>
      </c>
      <c r="F29" s="76">
        <v>1</v>
      </c>
      <c r="G29" s="76">
        <v>4</v>
      </c>
      <c r="H29" s="76">
        <v>1</v>
      </c>
      <c r="I29" s="13">
        <v>1</v>
      </c>
      <c r="J29" s="193">
        <v>9091718</v>
      </c>
      <c r="K29" s="143">
        <v>3</v>
      </c>
      <c r="L29" s="34">
        <v>277777.7</v>
      </c>
      <c r="M29" s="34">
        <v>62897.599999999999</v>
      </c>
      <c r="N29" s="56">
        <v>11</v>
      </c>
      <c r="O29" s="57">
        <v>90</v>
      </c>
      <c r="P29" s="57">
        <v>855</v>
      </c>
      <c r="Q29" s="58">
        <v>8045</v>
      </c>
      <c r="R29" s="59">
        <v>81778</v>
      </c>
      <c r="V29" s="4"/>
    </row>
    <row r="30" spans="1:22" x14ac:dyDescent="0.15">
      <c r="A30" s="120">
        <v>23</v>
      </c>
      <c r="B30" s="104">
        <v>28651</v>
      </c>
      <c r="C30" s="76">
        <v>1</v>
      </c>
      <c r="D30" s="76">
        <v>3</v>
      </c>
      <c r="E30" s="76">
        <v>9</v>
      </c>
      <c r="F30" s="76">
        <v>8</v>
      </c>
      <c r="G30" s="76">
        <v>1</v>
      </c>
      <c r="H30" s="76">
        <v>1</v>
      </c>
      <c r="I30" s="13">
        <v>0</v>
      </c>
      <c r="J30" s="193">
        <v>9219498</v>
      </c>
      <c r="K30" s="143">
        <v>1</v>
      </c>
      <c r="L30" s="34">
        <v>777777.7</v>
      </c>
      <c r="M30" s="18">
        <v>2192</v>
      </c>
      <c r="N30" s="56">
        <v>7</v>
      </c>
      <c r="O30" s="57">
        <v>77</v>
      </c>
      <c r="P30" s="57">
        <v>787</v>
      </c>
      <c r="Q30" s="58">
        <v>7970</v>
      </c>
      <c r="R30" s="59">
        <v>78706</v>
      </c>
      <c r="V30" s="4"/>
    </row>
    <row r="31" spans="1:22" x14ac:dyDescent="0.15">
      <c r="A31" s="120">
        <v>24</v>
      </c>
      <c r="B31" s="104">
        <v>28658</v>
      </c>
      <c r="C31" s="76">
        <v>9</v>
      </c>
      <c r="D31" s="76">
        <v>2</v>
      </c>
      <c r="E31" s="76">
        <v>3</v>
      </c>
      <c r="F31" s="76">
        <v>7</v>
      </c>
      <c r="G31" s="76">
        <v>1</v>
      </c>
      <c r="H31" s="76">
        <v>1</v>
      </c>
      <c r="I31" s="13">
        <v>3</v>
      </c>
      <c r="J31" s="193">
        <v>9340353</v>
      </c>
      <c r="K31" s="143">
        <v>1</v>
      </c>
      <c r="L31" s="34">
        <v>677777.7</v>
      </c>
      <c r="M31" s="18">
        <v>50886.2</v>
      </c>
      <c r="N31" s="56">
        <v>10</v>
      </c>
      <c r="O31" s="57">
        <v>95</v>
      </c>
      <c r="P31" s="57">
        <v>881</v>
      </c>
      <c r="Q31" s="58">
        <v>8799</v>
      </c>
      <c r="R31" s="59">
        <v>87728</v>
      </c>
      <c r="V31" s="4"/>
    </row>
    <row r="32" spans="1:22" x14ac:dyDescent="0.15">
      <c r="A32" s="120">
        <v>25</v>
      </c>
      <c r="B32" s="104">
        <v>28665</v>
      </c>
      <c r="C32" s="76">
        <v>0</v>
      </c>
      <c r="D32" s="76">
        <v>8</v>
      </c>
      <c r="E32" s="76">
        <v>1</v>
      </c>
      <c r="F32" s="76">
        <v>6</v>
      </c>
      <c r="G32" s="76">
        <v>5</v>
      </c>
      <c r="H32" s="76">
        <v>1</v>
      </c>
      <c r="I32" s="13">
        <v>4</v>
      </c>
      <c r="J32" s="193">
        <v>9374706</v>
      </c>
      <c r="K32" s="143">
        <v>2</v>
      </c>
      <c r="L32" s="34">
        <v>377777.7</v>
      </c>
      <c r="M32" s="18">
        <v>24474.6</v>
      </c>
      <c r="N32" s="56">
        <v>15</v>
      </c>
      <c r="O32" s="57">
        <v>80</v>
      </c>
      <c r="P32" s="57">
        <v>865</v>
      </c>
      <c r="Q32" s="58">
        <v>8517</v>
      </c>
      <c r="R32" s="59">
        <v>84861</v>
      </c>
      <c r="V32" s="4"/>
    </row>
    <row r="33" spans="1:22" x14ac:dyDescent="0.15">
      <c r="A33" s="120">
        <v>26</v>
      </c>
      <c r="B33" s="104">
        <v>28672</v>
      </c>
      <c r="C33" s="76">
        <v>1</v>
      </c>
      <c r="D33" s="76">
        <v>9</v>
      </c>
      <c r="E33" s="76">
        <v>1</v>
      </c>
      <c r="F33" s="76">
        <v>2</v>
      </c>
      <c r="G33" s="76">
        <v>8</v>
      </c>
      <c r="H33" s="76">
        <v>0</v>
      </c>
      <c r="I33" s="13">
        <v>2</v>
      </c>
      <c r="J33" s="193">
        <v>9455251</v>
      </c>
      <c r="K33" s="143" t="s">
        <v>23</v>
      </c>
      <c r="L33" s="34"/>
      <c r="M33" s="18">
        <v>759883</v>
      </c>
      <c r="N33" s="56">
        <v>11</v>
      </c>
      <c r="O33" s="57">
        <v>80</v>
      </c>
      <c r="P33" s="57">
        <v>849</v>
      </c>
      <c r="Q33" s="58">
        <v>8029</v>
      </c>
      <c r="R33" s="59">
        <v>81029</v>
      </c>
      <c r="V33" s="4"/>
    </row>
    <row r="34" spans="1:22" x14ac:dyDescent="0.15">
      <c r="A34" s="120">
        <v>27</v>
      </c>
      <c r="B34" s="104">
        <v>28679</v>
      </c>
      <c r="C34" s="76">
        <v>2</v>
      </c>
      <c r="D34" s="76">
        <v>9</v>
      </c>
      <c r="E34" s="76">
        <v>0</v>
      </c>
      <c r="F34" s="76">
        <v>7</v>
      </c>
      <c r="G34" s="76">
        <v>2</v>
      </c>
      <c r="H34" s="76">
        <v>5</v>
      </c>
      <c r="I34" s="113">
        <v>4</v>
      </c>
      <c r="J34" s="196">
        <v>9387779</v>
      </c>
      <c r="K34" s="143">
        <v>2</v>
      </c>
      <c r="L34" s="34">
        <v>677777.7</v>
      </c>
      <c r="M34" s="117">
        <v>134488.20000000001</v>
      </c>
      <c r="N34" s="56">
        <v>9</v>
      </c>
      <c r="O34" s="57">
        <v>89</v>
      </c>
      <c r="P34" s="57">
        <v>816</v>
      </c>
      <c r="Q34" s="58">
        <v>8427</v>
      </c>
      <c r="R34" s="59">
        <v>83423</v>
      </c>
      <c r="V34" s="4"/>
    </row>
    <row r="35" spans="1:22" x14ac:dyDescent="0.15">
      <c r="A35" s="120">
        <v>28</v>
      </c>
      <c r="B35" s="104">
        <v>28686</v>
      </c>
      <c r="C35" s="76">
        <v>5</v>
      </c>
      <c r="D35" s="76">
        <v>6</v>
      </c>
      <c r="E35" s="76">
        <v>8</v>
      </c>
      <c r="F35" s="76">
        <v>8</v>
      </c>
      <c r="G35" s="76">
        <v>0</v>
      </c>
      <c r="H35" s="76">
        <v>5</v>
      </c>
      <c r="I35" s="13">
        <v>3</v>
      </c>
      <c r="J35" s="193">
        <v>9250614</v>
      </c>
      <c r="K35" s="143" t="s">
        <v>23</v>
      </c>
      <c r="L35" s="34"/>
      <c r="M35" s="18">
        <v>853980.4</v>
      </c>
      <c r="N35" s="56">
        <v>9</v>
      </c>
      <c r="O35" s="57">
        <v>86</v>
      </c>
      <c r="P35" s="57">
        <v>810</v>
      </c>
      <c r="Q35" s="58">
        <v>8132</v>
      </c>
      <c r="R35" s="59">
        <v>83614</v>
      </c>
      <c r="V35" s="4"/>
    </row>
    <row r="36" spans="1:22" x14ac:dyDescent="0.15">
      <c r="A36" s="120">
        <v>29</v>
      </c>
      <c r="B36" s="104">
        <v>28693</v>
      </c>
      <c r="C36" s="76">
        <v>4</v>
      </c>
      <c r="D36" s="76">
        <v>6</v>
      </c>
      <c r="E36" s="76">
        <v>8</v>
      </c>
      <c r="F36" s="76">
        <v>1</v>
      </c>
      <c r="G36" s="76">
        <v>4</v>
      </c>
      <c r="H36" s="76">
        <v>6</v>
      </c>
      <c r="I36" s="113">
        <v>0</v>
      </c>
      <c r="J36" s="196">
        <v>9342501</v>
      </c>
      <c r="K36" s="143">
        <v>1</v>
      </c>
      <c r="L36" s="34">
        <v>1577777.7</v>
      </c>
      <c r="M36" s="34">
        <v>2841.7</v>
      </c>
      <c r="N36" s="56">
        <v>9</v>
      </c>
      <c r="O36" s="57">
        <v>92</v>
      </c>
      <c r="P36" s="57">
        <v>861</v>
      </c>
      <c r="Q36" s="58">
        <v>8569</v>
      </c>
      <c r="R36" s="59">
        <v>84413</v>
      </c>
      <c r="V36" s="4"/>
    </row>
    <row r="37" spans="1:22" x14ac:dyDescent="0.15">
      <c r="A37" s="120">
        <v>30</v>
      </c>
      <c r="B37" s="104">
        <v>28700</v>
      </c>
      <c r="C37" s="76">
        <v>9</v>
      </c>
      <c r="D37" s="76">
        <v>4</v>
      </c>
      <c r="E37" s="76">
        <v>9</v>
      </c>
      <c r="F37" s="76">
        <v>6</v>
      </c>
      <c r="G37" s="76">
        <v>0</v>
      </c>
      <c r="H37" s="76">
        <v>4</v>
      </c>
      <c r="I37" s="13">
        <v>0</v>
      </c>
      <c r="J37" s="193">
        <v>9286784</v>
      </c>
      <c r="K37" s="143">
        <v>1</v>
      </c>
      <c r="L37" s="34">
        <v>677777.7</v>
      </c>
      <c r="M37" s="18">
        <v>47369.4</v>
      </c>
      <c r="N37" s="56">
        <v>9</v>
      </c>
      <c r="O37" s="57">
        <v>79</v>
      </c>
      <c r="P37" s="57">
        <v>814</v>
      </c>
      <c r="Q37" s="58">
        <v>7813</v>
      </c>
      <c r="R37" s="59">
        <v>81015</v>
      </c>
      <c r="V37" s="4"/>
    </row>
    <row r="38" spans="1:22" x14ac:dyDescent="0.15">
      <c r="A38" s="120">
        <v>31</v>
      </c>
      <c r="B38" s="104">
        <v>28707</v>
      </c>
      <c r="C38" s="76">
        <v>7</v>
      </c>
      <c r="D38" s="76">
        <v>4</v>
      </c>
      <c r="E38" s="76">
        <v>7</v>
      </c>
      <c r="F38" s="76">
        <v>4</v>
      </c>
      <c r="G38" s="76">
        <v>9</v>
      </c>
      <c r="H38" s="76">
        <v>6</v>
      </c>
      <c r="I38" s="13">
        <v>3</v>
      </c>
      <c r="J38" s="193">
        <v>9409175</v>
      </c>
      <c r="K38" s="143" t="s">
        <v>23</v>
      </c>
      <c r="L38" s="34"/>
      <c r="M38" s="18">
        <v>779194.1</v>
      </c>
      <c r="N38" s="56">
        <v>8</v>
      </c>
      <c r="O38" s="57">
        <v>89</v>
      </c>
      <c r="P38" s="57">
        <v>890</v>
      </c>
      <c r="Q38" s="58">
        <v>8764</v>
      </c>
      <c r="R38" s="59">
        <v>85197</v>
      </c>
      <c r="V38" s="4"/>
    </row>
    <row r="39" spans="1:22" x14ac:dyDescent="0.15">
      <c r="A39" s="120">
        <v>32</v>
      </c>
      <c r="B39" s="104">
        <v>28714</v>
      </c>
      <c r="C39" s="76">
        <v>7</v>
      </c>
      <c r="D39" s="76">
        <v>7</v>
      </c>
      <c r="E39" s="76">
        <v>8</v>
      </c>
      <c r="F39" s="76">
        <v>8</v>
      </c>
      <c r="G39" s="76">
        <v>6</v>
      </c>
      <c r="H39" s="76">
        <v>3</v>
      </c>
      <c r="I39" s="13">
        <v>4</v>
      </c>
      <c r="J39" s="193">
        <v>9540467</v>
      </c>
      <c r="K39" s="143">
        <v>1</v>
      </c>
      <c r="L39" s="34">
        <v>1477777.7</v>
      </c>
      <c r="M39" s="18">
        <v>43452.7</v>
      </c>
      <c r="N39" s="56">
        <v>8</v>
      </c>
      <c r="O39" s="57">
        <v>92</v>
      </c>
      <c r="P39" s="57">
        <v>885</v>
      </c>
      <c r="Q39" s="58">
        <v>8599</v>
      </c>
      <c r="R39" s="59">
        <v>85656</v>
      </c>
      <c r="V39" s="4"/>
    </row>
    <row r="40" spans="1:22" x14ac:dyDescent="0.15">
      <c r="A40" s="120">
        <v>33</v>
      </c>
      <c r="B40" s="104">
        <v>28721</v>
      </c>
      <c r="C40" s="76">
        <v>5</v>
      </c>
      <c r="D40" s="76">
        <v>9</v>
      </c>
      <c r="E40" s="76">
        <v>8</v>
      </c>
      <c r="F40" s="76">
        <v>3</v>
      </c>
      <c r="G40" s="76">
        <v>3</v>
      </c>
      <c r="H40" s="76">
        <v>4</v>
      </c>
      <c r="I40" s="13">
        <v>5</v>
      </c>
      <c r="J40" s="193">
        <v>9540985</v>
      </c>
      <c r="K40" s="143" t="s">
        <v>23</v>
      </c>
      <c r="L40" s="34"/>
      <c r="M40" s="18">
        <v>785529.3</v>
      </c>
      <c r="N40" s="56">
        <v>8</v>
      </c>
      <c r="O40" s="57">
        <v>82</v>
      </c>
      <c r="P40" s="57">
        <v>871</v>
      </c>
      <c r="Q40" s="58">
        <v>8935</v>
      </c>
      <c r="R40" s="59">
        <v>86910</v>
      </c>
      <c r="V40" s="4"/>
    </row>
    <row r="41" spans="1:22" x14ac:dyDescent="0.15">
      <c r="A41" s="120">
        <v>34</v>
      </c>
      <c r="B41" s="104">
        <v>28728</v>
      </c>
      <c r="C41" s="76">
        <v>1</v>
      </c>
      <c r="D41" s="76">
        <v>9</v>
      </c>
      <c r="E41" s="76">
        <v>7</v>
      </c>
      <c r="F41" s="76">
        <v>2</v>
      </c>
      <c r="G41" s="76">
        <v>6</v>
      </c>
      <c r="H41" s="14">
        <v>7</v>
      </c>
      <c r="I41" s="14">
        <v>9</v>
      </c>
      <c r="J41" s="193">
        <v>9530673</v>
      </c>
      <c r="K41" s="143">
        <v>1</v>
      </c>
      <c r="L41" s="34">
        <v>1477777.7</v>
      </c>
      <c r="M41" s="18">
        <v>49026.2</v>
      </c>
      <c r="N41" s="56">
        <v>8</v>
      </c>
      <c r="O41" s="57">
        <v>85</v>
      </c>
      <c r="P41" s="57">
        <v>873</v>
      </c>
      <c r="Q41" s="58">
        <v>8631</v>
      </c>
      <c r="R41" s="59">
        <v>86751</v>
      </c>
      <c r="V41" s="4"/>
    </row>
    <row r="42" spans="1:22" s="90" customFormat="1" x14ac:dyDescent="0.15">
      <c r="A42" s="120">
        <v>35</v>
      </c>
      <c r="B42" s="104">
        <v>28735</v>
      </c>
      <c r="C42" s="76">
        <v>0</v>
      </c>
      <c r="D42" s="76">
        <v>2</v>
      </c>
      <c r="E42" s="76">
        <v>0</v>
      </c>
      <c r="F42" s="76">
        <v>3</v>
      </c>
      <c r="G42" s="76">
        <v>2</v>
      </c>
      <c r="H42" s="115">
        <v>9</v>
      </c>
      <c r="I42" s="13">
        <v>1</v>
      </c>
      <c r="J42" s="196">
        <v>9717846</v>
      </c>
      <c r="K42" s="190">
        <v>1</v>
      </c>
      <c r="L42" s="34">
        <v>777777.7</v>
      </c>
      <c r="M42" s="34">
        <v>27081</v>
      </c>
      <c r="N42" s="56">
        <v>10</v>
      </c>
      <c r="O42" s="57">
        <v>79</v>
      </c>
      <c r="P42" s="57">
        <v>909</v>
      </c>
      <c r="Q42" s="58">
        <v>8438</v>
      </c>
      <c r="R42" s="59">
        <v>84952</v>
      </c>
      <c r="S42" s="91"/>
      <c r="V42" s="100"/>
    </row>
    <row r="43" spans="1:22" s="90" customFormat="1" x14ac:dyDescent="0.15">
      <c r="A43" s="120">
        <v>36</v>
      </c>
      <c r="B43" s="104">
        <v>28742</v>
      </c>
      <c r="C43" s="103">
        <v>6</v>
      </c>
      <c r="D43" s="103">
        <v>7</v>
      </c>
      <c r="E43" s="103">
        <v>2</v>
      </c>
      <c r="F43" s="103">
        <v>5</v>
      </c>
      <c r="G43" s="103">
        <v>6</v>
      </c>
      <c r="H43" s="115">
        <v>1</v>
      </c>
      <c r="I43" s="113">
        <v>6</v>
      </c>
      <c r="J43" s="196">
        <v>9637926</v>
      </c>
      <c r="K43" s="143" t="s">
        <v>23</v>
      </c>
      <c r="L43" s="34"/>
      <c r="M43" s="18">
        <v>776697.5</v>
      </c>
      <c r="N43" s="56">
        <v>11</v>
      </c>
      <c r="O43" s="57">
        <v>87</v>
      </c>
      <c r="P43" s="57">
        <v>809</v>
      </c>
      <c r="Q43" s="58">
        <v>8780</v>
      </c>
      <c r="R43" s="59">
        <v>87943</v>
      </c>
      <c r="S43" s="91"/>
      <c r="V43" s="100"/>
    </row>
    <row r="44" spans="1:22" s="90" customFormat="1" x14ac:dyDescent="0.15">
      <c r="A44" s="120">
        <v>37</v>
      </c>
      <c r="B44" s="104">
        <v>28749</v>
      </c>
      <c r="C44" s="103">
        <v>4</v>
      </c>
      <c r="D44" s="103">
        <v>7</v>
      </c>
      <c r="E44" s="103">
        <v>1</v>
      </c>
      <c r="F44" s="103">
        <v>9</v>
      </c>
      <c r="G44" s="103">
        <v>6</v>
      </c>
      <c r="H44" s="115">
        <v>1</v>
      </c>
      <c r="I44" s="13">
        <v>6</v>
      </c>
      <c r="J44" s="193">
        <v>9906782</v>
      </c>
      <c r="K44" s="190">
        <v>1</v>
      </c>
      <c r="L44" s="34">
        <v>1477777.7</v>
      </c>
      <c r="M44" s="18">
        <v>69447.3</v>
      </c>
      <c r="N44" s="56">
        <v>10</v>
      </c>
      <c r="O44" s="57">
        <v>106</v>
      </c>
      <c r="P44" s="57">
        <v>803</v>
      </c>
      <c r="Q44" s="58">
        <v>8244</v>
      </c>
      <c r="R44" s="59">
        <v>85783</v>
      </c>
      <c r="S44" s="91"/>
      <c r="V44" s="100"/>
    </row>
    <row r="45" spans="1:22" s="90" customFormat="1" x14ac:dyDescent="0.15">
      <c r="A45" s="120">
        <v>38</v>
      </c>
      <c r="B45" s="104">
        <v>28756</v>
      </c>
      <c r="C45" s="76">
        <v>9</v>
      </c>
      <c r="D45" s="76">
        <v>2</v>
      </c>
      <c r="E45" s="76">
        <v>7</v>
      </c>
      <c r="F45" s="76">
        <v>1</v>
      </c>
      <c r="G45" s="76">
        <v>1</v>
      </c>
      <c r="H45" s="76">
        <v>1</v>
      </c>
      <c r="I45" s="13">
        <v>9</v>
      </c>
      <c r="J45" s="193">
        <v>12440206</v>
      </c>
      <c r="K45" s="143" t="s">
        <v>23</v>
      </c>
      <c r="L45" s="34"/>
      <c r="M45" s="18">
        <v>1037018.9</v>
      </c>
      <c r="N45" s="56">
        <v>10</v>
      </c>
      <c r="O45" s="57">
        <v>124</v>
      </c>
      <c r="P45" s="57">
        <v>1092</v>
      </c>
      <c r="Q45" s="58">
        <v>11345</v>
      </c>
      <c r="R45" s="59">
        <v>114014</v>
      </c>
      <c r="S45" s="91"/>
      <c r="V45" s="100"/>
    </row>
    <row r="46" spans="1:22" s="90" customFormat="1" x14ac:dyDescent="0.15">
      <c r="A46" s="120">
        <v>39</v>
      </c>
      <c r="B46" s="104">
        <v>28763</v>
      </c>
      <c r="C46" s="76">
        <v>9</v>
      </c>
      <c r="D46" s="76">
        <v>9</v>
      </c>
      <c r="E46" s="76">
        <v>1</v>
      </c>
      <c r="F46" s="76">
        <v>4</v>
      </c>
      <c r="G46" s="76">
        <v>1</v>
      </c>
      <c r="H46" s="76">
        <v>2</v>
      </c>
      <c r="I46" s="13">
        <v>7</v>
      </c>
      <c r="J46" s="193">
        <v>11292205</v>
      </c>
      <c r="K46" s="143" t="s">
        <v>23</v>
      </c>
      <c r="L46" s="34"/>
      <c r="M46" s="18">
        <v>1915301.5</v>
      </c>
      <c r="N46" s="56">
        <v>9</v>
      </c>
      <c r="O46" s="57">
        <v>110</v>
      </c>
      <c r="P46" s="57">
        <v>1031</v>
      </c>
      <c r="Q46" s="58">
        <v>10389</v>
      </c>
      <c r="R46" s="59">
        <v>104317</v>
      </c>
      <c r="S46" s="91"/>
      <c r="V46" s="100"/>
    </row>
    <row r="47" spans="1:22" s="90" customFormat="1" x14ac:dyDescent="0.15">
      <c r="A47" s="120">
        <v>40</v>
      </c>
      <c r="B47" s="104">
        <v>28770</v>
      </c>
      <c r="C47" s="76">
        <v>9</v>
      </c>
      <c r="D47" s="76">
        <v>7</v>
      </c>
      <c r="E47" s="76">
        <v>4</v>
      </c>
      <c r="F47" s="76">
        <v>4</v>
      </c>
      <c r="G47" s="76">
        <v>4</v>
      </c>
      <c r="H47" s="76">
        <v>6</v>
      </c>
      <c r="I47" s="13">
        <v>0</v>
      </c>
      <c r="J47" s="193">
        <v>11412414</v>
      </c>
      <c r="K47" s="143" t="s">
        <v>23</v>
      </c>
      <c r="L47" s="34"/>
      <c r="M47" s="18">
        <v>2802933.7</v>
      </c>
      <c r="N47" s="56">
        <v>13</v>
      </c>
      <c r="O47" s="57">
        <v>78</v>
      </c>
      <c r="P47" s="57">
        <v>998</v>
      </c>
      <c r="Q47" s="58">
        <v>10167</v>
      </c>
      <c r="R47" s="59">
        <v>99871</v>
      </c>
      <c r="S47" s="91"/>
      <c r="V47" s="100"/>
    </row>
    <row r="48" spans="1:22" s="90" customFormat="1" x14ac:dyDescent="0.15">
      <c r="A48" s="120">
        <v>41</v>
      </c>
      <c r="B48" s="104">
        <v>28777</v>
      </c>
      <c r="C48" s="76">
        <v>5</v>
      </c>
      <c r="D48" s="76">
        <v>6</v>
      </c>
      <c r="E48" s="76">
        <v>1</v>
      </c>
      <c r="F48" s="76">
        <v>5</v>
      </c>
      <c r="G48" s="76">
        <v>3</v>
      </c>
      <c r="H48" s="76">
        <v>5</v>
      </c>
      <c r="I48" s="13">
        <v>4</v>
      </c>
      <c r="J48" s="193">
        <v>11450036</v>
      </c>
      <c r="K48" s="190">
        <v>1</v>
      </c>
      <c r="L48" s="34">
        <v>1777777.7</v>
      </c>
      <c r="M48" s="18">
        <v>1915714.3</v>
      </c>
      <c r="N48" s="56">
        <v>9</v>
      </c>
      <c r="O48" s="57">
        <v>104</v>
      </c>
      <c r="P48" s="57">
        <v>1096</v>
      </c>
      <c r="Q48" s="58">
        <v>10591</v>
      </c>
      <c r="R48" s="59">
        <v>103840</v>
      </c>
      <c r="S48" s="91"/>
      <c r="V48" s="100"/>
    </row>
    <row r="49" spans="1:22" s="90" customFormat="1" x14ac:dyDescent="0.15">
      <c r="A49" s="120">
        <v>42</v>
      </c>
      <c r="B49" s="104">
        <v>28784</v>
      </c>
      <c r="C49" s="76">
        <v>0</v>
      </c>
      <c r="D49" s="76">
        <v>6</v>
      </c>
      <c r="E49" s="76">
        <v>3</v>
      </c>
      <c r="F49" s="76">
        <v>3</v>
      </c>
      <c r="G49" s="76">
        <v>9</v>
      </c>
      <c r="H49" s="76">
        <v>5</v>
      </c>
      <c r="I49" s="13">
        <v>8</v>
      </c>
      <c r="J49" s="193">
        <v>11391276</v>
      </c>
      <c r="K49" s="143" t="s">
        <v>23</v>
      </c>
      <c r="L49" s="34"/>
      <c r="M49" s="18">
        <v>2801702.4</v>
      </c>
      <c r="N49" s="56">
        <v>8</v>
      </c>
      <c r="O49" s="57">
        <v>110</v>
      </c>
      <c r="P49" s="57">
        <v>974</v>
      </c>
      <c r="Q49" s="58">
        <v>10121</v>
      </c>
      <c r="R49" s="59">
        <v>102573</v>
      </c>
      <c r="S49" s="91"/>
      <c r="V49" s="100"/>
    </row>
    <row r="50" spans="1:22" s="90" customFormat="1" x14ac:dyDescent="0.15">
      <c r="A50" s="120">
        <v>43</v>
      </c>
      <c r="B50" s="104">
        <v>28791</v>
      </c>
      <c r="C50" s="76">
        <v>0</v>
      </c>
      <c r="D50" s="76">
        <v>7</v>
      </c>
      <c r="E50" s="76">
        <v>6</v>
      </c>
      <c r="F50" s="76">
        <v>0</v>
      </c>
      <c r="G50" s="76">
        <v>1</v>
      </c>
      <c r="H50" s="76">
        <v>5</v>
      </c>
      <c r="I50" s="13">
        <v>9</v>
      </c>
      <c r="J50" s="193">
        <v>11414778</v>
      </c>
      <c r="K50" s="190">
        <v>1</v>
      </c>
      <c r="L50" s="34">
        <v>1777777.7</v>
      </c>
      <c r="M50" s="18">
        <v>1911740.8</v>
      </c>
      <c r="N50" s="56">
        <v>8</v>
      </c>
      <c r="O50" s="57">
        <v>99</v>
      </c>
      <c r="P50" s="57">
        <v>1039</v>
      </c>
      <c r="Q50" s="58">
        <v>10199</v>
      </c>
      <c r="R50" s="59">
        <v>101059</v>
      </c>
      <c r="S50" s="91"/>
      <c r="V50" s="100"/>
    </row>
    <row r="51" spans="1:22" s="90" customFormat="1" x14ac:dyDescent="0.15">
      <c r="A51" s="120">
        <v>44</v>
      </c>
      <c r="B51" s="104">
        <v>28798</v>
      </c>
      <c r="C51" s="76">
        <v>6</v>
      </c>
      <c r="D51" s="76">
        <v>6</v>
      </c>
      <c r="E51" s="76">
        <v>1</v>
      </c>
      <c r="F51" s="76">
        <v>0</v>
      </c>
      <c r="G51" s="76">
        <v>5</v>
      </c>
      <c r="H51" s="76">
        <v>9</v>
      </c>
      <c r="I51" s="13">
        <v>9</v>
      </c>
      <c r="J51" s="193">
        <v>11507152</v>
      </c>
      <c r="K51" s="143" t="s">
        <v>23</v>
      </c>
      <c r="L51" s="34"/>
      <c r="M51" s="34">
        <v>2806741.5</v>
      </c>
      <c r="N51" s="56">
        <v>12</v>
      </c>
      <c r="O51" s="57">
        <v>110</v>
      </c>
      <c r="P51" s="57">
        <v>977</v>
      </c>
      <c r="Q51" s="58">
        <v>10032</v>
      </c>
      <c r="R51" s="59">
        <v>101736</v>
      </c>
      <c r="S51" s="91"/>
      <c r="V51" s="100"/>
    </row>
    <row r="52" spans="1:22" s="90" customFormat="1" x14ac:dyDescent="0.15">
      <c r="A52" s="120">
        <v>45</v>
      </c>
      <c r="B52" s="104">
        <v>28805</v>
      </c>
      <c r="C52" s="76">
        <v>1</v>
      </c>
      <c r="D52" s="76">
        <v>0</v>
      </c>
      <c r="E52" s="76">
        <v>5</v>
      </c>
      <c r="F52" s="76">
        <v>4</v>
      </c>
      <c r="G52" s="76">
        <v>0</v>
      </c>
      <c r="H52" s="76">
        <v>2</v>
      </c>
      <c r="I52" s="13">
        <v>2</v>
      </c>
      <c r="J52" s="196">
        <v>11582809</v>
      </c>
      <c r="K52" s="190">
        <v>3</v>
      </c>
      <c r="L52" s="34">
        <v>1177777.7</v>
      </c>
      <c r="M52" s="18">
        <v>174293.5</v>
      </c>
      <c r="N52" s="56">
        <v>5</v>
      </c>
      <c r="O52" s="57">
        <v>93</v>
      </c>
      <c r="P52" s="57">
        <v>971</v>
      </c>
      <c r="Q52" s="58">
        <v>10305</v>
      </c>
      <c r="R52" s="59">
        <v>104427</v>
      </c>
      <c r="S52" s="91"/>
    </row>
    <row r="53" spans="1:22" s="90" customFormat="1" x14ac:dyDescent="0.15">
      <c r="A53" s="120">
        <v>46</v>
      </c>
      <c r="B53" s="104">
        <v>28812</v>
      </c>
      <c r="C53" s="76">
        <v>8</v>
      </c>
      <c r="D53" s="76">
        <v>2</v>
      </c>
      <c r="E53" s="76">
        <v>7</v>
      </c>
      <c r="F53" s="76">
        <v>2</v>
      </c>
      <c r="G53" s="76">
        <v>8</v>
      </c>
      <c r="H53" s="76">
        <v>5</v>
      </c>
      <c r="I53" s="13">
        <v>4</v>
      </c>
      <c r="J53" s="196">
        <v>11840273</v>
      </c>
      <c r="K53" s="190">
        <v>1</v>
      </c>
      <c r="L53" s="34">
        <v>1077777.7</v>
      </c>
      <c r="M53" s="18">
        <v>17425.900000000001</v>
      </c>
      <c r="N53" s="56">
        <v>7</v>
      </c>
      <c r="O53" s="57">
        <v>79</v>
      </c>
      <c r="P53" s="57">
        <v>1082</v>
      </c>
      <c r="Q53" s="58">
        <v>10774</v>
      </c>
      <c r="R53" s="59">
        <v>107579</v>
      </c>
      <c r="S53" s="91"/>
    </row>
    <row r="54" spans="1:22" s="90" customFormat="1" x14ac:dyDescent="0.15">
      <c r="A54" s="120">
        <v>47</v>
      </c>
      <c r="B54" s="104">
        <v>28819</v>
      </c>
      <c r="C54" s="76">
        <v>9</v>
      </c>
      <c r="D54" s="76">
        <v>4</v>
      </c>
      <c r="E54" s="76">
        <v>5</v>
      </c>
      <c r="F54" s="76">
        <v>8</v>
      </c>
      <c r="G54" s="76">
        <v>2</v>
      </c>
      <c r="H54" s="76">
        <v>6</v>
      </c>
      <c r="I54" s="13">
        <v>8</v>
      </c>
      <c r="J54" s="193">
        <v>11634206</v>
      </c>
      <c r="K54" s="190">
        <v>3</v>
      </c>
      <c r="L54" s="34">
        <v>277777.7</v>
      </c>
      <c r="M54" s="34">
        <v>88975.5</v>
      </c>
      <c r="N54" s="56">
        <v>9</v>
      </c>
      <c r="O54" s="57">
        <v>110</v>
      </c>
      <c r="P54" s="57">
        <v>1087</v>
      </c>
      <c r="Q54" s="58">
        <v>10505</v>
      </c>
      <c r="R54" s="59">
        <v>105013</v>
      </c>
      <c r="S54" s="91"/>
    </row>
    <row r="55" spans="1:22" s="90" customFormat="1" x14ac:dyDescent="0.15">
      <c r="A55" s="120">
        <v>48</v>
      </c>
      <c r="B55" s="104">
        <v>28826</v>
      </c>
      <c r="C55" s="76">
        <v>0</v>
      </c>
      <c r="D55" s="76">
        <v>3</v>
      </c>
      <c r="E55" s="76">
        <v>1</v>
      </c>
      <c r="F55" s="76">
        <v>5</v>
      </c>
      <c r="G55" s="76">
        <v>9</v>
      </c>
      <c r="H55" s="76">
        <v>0</v>
      </c>
      <c r="I55" s="13">
        <v>4</v>
      </c>
      <c r="J55" s="193">
        <v>17757525</v>
      </c>
      <c r="K55" s="190">
        <v>3</v>
      </c>
      <c r="L55" s="34">
        <v>477777.7</v>
      </c>
      <c r="M55" s="18">
        <v>36783.199999999997</v>
      </c>
      <c r="N55" s="56">
        <v>17</v>
      </c>
      <c r="O55" s="57">
        <v>147</v>
      </c>
      <c r="P55" s="57">
        <v>1468</v>
      </c>
      <c r="Q55" s="58">
        <v>15364</v>
      </c>
      <c r="R55" s="59">
        <v>152390</v>
      </c>
      <c r="S55" s="91"/>
    </row>
    <row r="56" spans="1:22" s="90" customFormat="1" x14ac:dyDescent="0.15">
      <c r="A56" s="120">
        <v>49</v>
      </c>
      <c r="B56" s="104">
        <v>28833</v>
      </c>
      <c r="C56" s="76">
        <v>1</v>
      </c>
      <c r="D56" s="76">
        <v>6</v>
      </c>
      <c r="E56" s="76">
        <v>2</v>
      </c>
      <c r="F56" s="76">
        <v>3</v>
      </c>
      <c r="G56" s="76">
        <v>3</v>
      </c>
      <c r="H56" s="76">
        <v>9</v>
      </c>
      <c r="I56" s="13">
        <v>3</v>
      </c>
      <c r="J56" s="193">
        <v>12225351</v>
      </c>
      <c r="K56" s="190">
        <v>2</v>
      </c>
      <c r="L56" s="34">
        <v>477777.7</v>
      </c>
      <c r="M56" s="18">
        <v>32088.400000000001</v>
      </c>
      <c r="N56" s="56">
        <v>11</v>
      </c>
      <c r="O56" s="57">
        <v>117</v>
      </c>
      <c r="P56" s="57">
        <v>1162</v>
      </c>
      <c r="Q56" s="58">
        <v>10988</v>
      </c>
      <c r="R56" s="59">
        <v>111092</v>
      </c>
      <c r="S56" s="91"/>
    </row>
    <row r="57" spans="1:22" s="90" customFormat="1" x14ac:dyDescent="0.15">
      <c r="A57" s="120">
        <v>50</v>
      </c>
      <c r="B57" s="104">
        <v>28840</v>
      </c>
      <c r="C57" s="76">
        <v>3</v>
      </c>
      <c r="D57" s="76">
        <v>6</v>
      </c>
      <c r="E57" s="76">
        <v>8</v>
      </c>
      <c r="F57" s="76">
        <v>5</v>
      </c>
      <c r="G57" s="76">
        <v>3</v>
      </c>
      <c r="H57" s="76">
        <v>8</v>
      </c>
      <c r="I57" s="13">
        <v>6</v>
      </c>
      <c r="J57" s="193">
        <v>13821617</v>
      </c>
      <c r="K57" s="190">
        <v>2</v>
      </c>
      <c r="L57" s="34">
        <v>477777.7</v>
      </c>
      <c r="M57" s="18">
        <v>151547.6</v>
      </c>
      <c r="N57" s="56">
        <v>14</v>
      </c>
      <c r="O57" s="57">
        <v>115</v>
      </c>
      <c r="P57" s="57">
        <v>1236</v>
      </c>
      <c r="Q57" s="58">
        <v>12308</v>
      </c>
      <c r="R57" s="59">
        <v>125238</v>
      </c>
      <c r="S57" s="91"/>
    </row>
    <row r="58" spans="1:22" s="147" customFormat="1" x14ac:dyDescent="0.15">
      <c r="A58" s="194">
        <v>51</v>
      </c>
      <c r="B58" s="195">
        <v>28847</v>
      </c>
      <c r="C58" s="103">
        <v>0</v>
      </c>
      <c r="D58" s="103">
        <v>2</v>
      </c>
      <c r="E58" s="103">
        <v>9</v>
      </c>
      <c r="F58" s="103">
        <v>3</v>
      </c>
      <c r="G58" s="103">
        <v>9</v>
      </c>
      <c r="H58" s="103">
        <v>0</v>
      </c>
      <c r="I58" s="113">
        <v>7</v>
      </c>
      <c r="J58" s="196">
        <v>11038623</v>
      </c>
      <c r="K58" s="191">
        <v>1</v>
      </c>
      <c r="L58" s="198">
        <v>977777.7</v>
      </c>
      <c r="M58" s="198">
        <v>32329.5</v>
      </c>
      <c r="N58" s="201">
        <v>7</v>
      </c>
      <c r="O58" s="118">
        <v>90</v>
      </c>
      <c r="P58" s="202">
        <v>981</v>
      </c>
      <c r="Q58" s="119">
        <v>10027</v>
      </c>
      <c r="R58" s="203">
        <v>98083</v>
      </c>
      <c r="S58" s="204"/>
    </row>
    <row r="59" spans="1:22" s="122" customFormat="1" x14ac:dyDescent="0.15">
      <c r="A59" s="140">
        <v>52</v>
      </c>
      <c r="B59" s="79">
        <v>28854</v>
      </c>
      <c r="C59" s="141">
        <v>6</v>
      </c>
      <c r="D59" s="141">
        <v>1</v>
      </c>
      <c r="E59" s="141">
        <v>5</v>
      </c>
      <c r="F59" s="141">
        <v>0</v>
      </c>
      <c r="G59" s="141">
        <v>2</v>
      </c>
      <c r="H59" s="123">
        <v>4</v>
      </c>
      <c r="I59" s="123">
        <v>7</v>
      </c>
      <c r="J59" s="205">
        <v>10668299</v>
      </c>
      <c r="K59" s="192" t="s">
        <v>23</v>
      </c>
      <c r="L59" s="42"/>
      <c r="M59" s="42">
        <v>862086.1</v>
      </c>
      <c r="N59" s="99">
        <v>10</v>
      </c>
      <c r="O59" s="62">
        <v>107</v>
      </c>
      <c r="P59" s="98">
        <v>893</v>
      </c>
      <c r="Q59" s="63">
        <v>9515</v>
      </c>
      <c r="R59" s="142">
        <v>93158</v>
      </c>
      <c r="S59" s="121"/>
    </row>
    <row r="60" spans="1:22" s="90" customFormat="1" x14ac:dyDescent="0.15">
      <c r="A60" s="101"/>
      <c r="B60" s="265"/>
      <c r="C60" s="97"/>
      <c r="D60" s="97"/>
      <c r="E60" s="97"/>
      <c r="F60" s="97"/>
      <c r="G60" s="97"/>
      <c r="H60" s="97" t="s">
        <v>24</v>
      </c>
      <c r="I60" s="97"/>
      <c r="J60" s="97"/>
      <c r="K60" s="262">
        <f>SUM(K8:K59)</f>
        <v>51</v>
      </c>
      <c r="L60" s="262"/>
      <c r="M60" s="262"/>
      <c r="N60" s="262">
        <f>SUM(N8:N59)</f>
        <v>492</v>
      </c>
      <c r="O60" s="262">
        <f>SUM(O8:O59)</f>
        <v>4844</v>
      </c>
      <c r="P60" s="262">
        <f>SUM(P8:P59)</f>
        <v>48069</v>
      </c>
      <c r="Q60" s="262">
        <f>SUM(Q8:Q59)</f>
        <v>482514</v>
      </c>
      <c r="R60" s="268">
        <f>SUM(R8:R59)</f>
        <v>4820292</v>
      </c>
      <c r="S60" s="91"/>
    </row>
    <row r="61" spans="1:22" s="90" customFormat="1" x14ac:dyDescent="0.15">
      <c r="A61" s="81"/>
      <c r="B61" s="82"/>
      <c r="C61" s="76"/>
      <c r="D61" s="76"/>
      <c r="E61" s="76"/>
      <c r="F61" s="76"/>
      <c r="G61" s="76"/>
      <c r="H61" s="76"/>
      <c r="I61" s="76"/>
      <c r="J61" s="83"/>
      <c r="K61" s="77"/>
      <c r="L61" s="84"/>
      <c r="M61" s="85"/>
      <c r="N61" s="86"/>
      <c r="O61" s="87"/>
      <c r="P61" s="87"/>
      <c r="Q61" s="88"/>
      <c r="R61" s="89"/>
      <c r="S61" s="91"/>
    </row>
    <row r="62" spans="1:22" s="90" customFormat="1" x14ac:dyDescent="0.15">
      <c r="A62" s="81"/>
      <c r="B62" s="82"/>
      <c r="C62" s="103"/>
      <c r="D62" s="103"/>
      <c r="E62" s="103"/>
      <c r="F62" s="103"/>
      <c r="G62" s="103"/>
      <c r="H62" s="103"/>
      <c r="I62" s="92"/>
      <c r="J62" s="83"/>
      <c r="K62" s="77"/>
      <c r="L62" s="9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92"/>
      <c r="D64" s="92"/>
      <c r="E64" s="92"/>
      <c r="F64" s="92"/>
      <c r="G64" s="92"/>
      <c r="H64" s="92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92"/>
      <c r="C65" s="92"/>
      <c r="D65" s="92"/>
      <c r="E65" s="92"/>
      <c r="F65" s="92"/>
      <c r="G65" s="92"/>
      <c r="H65" s="92"/>
      <c r="I65" s="92"/>
      <c r="J65" s="92"/>
      <c r="K65" s="93"/>
      <c r="L65" s="93"/>
      <c r="M65" s="93"/>
      <c r="N65" s="93"/>
      <c r="O65" s="93"/>
      <c r="P65" s="93"/>
      <c r="Q65" s="93"/>
      <c r="R65" s="93"/>
      <c r="S65" s="91"/>
      <c r="V65" s="111"/>
    </row>
    <row r="66" spans="1:22" s="90" customFormat="1" x14ac:dyDescent="0.15">
      <c r="L66" s="85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3"/>
  <sheetViews>
    <sheetView workbookViewId="0">
      <pane ySplit="7" topLeftCell="A8" activePane="bottomLeft" state="frozenSplit"/>
      <selection activeCell="J63" sqref="J63"/>
      <selection pane="bottomLeft" activeCell="A20" sqref="A20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28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 t="s">
        <v>19</v>
      </c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1979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20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22</v>
      </c>
      <c r="L6" s="209"/>
      <c r="M6" s="14" t="s">
        <v>14</v>
      </c>
      <c r="N6" s="189">
        <v>77777.7</v>
      </c>
      <c r="O6" s="189">
        <v>7777.7</v>
      </c>
      <c r="P6" s="189">
        <v>777.7</v>
      </c>
      <c r="Q6" s="189">
        <v>77.7</v>
      </c>
      <c r="R6" s="189">
        <v>7.7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120">
        <v>1</v>
      </c>
      <c r="B8" s="104">
        <v>28861</v>
      </c>
      <c r="C8" s="76">
        <v>0</v>
      </c>
      <c r="D8" s="76">
        <v>4</v>
      </c>
      <c r="E8" s="76">
        <v>0</v>
      </c>
      <c r="F8" s="76">
        <v>0</v>
      </c>
      <c r="G8" s="76">
        <v>2</v>
      </c>
      <c r="H8" s="76">
        <v>0</v>
      </c>
      <c r="I8" s="13">
        <v>2</v>
      </c>
      <c r="J8" s="33">
        <v>10133980</v>
      </c>
      <c r="K8" s="143" t="s">
        <v>23</v>
      </c>
      <c r="L8" s="34"/>
      <c r="M8" s="18">
        <v>1650284.5</v>
      </c>
      <c r="N8" s="56">
        <v>5</v>
      </c>
      <c r="O8" s="57">
        <v>84</v>
      </c>
      <c r="P8" s="57">
        <v>846</v>
      </c>
      <c r="Q8" s="58">
        <v>9000</v>
      </c>
      <c r="R8" s="59">
        <v>87948</v>
      </c>
      <c r="V8" s="4"/>
    </row>
    <row r="9" spans="1:22" x14ac:dyDescent="0.15">
      <c r="A9" s="120">
        <v>2</v>
      </c>
      <c r="B9" s="104">
        <v>28868</v>
      </c>
      <c r="C9" s="76">
        <v>3</v>
      </c>
      <c r="D9" s="76">
        <v>4</v>
      </c>
      <c r="E9" s="76">
        <v>0</v>
      </c>
      <c r="F9" s="76">
        <v>3</v>
      </c>
      <c r="G9" s="76">
        <v>4</v>
      </c>
      <c r="H9" s="76">
        <v>4</v>
      </c>
      <c r="I9" s="13">
        <v>7</v>
      </c>
      <c r="J9" s="33">
        <v>10757570</v>
      </c>
      <c r="K9" s="143">
        <v>1</v>
      </c>
      <c r="L9" s="34">
        <v>1777777.7</v>
      </c>
      <c r="M9" s="18">
        <v>709206.7</v>
      </c>
      <c r="N9" s="56">
        <v>16</v>
      </c>
      <c r="O9" s="57">
        <v>114</v>
      </c>
      <c r="P9" s="57">
        <v>952</v>
      </c>
      <c r="Q9" s="58">
        <v>9489</v>
      </c>
      <c r="R9" s="59">
        <v>95951</v>
      </c>
      <c r="V9" s="4"/>
    </row>
    <row r="10" spans="1:22" x14ac:dyDescent="0.15">
      <c r="A10" s="120">
        <v>3</v>
      </c>
      <c r="B10" s="104">
        <v>28875</v>
      </c>
      <c r="C10" s="76">
        <v>2</v>
      </c>
      <c r="D10" s="76">
        <v>6</v>
      </c>
      <c r="E10" s="76">
        <v>4</v>
      </c>
      <c r="F10" s="76">
        <v>1</v>
      </c>
      <c r="G10" s="76">
        <v>9</v>
      </c>
      <c r="H10" s="76">
        <v>0</v>
      </c>
      <c r="I10" s="13">
        <v>2</v>
      </c>
      <c r="J10" s="33">
        <v>11125254</v>
      </c>
      <c r="K10" s="143" t="s">
        <v>23</v>
      </c>
      <c r="L10" s="34"/>
      <c r="M10" s="18">
        <v>1574504.2</v>
      </c>
      <c r="N10" s="56">
        <v>8</v>
      </c>
      <c r="O10" s="57">
        <v>95</v>
      </c>
      <c r="P10" s="57">
        <v>997</v>
      </c>
      <c r="Q10" s="58">
        <v>9693</v>
      </c>
      <c r="R10" s="59">
        <v>96024</v>
      </c>
      <c r="V10" s="4"/>
    </row>
    <row r="11" spans="1:22" x14ac:dyDescent="0.15">
      <c r="A11" s="120">
        <v>4</v>
      </c>
      <c r="B11" s="104">
        <v>28882</v>
      </c>
      <c r="C11" s="76">
        <v>5</v>
      </c>
      <c r="D11" s="76">
        <v>4</v>
      </c>
      <c r="E11" s="76">
        <v>0</v>
      </c>
      <c r="F11" s="76">
        <v>7</v>
      </c>
      <c r="G11" s="76">
        <v>7</v>
      </c>
      <c r="H11" s="76">
        <v>9</v>
      </c>
      <c r="I11" s="13">
        <v>7</v>
      </c>
      <c r="J11" s="33">
        <v>10785500</v>
      </c>
      <c r="K11" s="143" t="s">
        <v>23</v>
      </c>
      <c r="L11" s="34"/>
      <c r="M11" s="18">
        <v>2413376.4</v>
      </c>
      <c r="N11" s="56">
        <v>11</v>
      </c>
      <c r="O11" s="57">
        <v>84</v>
      </c>
      <c r="P11" s="57">
        <v>986</v>
      </c>
      <c r="Q11" s="58">
        <v>9790</v>
      </c>
      <c r="R11" s="59">
        <v>98336</v>
      </c>
      <c r="V11" s="4"/>
    </row>
    <row r="12" spans="1:22" x14ac:dyDescent="0.15">
      <c r="A12" s="120">
        <v>5</v>
      </c>
      <c r="B12" s="104">
        <v>28889</v>
      </c>
      <c r="C12" s="76">
        <v>6</v>
      </c>
      <c r="D12" s="76">
        <v>8</v>
      </c>
      <c r="E12" s="76">
        <v>1</v>
      </c>
      <c r="F12" s="76">
        <v>5</v>
      </c>
      <c r="G12" s="76">
        <v>7</v>
      </c>
      <c r="H12" s="76">
        <v>2</v>
      </c>
      <c r="I12" s="13">
        <v>9</v>
      </c>
      <c r="J12" s="33">
        <v>10943530</v>
      </c>
      <c r="K12" s="143">
        <v>1</v>
      </c>
      <c r="L12" s="34">
        <v>1777777.7</v>
      </c>
      <c r="M12" s="117">
        <v>1486762.1</v>
      </c>
      <c r="N12" s="56">
        <v>8</v>
      </c>
      <c r="O12" s="57">
        <v>103</v>
      </c>
      <c r="P12" s="57">
        <v>985</v>
      </c>
      <c r="Q12" s="58">
        <v>9872</v>
      </c>
      <c r="R12" s="59">
        <v>99831</v>
      </c>
      <c r="V12" s="4"/>
    </row>
    <row r="13" spans="1:22" x14ac:dyDescent="0.15">
      <c r="A13" s="120">
        <v>6</v>
      </c>
      <c r="B13" s="104">
        <v>28896</v>
      </c>
      <c r="C13" s="76">
        <v>3</v>
      </c>
      <c r="D13" s="76">
        <v>0</v>
      </c>
      <c r="E13" s="76">
        <v>2</v>
      </c>
      <c r="F13" s="76">
        <v>0</v>
      </c>
      <c r="G13" s="76">
        <v>3</v>
      </c>
      <c r="H13" s="76">
        <v>6</v>
      </c>
      <c r="I13" s="13">
        <v>5</v>
      </c>
      <c r="J13" s="33">
        <v>10895623</v>
      </c>
      <c r="K13" s="143" t="s">
        <v>23</v>
      </c>
      <c r="L13" s="34"/>
      <c r="M13" s="34">
        <v>2334199.4</v>
      </c>
      <c r="N13" s="56">
        <v>9</v>
      </c>
      <c r="O13" s="57">
        <v>93</v>
      </c>
      <c r="P13" s="57">
        <v>974</v>
      </c>
      <c r="Q13" s="58">
        <v>10007</v>
      </c>
      <c r="R13" s="59">
        <v>98361</v>
      </c>
      <c r="V13" s="4"/>
    </row>
    <row r="14" spans="1:22" x14ac:dyDescent="0.15">
      <c r="A14" s="120">
        <v>7</v>
      </c>
      <c r="B14" s="104">
        <v>28903</v>
      </c>
      <c r="C14" s="76">
        <v>8</v>
      </c>
      <c r="D14" s="76">
        <v>5</v>
      </c>
      <c r="E14" s="76">
        <v>5</v>
      </c>
      <c r="F14" s="76">
        <v>7</v>
      </c>
      <c r="G14" s="76">
        <v>2</v>
      </c>
      <c r="H14" s="76">
        <v>0</v>
      </c>
      <c r="I14" s="13">
        <v>2</v>
      </c>
      <c r="J14" s="33">
        <v>10873795</v>
      </c>
      <c r="K14" s="143" t="s">
        <v>23</v>
      </c>
      <c r="L14" s="34"/>
      <c r="M14" s="18">
        <v>3179939</v>
      </c>
      <c r="N14" s="56">
        <v>4</v>
      </c>
      <c r="O14" s="57">
        <v>94</v>
      </c>
      <c r="P14" s="57">
        <v>998</v>
      </c>
      <c r="Q14" s="58">
        <v>9580</v>
      </c>
      <c r="R14" s="59">
        <v>94617</v>
      </c>
      <c r="V14" s="4"/>
    </row>
    <row r="15" spans="1:22" x14ac:dyDescent="0.15">
      <c r="A15" s="120">
        <v>8</v>
      </c>
      <c r="B15" s="104">
        <v>28910</v>
      </c>
      <c r="C15" s="76">
        <v>3</v>
      </c>
      <c r="D15" s="76">
        <v>8</v>
      </c>
      <c r="E15" s="76">
        <v>5</v>
      </c>
      <c r="F15" s="76">
        <v>9</v>
      </c>
      <c r="G15" s="76">
        <v>5</v>
      </c>
      <c r="H15" s="76">
        <v>1</v>
      </c>
      <c r="I15" s="13">
        <v>5</v>
      </c>
      <c r="J15" s="33">
        <v>11270407</v>
      </c>
      <c r="K15" s="143" t="s">
        <v>23</v>
      </c>
      <c r="L15" s="34"/>
      <c r="M15" s="18">
        <v>4056526.2</v>
      </c>
      <c r="N15" s="56">
        <v>10</v>
      </c>
      <c r="O15" s="57">
        <v>115</v>
      </c>
      <c r="P15" s="57">
        <v>1012</v>
      </c>
      <c r="Q15" s="58">
        <v>9959</v>
      </c>
      <c r="R15" s="59">
        <v>101741</v>
      </c>
      <c r="V15" s="4"/>
    </row>
    <row r="16" spans="1:22" x14ac:dyDescent="0.15">
      <c r="A16" s="120">
        <v>9</v>
      </c>
      <c r="B16" s="104">
        <v>28917</v>
      </c>
      <c r="C16" s="76">
        <v>2</v>
      </c>
      <c r="D16" s="76">
        <v>4</v>
      </c>
      <c r="E16" s="76">
        <v>5</v>
      </c>
      <c r="F16" s="76">
        <v>8</v>
      </c>
      <c r="G16" s="76">
        <v>1</v>
      </c>
      <c r="H16" s="76">
        <v>9</v>
      </c>
      <c r="I16" s="13">
        <v>2</v>
      </c>
      <c r="J16" s="33">
        <v>13259413</v>
      </c>
      <c r="K16" s="143" t="s">
        <v>23</v>
      </c>
      <c r="L16" s="34"/>
      <c r="M16" s="18">
        <v>5087813.9000000004</v>
      </c>
      <c r="N16" s="56">
        <v>9</v>
      </c>
      <c r="O16" s="57">
        <v>123</v>
      </c>
      <c r="P16" s="57">
        <v>1168</v>
      </c>
      <c r="Q16" s="58">
        <v>12075</v>
      </c>
      <c r="R16" s="59">
        <v>120379</v>
      </c>
      <c r="V16" s="4"/>
    </row>
    <row r="17" spans="1:22" x14ac:dyDescent="0.15">
      <c r="A17" s="120">
        <v>10</v>
      </c>
      <c r="B17" s="104">
        <v>28924</v>
      </c>
      <c r="C17" s="76">
        <v>5</v>
      </c>
      <c r="D17" s="76">
        <v>1</v>
      </c>
      <c r="E17" s="76">
        <v>1</v>
      </c>
      <c r="F17" s="76">
        <v>9</v>
      </c>
      <c r="G17" s="76">
        <v>7</v>
      </c>
      <c r="H17" s="76">
        <v>8</v>
      </c>
      <c r="I17" s="13">
        <v>8</v>
      </c>
      <c r="J17" s="33">
        <v>11382787</v>
      </c>
      <c r="K17" s="143">
        <v>3</v>
      </c>
      <c r="L17" s="34">
        <v>1777777.7</v>
      </c>
      <c r="M17" s="18">
        <v>639808.69999999995</v>
      </c>
      <c r="N17" s="56">
        <v>9</v>
      </c>
      <c r="O17" s="57">
        <v>94</v>
      </c>
      <c r="P17" s="57">
        <v>1073</v>
      </c>
      <c r="Q17" s="58">
        <v>10343</v>
      </c>
      <c r="R17" s="59">
        <v>102140</v>
      </c>
      <c r="V17" s="4"/>
    </row>
    <row r="18" spans="1:22" x14ac:dyDescent="0.15">
      <c r="A18" s="120">
        <v>11</v>
      </c>
      <c r="B18" s="104">
        <v>28931</v>
      </c>
      <c r="C18" s="76">
        <v>9</v>
      </c>
      <c r="D18" s="76">
        <v>5</v>
      </c>
      <c r="E18" s="76">
        <v>2</v>
      </c>
      <c r="F18" s="76">
        <v>5</v>
      </c>
      <c r="G18" s="76">
        <v>0</v>
      </c>
      <c r="H18" s="76">
        <v>8</v>
      </c>
      <c r="I18" s="13">
        <v>8</v>
      </c>
      <c r="J18" s="33">
        <v>11461774</v>
      </c>
      <c r="K18" s="143" t="s">
        <v>23</v>
      </c>
      <c r="L18" s="34"/>
      <c r="M18" s="18">
        <v>1531280</v>
      </c>
      <c r="N18" s="56">
        <v>10</v>
      </c>
      <c r="O18" s="57">
        <v>104</v>
      </c>
      <c r="P18" s="57">
        <v>929</v>
      </c>
      <c r="Q18" s="58">
        <v>9333</v>
      </c>
      <c r="R18" s="59">
        <v>96117</v>
      </c>
      <c r="V18" s="4"/>
    </row>
    <row r="19" spans="1:22" x14ac:dyDescent="0.15">
      <c r="A19" s="120">
        <v>12</v>
      </c>
      <c r="B19" s="104">
        <v>28938</v>
      </c>
      <c r="C19" s="76">
        <v>5</v>
      </c>
      <c r="D19" s="76">
        <v>6</v>
      </c>
      <c r="E19" s="76">
        <v>4</v>
      </c>
      <c r="F19" s="76">
        <v>8</v>
      </c>
      <c r="G19" s="76">
        <v>0</v>
      </c>
      <c r="H19" s="76">
        <v>9</v>
      </c>
      <c r="I19" s="13">
        <v>8</v>
      </c>
      <c r="J19" s="33">
        <v>11326575</v>
      </c>
      <c r="K19" s="143" t="s">
        <v>23</v>
      </c>
      <c r="L19" s="34"/>
      <c r="M19" s="18">
        <v>2412235.7999999998</v>
      </c>
      <c r="N19" s="56">
        <v>10</v>
      </c>
      <c r="O19" s="57">
        <v>109</v>
      </c>
      <c r="P19" s="57">
        <v>1075</v>
      </c>
      <c r="Q19" s="58">
        <v>9797</v>
      </c>
      <c r="R19" s="59">
        <v>102308</v>
      </c>
      <c r="V19" s="4"/>
    </row>
    <row r="20" spans="1:22" x14ac:dyDescent="0.15">
      <c r="A20" s="120">
        <v>13</v>
      </c>
      <c r="B20" s="104">
        <v>28945</v>
      </c>
      <c r="C20" s="76">
        <v>4</v>
      </c>
      <c r="D20" s="76">
        <v>0</v>
      </c>
      <c r="E20" s="76">
        <v>2</v>
      </c>
      <c r="F20" s="76">
        <v>3</v>
      </c>
      <c r="G20" s="76">
        <v>9</v>
      </c>
      <c r="H20" s="76">
        <v>2</v>
      </c>
      <c r="I20" s="13">
        <v>3</v>
      </c>
      <c r="J20" s="33">
        <v>11384361</v>
      </c>
      <c r="K20" s="143" t="s">
        <v>23</v>
      </c>
      <c r="L20" s="34"/>
      <c r="M20" s="18">
        <v>3297686.1</v>
      </c>
      <c r="N20" s="56">
        <v>7</v>
      </c>
      <c r="O20" s="57">
        <v>119</v>
      </c>
      <c r="P20" s="57">
        <v>1096</v>
      </c>
      <c r="Q20" s="58">
        <v>10543</v>
      </c>
      <c r="R20" s="59">
        <v>104095</v>
      </c>
      <c r="V20" s="4"/>
    </row>
    <row r="21" spans="1:22" x14ac:dyDescent="0.15">
      <c r="A21" s="120">
        <v>14</v>
      </c>
      <c r="B21" s="104">
        <v>28952</v>
      </c>
      <c r="C21" s="76">
        <v>2</v>
      </c>
      <c r="D21" s="76">
        <v>7</v>
      </c>
      <c r="E21" s="76">
        <v>3</v>
      </c>
      <c r="F21" s="76">
        <v>7</v>
      </c>
      <c r="G21" s="76">
        <v>8</v>
      </c>
      <c r="H21" s="76">
        <v>2</v>
      </c>
      <c r="I21" s="13">
        <v>2</v>
      </c>
      <c r="J21" s="33">
        <v>11215289</v>
      </c>
      <c r="K21" s="143">
        <v>1</v>
      </c>
      <c r="L21" s="34">
        <v>1777777.7</v>
      </c>
      <c r="M21" s="18">
        <v>2392208.6</v>
      </c>
      <c r="N21" s="56">
        <v>8</v>
      </c>
      <c r="O21" s="57">
        <v>123</v>
      </c>
      <c r="P21" s="57">
        <v>1034</v>
      </c>
      <c r="Q21" s="58">
        <v>10046</v>
      </c>
      <c r="R21" s="59">
        <v>99409</v>
      </c>
      <c r="V21" s="4"/>
    </row>
    <row r="22" spans="1:22" x14ac:dyDescent="0.15">
      <c r="A22" s="120">
        <v>15</v>
      </c>
      <c r="B22" s="104">
        <v>28959</v>
      </c>
      <c r="C22" s="76">
        <v>7</v>
      </c>
      <c r="D22" s="76">
        <v>5</v>
      </c>
      <c r="E22" s="76">
        <v>9</v>
      </c>
      <c r="F22" s="76">
        <v>2</v>
      </c>
      <c r="G22" s="76">
        <v>8</v>
      </c>
      <c r="H22" s="76">
        <v>6</v>
      </c>
      <c r="I22" s="13">
        <v>7</v>
      </c>
      <c r="J22" s="33">
        <v>10961000</v>
      </c>
      <c r="K22" s="143">
        <v>1</v>
      </c>
      <c r="L22" s="34">
        <v>1777777.7</v>
      </c>
      <c r="M22" s="18">
        <v>1466953.1</v>
      </c>
      <c r="N22" s="56">
        <v>19</v>
      </c>
      <c r="O22" s="57">
        <v>103</v>
      </c>
      <c r="P22" s="57">
        <v>1022</v>
      </c>
      <c r="Q22" s="58">
        <v>10013</v>
      </c>
      <c r="R22" s="59">
        <v>99574</v>
      </c>
      <c r="V22" s="4"/>
    </row>
    <row r="23" spans="1:22" x14ac:dyDescent="0.15">
      <c r="A23" s="120">
        <v>16</v>
      </c>
      <c r="B23" s="104">
        <v>28966</v>
      </c>
      <c r="C23" s="76">
        <v>3</v>
      </c>
      <c r="D23" s="76">
        <v>2</v>
      </c>
      <c r="E23" s="76">
        <v>7</v>
      </c>
      <c r="F23" s="76">
        <v>5</v>
      </c>
      <c r="G23" s="76">
        <v>9</v>
      </c>
      <c r="H23" s="76">
        <v>2</v>
      </c>
      <c r="I23" s="13">
        <v>9</v>
      </c>
      <c r="J23" s="33">
        <v>11068308</v>
      </c>
      <c r="K23" s="143">
        <v>2</v>
      </c>
      <c r="L23" s="34">
        <v>1077777.7</v>
      </c>
      <c r="M23" s="18">
        <v>172266.1</v>
      </c>
      <c r="N23" s="56">
        <v>8</v>
      </c>
      <c r="O23" s="57">
        <v>105</v>
      </c>
      <c r="P23" s="57">
        <v>1014</v>
      </c>
      <c r="Q23" s="58">
        <v>9709</v>
      </c>
      <c r="R23" s="59">
        <v>97927</v>
      </c>
      <c r="V23" s="4"/>
    </row>
    <row r="24" spans="1:22" x14ac:dyDescent="0.15">
      <c r="A24" s="120">
        <v>17</v>
      </c>
      <c r="B24" s="104">
        <v>28973</v>
      </c>
      <c r="C24" s="76">
        <v>7</v>
      </c>
      <c r="D24" s="76">
        <v>6</v>
      </c>
      <c r="E24" s="76">
        <v>8</v>
      </c>
      <c r="F24" s="76">
        <v>8</v>
      </c>
      <c r="G24" s="76">
        <v>5</v>
      </c>
      <c r="H24" s="76">
        <v>3</v>
      </c>
      <c r="I24" s="13">
        <v>2</v>
      </c>
      <c r="J24" s="33">
        <v>11172451</v>
      </c>
      <c r="K24" s="143">
        <v>2</v>
      </c>
      <c r="L24" s="34">
        <v>477777.7</v>
      </c>
      <c r="M24" s="18">
        <v>85679.1</v>
      </c>
      <c r="N24" s="56">
        <v>13</v>
      </c>
      <c r="O24" s="57">
        <v>86</v>
      </c>
      <c r="P24" s="57">
        <v>1073</v>
      </c>
      <c r="Q24" s="58">
        <v>10101</v>
      </c>
      <c r="R24" s="59">
        <v>102588</v>
      </c>
      <c r="V24" s="4"/>
    </row>
    <row r="25" spans="1:22" x14ac:dyDescent="0.15">
      <c r="A25" s="120">
        <v>18</v>
      </c>
      <c r="B25" s="104">
        <v>28980</v>
      </c>
      <c r="C25" s="76">
        <v>3</v>
      </c>
      <c r="D25" s="76">
        <v>7</v>
      </c>
      <c r="E25" s="76">
        <v>0</v>
      </c>
      <c r="F25" s="76">
        <v>7</v>
      </c>
      <c r="G25" s="76">
        <v>9</v>
      </c>
      <c r="H25" s="76">
        <v>8</v>
      </c>
      <c r="I25" s="13">
        <v>8</v>
      </c>
      <c r="J25" s="33">
        <v>10984614</v>
      </c>
      <c r="K25" s="143">
        <v>2</v>
      </c>
      <c r="L25" s="34">
        <v>377777.7</v>
      </c>
      <c r="M25" s="18">
        <v>184482.6</v>
      </c>
      <c r="N25" s="56">
        <v>12</v>
      </c>
      <c r="O25" s="57">
        <v>107</v>
      </c>
      <c r="P25" s="57">
        <v>981</v>
      </c>
      <c r="Q25" s="58">
        <v>10145</v>
      </c>
      <c r="R25" s="59">
        <v>99145</v>
      </c>
      <c r="V25" s="4"/>
    </row>
    <row r="26" spans="1:22" x14ac:dyDescent="0.15">
      <c r="A26" s="120">
        <v>19</v>
      </c>
      <c r="B26" s="104">
        <v>28987</v>
      </c>
      <c r="C26" s="76">
        <v>5</v>
      </c>
      <c r="D26" s="76">
        <v>6</v>
      </c>
      <c r="E26" s="76">
        <v>8</v>
      </c>
      <c r="F26" s="76">
        <v>2</v>
      </c>
      <c r="G26" s="76">
        <v>5</v>
      </c>
      <c r="H26" s="76">
        <v>0</v>
      </c>
      <c r="I26" s="13">
        <v>0</v>
      </c>
      <c r="J26" s="33">
        <v>10992768</v>
      </c>
      <c r="K26" s="143">
        <v>1</v>
      </c>
      <c r="L26" s="34">
        <v>977777.7</v>
      </c>
      <c r="M26" s="34">
        <v>61697.9</v>
      </c>
      <c r="N26" s="56">
        <v>4</v>
      </c>
      <c r="O26" s="57">
        <v>98</v>
      </c>
      <c r="P26" s="57">
        <v>939</v>
      </c>
      <c r="Q26" s="58">
        <v>9595</v>
      </c>
      <c r="R26" s="59">
        <v>94874</v>
      </c>
      <c r="V26" s="4"/>
    </row>
    <row r="27" spans="1:22" x14ac:dyDescent="0.15">
      <c r="A27" s="120">
        <v>20</v>
      </c>
      <c r="B27" s="104">
        <v>28994</v>
      </c>
      <c r="C27" s="76">
        <v>1</v>
      </c>
      <c r="D27" s="76">
        <v>7</v>
      </c>
      <c r="E27" s="76">
        <v>0</v>
      </c>
      <c r="F27" s="76">
        <v>6</v>
      </c>
      <c r="G27" s="76">
        <v>4</v>
      </c>
      <c r="H27" s="76">
        <v>5</v>
      </c>
      <c r="I27" s="13">
        <v>9</v>
      </c>
      <c r="J27" s="33">
        <v>10795373</v>
      </c>
      <c r="K27" s="143" t="s">
        <v>23</v>
      </c>
      <c r="L27" s="34"/>
      <c r="M27" s="18">
        <v>901338</v>
      </c>
      <c r="N27" s="56">
        <v>12</v>
      </c>
      <c r="O27" s="57">
        <v>94</v>
      </c>
      <c r="P27" s="57">
        <v>959</v>
      </c>
      <c r="Q27" s="58">
        <v>9939</v>
      </c>
      <c r="R27" s="59">
        <v>97465</v>
      </c>
      <c r="V27" s="4"/>
    </row>
    <row r="28" spans="1:22" x14ac:dyDescent="0.15">
      <c r="A28" s="120">
        <v>21</v>
      </c>
      <c r="B28" s="104">
        <v>29001</v>
      </c>
      <c r="C28" s="76">
        <v>0</v>
      </c>
      <c r="D28" s="76">
        <v>1</v>
      </c>
      <c r="E28" s="76">
        <v>7</v>
      </c>
      <c r="F28" s="76">
        <v>9</v>
      </c>
      <c r="G28" s="76">
        <v>8</v>
      </c>
      <c r="H28" s="76">
        <v>1</v>
      </c>
      <c r="I28" s="13">
        <v>3</v>
      </c>
      <c r="J28" s="33">
        <v>10700097</v>
      </c>
      <c r="K28" s="143">
        <v>2</v>
      </c>
      <c r="L28" s="34">
        <v>777777.7</v>
      </c>
      <c r="M28" s="18">
        <v>178012.4</v>
      </c>
      <c r="N28" s="56">
        <v>12</v>
      </c>
      <c r="O28" s="57">
        <v>97</v>
      </c>
      <c r="P28" s="57">
        <v>980</v>
      </c>
      <c r="Q28" s="58">
        <v>10073</v>
      </c>
      <c r="R28" s="59">
        <v>98110</v>
      </c>
      <c r="V28" s="4"/>
    </row>
    <row r="29" spans="1:22" x14ac:dyDescent="0.15">
      <c r="A29" s="120">
        <v>22</v>
      </c>
      <c r="B29" s="104">
        <v>29008</v>
      </c>
      <c r="C29" s="76">
        <v>4</v>
      </c>
      <c r="D29" s="76">
        <v>1</v>
      </c>
      <c r="E29" s="76">
        <v>7</v>
      </c>
      <c r="F29" s="76">
        <v>2</v>
      </c>
      <c r="G29" s="76">
        <v>5</v>
      </c>
      <c r="H29" s="76">
        <v>2</v>
      </c>
      <c r="I29" s="13">
        <v>6</v>
      </c>
      <c r="J29" s="33">
        <v>13142342</v>
      </c>
      <c r="K29" s="143" t="s">
        <v>23</v>
      </c>
      <c r="L29" s="34"/>
      <c r="M29" s="34">
        <v>1200194.5</v>
      </c>
      <c r="N29" s="56">
        <v>10</v>
      </c>
      <c r="O29" s="57">
        <v>106</v>
      </c>
      <c r="P29" s="57">
        <v>1150</v>
      </c>
      <c r="Q29" s="58">
        <v>12029</v>
      </c>
      <c r="R29" s="59">
        <v>120208</v>
      </c>
      <c r="V29" s="4"/>
    </row>
    <row r="30" spans="1:22" x14ac:dyDescent="0.15">
      <c r="A30" s="120">
        <v>23</v>
      </c>
      <c r="B30" s="104">
        <v>29015</v>
      </c>
      <c r="C30" s="76">
        <v>9</v>
      </c>
      <c r="D30" s="76">
        <v>3</v>
      </c>
      <c r="E30" s="76">
        <v>4</v>
      </c>
      <c r="F30" s="76">
        <v>7</v>
      </c>
      <c r="G30" s="76">
        <v>3</v>
      </c>
      <c r="H30" s="76">
        <v>8</v>
      </c>
      <c r="I30" s="13">
        <v>5</v>
      </c>
      <c r="J30" s="33">
        <v>10770936</v>
      </c>
      <c r="K30" s="143">
        <v>1</v>
      </c>
      <c r="L30" s="34">
        <v>1777777.7</v>
      </c>
      <c r="M30" s="18">
        <v>260156.3</v>
      </c>
      <c r="N30" s="56">
        <v>9</v>
      </c>
      <c r="O30" s="57">
        <v>99</v>
      </c>
      <c r="P30" s="57">
        <v>949</v>
      </c>
      <c r="Q30" s="58">
        <v>9867</v>
      </c>
      <c r="R30" s="59">
        <v>97013</v>
      </c>
      <c r="V30" s="4"/>
    </row>
    <row r="31" spans="1:22" x14ac:dyDescent="0.15">
      <c r="A31" s="120">
        <v>24</v>
      </c>
      <c r="B31" s="104">
        <v>29022</v>
      </c>
      <c r="C31" s="76">
        <v>6</v>
      </c>
      <c r="D31" s="76">
        <v>3</v>
      </c>
      <c r="E31" s="76">
        <v>5</v>
      </c>
      <c r="F31" s="76">
        <v>5</v>
      </c>
      <c r="G31" s="76">
        <v>5</v>
      </c>
      <c r="H31" s="76">
        <v>7</v>
      </c>
      <c r="I31" s="13">
        <v>9</v>
      </c>
      <c r="J31" s="33">
        <v>10789188</v>
      </c>
      <c r="K31" s="143" t="s">
        <v>23</v>
      </c>
      <c r="L31" s="34"/>
      <c r="M31" s="18">
        <v>1099315.3999999999</v>
      </c>
      <c r="N31" s="56">
        <v>13</v>
      </c>
      <c r="O31" s="57">
        <v>111</v>
      </c>
      <c r="P31" s="57">
        <v>955</v>
      </c>
      <c r="Q31" s="58">
        <v>9686</v>
      </c>
      <c r="R31" s="59">
        <v>98505</v>
      </c>
      <c r="V31" s="4"/>
    </row>
    <row r="32" spans="1:22" x14ac:dyDescent="0.15">
      <c r="A32" s="120">
        <v>25</v>
      </c>
      <c r="B32" s="104">
        <v>29029</v>
      </c>
      <c r="C32" s="76">
        <v>8</v>
      </c>
      <c r="D32" s="76">
        <v>5</v>
      </c>
      <c r="E32" s="76">
        <v>7</v>
      </c>
      <c r="F32" s="76">
        <v>4</v>
      </c>
      <c r="G32" s="76">
        <v>0</v>
      </c>
      <c r="H32" s="76">
        <v>4</v>
      </c>
      <c r="I32" s="13">
        <v>1</v>
      </c>
      <c r="J32" s="33">
        <v>10753870</v>
      </c>
      <c r="K32" s="143" t="s">
        <v>23</v>
      </c>
      <c r="L32" s="34"/>
      <c r="M32" s="18">
        <v>1935727.5</v>
      </c>
      <c r="N32" s="56">
        <v>12</v>
      </c>
      <c r="O32" s="57">
        <v>112</v>
      </c>
      <c r="P32" s="57">
        <v>952</v>
      </c>
      <c r="Q32" s="58">
        <v>9407</v>
      </c>
      <c r="R32" s="59">
        <v>97237</v>
      </c>
      <c r="V32" s="4"/>
    </row>
    <row r="33" spans="1:22" x14ac:dyDescent="0.15">
      <c r="A33" s="120">
        <v>26</v>
      </c>
      <c r="B33" s="104">
        <v>29036</v>
      </c>
      <c r="C33" s="76">
        <v>8</v>
      </c>
      <c r="D33" s="76">
        <v>7</v>
      </c>
      <c r="E33" s="76">
        <v>7</v>
      </c>
      <c r="F33" s="76">
        <v>7</v>
      </c>
      <c r="G33" s="76">
        <v>2</v>
      </c>
      <c r="H33" s="76">
        <v>5</v>
      </c>
      <c r="I33" s="13">
        <v>9</v>
      </c>
      <c r="J33" s="33">
        <v>10734381</v>
      </c>
      <c r="K33" s="143">
        <v>2</v>
      </c>
      <c r="L33" s="34">
        <v>1377777.7</v>
      </c>
      <c r="M33" s="18">
        <v>15068.4</v>
      </c>
      <c r="N33" s="56">
        <v>8</v>
      </c>
      <c r="O33" s="57">
        <v>96</v>
      </c>
      <c r="P33" s="57">
        <v>988</v>
      </c>
      <c r="Q33" s="58">
        <v>9660</v>
      </c>
      <c r="R33" s="59">
        <v>96946</v>
      </c>
      <c r="V33" s="4"/>
    </row>
    <row r="34" spans="1:22" x14ac:dyDescent="0.15">
      <c r="A34" s="120">
        <v>27</v>
      </c>
      <c r="B34" s="104">
        <v>29043</v>
      </c>
      <c r="C34" s="76">
        <v>7</v>
      </c>
      <c r="D34" s="76">
        <v>7</v>
      </c>
      <c r="E34" s="76">
        <v>6</v>
      </c>
      <c r="F34" s="76">
        <v>7</v>
      </c>
      <c r="G34" s="76">
        <v>6</v>
      </c>
      <c r="H34" s="76">
        <v>3</v>
      </c>
      <c r="I34" s="113">
        <v>1</v>
      </c>
      <c r="J34" s="33">
        <v>10596858</v>
      </c>
      <c r="K34" s="143" t="s">
        <v>23</v>
      </c>
      <c r="L34" s="34"/>
      <c r="M34" s="117">
        <v>839268.5</v>
      </c>
      <c r="N34" s="56">
        <v>10</v>
      </c>
      <c r="O34" s="57">
        <v>86</v>
      </c>
      <c r="P34" s="57">
        <v>917</v>
      </c>
      <c r="Q34" s="58">
        <v>9641</v>
      </c>
      <c r="R34" s="59">
        <v>95783</v>
      </c>
      <c r="V34" s="4"/>
    </row>
    <row r="35" spans="1:22" x14ac:dyDescent="0.15">
      <c r="A35" s="120">
        <v>28</v>
      </c>
      <c r="B35" s="104">
        <v>29050</v>
      </c>
      <c r="C35" s="76">
        <v>3</v>
      </c>
      <c r="D35" s="76">
        <v>9</v>
      </c>
      <c r="E35" s="76">
        <v>0</v>
      </c>
      <c r="F35" s="76">
        <v>5</v>
      </c>
      <c r="G35" s="76">
        <v>7</v>
      </c>
      <c r="H35" s="76">
        <v>9</v>
      </c>
      <c r="I35" s="13">
        <v>0</v>
      </c>
      <c r="J35" s="33">
        <v>10682217</v>
      </c>
      <c r="K35" s="143">
        <v>4</v>
      </c>
      <c r="L35" s="34">
        <v>377777.7</v>
      </c>
      <c r="M35" s="18">
        <v>158996.79999999999</v>
      </c>
      <c r="N35" s="56">
        <v>7</v>
      </c>
      <c r="O35" s="57">
        <v>93</v>
      </c>
      <c r="P35" s="57">
        <v>927</v>
      </c>
      <c r="Q35" s="58">
        <v>9344</v>
      </c>
      <c r="R35" s="59">
        <v>94365</v>
      </c>
      <c r="V35" s="4"/>
    </row>
    <row r="36" spans="1:22" x14ac:dyDescent="0.15">
      <c r="A36" s="120">
        <v>29</v>
      </c>
      <c r="B36" s="104">
        <v>29057</v>
      </c>
      <c r="C36" s="76">
        <v>6</v>
      </c>
      <c r="D36" s="76">
        <v>7</v>
      </c>
      <c r="E36" s="76">
        <v>9</v>
      </c>
      <c r="F36" s="76">
        <v>6</v>
      </c>
      <c r="G36" s="76">
        <v>6</v>
      </c>
      <c r="H36" s="76">
        <v>2</v>
      </c>
      <c r="I36" s="113">
        <v>2</v>
      </c>
      <c r="J36" s="33">
        <v>10607022</v>
      </c>
      <c r="K36" s="143">
        <v>2</v>
      </c>
      <c r="L36" s="34">
        <v>477777.7</v>
      </c>
      <c r="M36" s="34">
        <v>28432</v>
      </c>
      <c r="N36" s="56">
        <v>13</v>
      </c>
      <c r="O36" s="57">
        <v>110</v>
      </c>
      <c r="P36" s="57">
        <v>949</v>
      </c>
      <c r="Q36" s="58">
        <v>9341</v>
      </c>
      <c r="R36" s="59">
        <v>95260</v>
      </c>
      <c r="V36" s="4"/>
    </row>
    <row r="37" spans="1:22" x14ac:dyDescent="0.15">
      <c r="A37" s="120">
        <v>30</v>
      </c>
      <c r="B37" s="104">
        <v>29064</v>
      </c>
      <c r="C37" s="76">
        <v>8</v>
      </c>
      <c r="D37" s="76">
        <v>2</v>
      </c>
      <c r="E37" s="76">
        <v>9</v>
      </c>
      <c r="F37" s="76">
        <v>8</v>
      </c>
      <c r="G37" s="76">
        <v>2</v>
      </c>
      <c r="H37" s="76">
        <v>1</v>
      </c>
      <c r="I37" s="13">
        <v>1</v>
      </c>
      <c r="J37" s="33">
        <v>10525908</v>
      </c>
      <c r="K37" s="143">
        <v>3</v>
      </c>
      <c r="L37" s="34">
        <v>277777.7</v>
      </c>
      <c r="M37" s="18">
        <v>13780.6</v>
      </c>
      <c r="N37" s="56">
        <v>9</v>
      </c>
      <c r="O37" s="57">
        <v>102</v>
      </c>
      <c r="P37" s="57">
        <v>941</v>
      </c>
      <c r="Q37" s="58">
        <v>9495</v>
      </c>
      <c r="R37" s="59">
        <v>95146</v>
      </c>
      <c r="V37" s="4"/>
    </row>
    <row r="38" spans="1:22" x14ac:dyDescent="0.15">
      <c r="A38" s="120">
        <v>31</v>
      </c>
      <c r="B38" s="104">
        <v>29071</v>
      </c>
      <c r="C38" s="76">
        <v>3</v>
      </c>
      <c r="D38" s="76">
        <v>7</v>
      </c>
      <c r="E38" s="76">
        <v>7</v>
      </c>
      <c r="F38" s="76">
        <v>8</v>
      </c>
      <c r="G38" s="76">
        <v>8</v>
      </c>
      <c r="H38" s="76">
        <v>3</v>
      </c>
      <c r="I38" s="13">
        <v>3</v>
      </c>
      <c r="J38" s="33">
        <v>10584368</v>
      </c>
      <c r="K38" s="143">
        <v>1</v>
      </c>
      <c r="L38" s="34">
        <v>777777.7</v>
      </c>
      <c r="M38" s="18">
        <v>59231.5</v>
      </c>
      <c r="N38" s="56">
        <v>14</v>
      </c>
      <c r="O38" s="57">
        <v>78</v>
      </c>
      <c r="P38" s="57">
        <v>997</v>
      </c>
      <c r="Q38" s="58">
        <v>10015</v>
      </c>
      <c r="R38" s="59">
        <v>98812</v>
      </c>
      <c r="V38" s="4"/>
    </row>
    <row r="39" spans="1:22" x14ac:dyDescent="0.15">
      <c r="A39" s="120">
        <v>32</v>
      </c>
      <c r="B39" s="104">
        <v>29078</v>
      </c>
      <c r="C39" s="76">
        <v>0</v>
      </c>
      <c r="D39" s="76">
        <v>0</v>
      </c>
      <c r="E39" s="76">
        <v>7</v>
      </c>
      <c r="F39" s="76">
        <v>7</v>
      </c>
      <c r="G39" s="76">
        <v>2</v>
      </c>
      <c r="H39" s="76">
        <v>2</v>
      </c>
      <c r="I39" s="13">
        <v>9</v>
      </c>
      <c r="J39" s="33">
        <v>10573149</v>
      </c>
      <c r="K39" s="143">
        <v>1</v>
      </c>
      <c r="L39" s="34">
        <v>877777.7</v>
      </c>
      <c r="M39" s="18">
        <v>3809.8</v>
      </c>
      <c r="N39" s="56">
        <v>8</v>
      </c>
      <c r="O39" s="57">
        <v>92</v>
      </c>
      <c r="P39" s="57">
        <v>999</v>
      </c>
      <c r="Q39" s="58">
        <v>9656</v>
      </c>
      <c r="R39" s="59">
        <v>97577</v>
      </c>
      <c r="V39" s="4"/>
    </row>
    <row r="40" spans="1:22" x14ac:dyDescent="0.15">
      <c r="A40" s="120">
        <v>33</v>
      </c>
      <c r="B40" s="104">
        <v>29085</v>
      </c>
      <c r="C40" s="76">
        <v>6</v>
      </c>
      <c r="D40" s="76">
        <v>2</v>
      </c>
      <c r="E40" s="76">
        <v>9</v>
      </c>
      <c r="F40" s="76">
        <v>1</v>
      </c>
      <c r="G40" s="76">
        <v>3</v>
      </c>
      <c r="H40" s="76">
        <v>5</v>
      </c>
      <c r="I40" s="13">
        <v>5</v>
      </c>
      <c r="J40" s="33">
        <v>10759343</v>
      </c>
      <c r="K40" s="143">
        <v>2</v>
      </c>
      <c r="L40" s="34">
        <v>377777.7</v>
      </c>
      <c r="M40" s="18">
        <v>85092.2</v>
      </c>
      <c r="N40" s="56">
        <v>11</v>
      </c>
      <c r="O40" s="57">
        <v>99</v>
      </c>
      <c r="P40" s="57">
        <v>1029</v>
      </c>
      <c r="Q40" s="58">
        <v>10077</v>
      </c>
      <c r="R40" s="59">
        <v>101985</v>
      </c>
      <c r="V40" s="4"/>
    </row>
    <row r="41" spans="1:22" x14ac:dyDescent="0.15">
      <c r="A41" s="120">
        <v>34</v>
      </c>
      <c r="B41" s="104">
        <v>29092</v>
      </c>
      <c r="C41" s="76">
        <v>9</v>
      </c>
      <c r="D41" s="76">
        <v>2</v>
      </c>
      <c r="E41" s="76">
        <v>9</v>
      </c>
      <c r="F41" s="76">
        <v>8</v>
      </c>
      <c r="G41" s="76">
        <v>3</v>
      </c>
      <c r="H41" s="14">
        <v>0</v>
      </c>
      <c r="I41" s="14">
        <v>1</v>
      </c>
      <c r="J41" s="33">
        <v>10750719</v>
      </c>
      <c r="K41" s="143">
        <v>1</v>
      </c>
      <c r="L41" s="34">
        <v>877777.7</v>
      </c>
      <c r="M41" s="18">
        <v>43481.5</v>
      </c>
      <c r="N41" s="56">
        <v>10</v>
      </c>
      <c r="O41" s="57">
        <v>92</v>
      </c>
      <c r="P41" s="57">
        <v>933</v>
      </c>
      <c r="Q41" s="58">
        <v>9604</v>
      </c>
      <c r="R41" s="59">
        <v>92872</v>
      </c>
      <c r="V41" s="4"/>
    </row>
    <row r="42" spans="1:22" s="90" customFormat="1" x14ac:dyDescent="0.15">
      <c r="A42" s="120">
        <v>35</v>
      </c>
      <c r="B42" s="104">
        <v>29099</v>
      </c>
      <c r="C42" s="76">
        <v>8</v>
      </c>
      <c r="D42" s="76">
        <v>7</v>
      </c>
      <c r="E42" s="76">
        <v>3</v>
      </c>
      <c r="F42" s="76">
        <v>9</v>
      </c>
      <c r="G42" s="76">
        <v>3</v>
      </c>
      <c r="H42" s="115">
        <v>5</v>
      </c>
      <c r="I42" s="13">
        <v>0</v>
      </c>
      <c r="J42" s="33">
        <v>10647676</v>
      </c>
      <c r="K42" s="143" t="s">
        <v>23</v>
      </c>
      <c r="L42" s="34"/>
      <c r="M42" s="34">
        <v>871634.1</v>
      </c>
      <c r="N42" s="56">
        <v>5</v>
      </c>
      <c r="O42" s="57">
        <v>94</v>
      </c>
      <c r="P42" s="57">
        <v>958</v>
      </c>
      <c r="Q42" s="58">
        <v>9422</v>
      </c>
      <c r="R42" s="59">
        <v>94812</v>
      </c>
      <c r="S42" s="91"/>
      <c r="V42" s="100"/>
    </row>
    <row r="43" spans="1:22" s="90" customFormat="1" x14ac:dyDescent="0.15">
      <c r="A43" s="120">
        <v>36</v>
      </c>
      <c r="B43" s="104">
        <v>29106</v>
      </c>
      <c r="C43" s="103">
        <v>9</v>
      </c>
      <c r="D43" s="103">
        <v>0</v>
      </c>
      <c r="E43" s="103">
        <v>4</v>
      </c>
      <c r="F43" s="103">
        <v>9</v>
      </c>
      <c r="G43" s="103">
        <v>6</v>
      </c>
      <c r="H43" s="115">
        <v>1</v>
      </c>
      <c r="I43" s="113">
        <v>8</v>
      </c>
      <c r="J43" s="33">
        <v>10786920</v>
      </c>
      <c r="K43" s="191">
        <v>2</v>
      </c>
      <c r="L43" s="34">
        <v>777777.7</v>
      </c>
      <c r="M43" s="18">
        <v>155061.4</v>
      </c>
      <c r="N43" s="56">
        <v>11</v>
      </c>
      <c r="O43" s="57">
        <v>97</v>
      </c>
      <c r="P43" s="57">
        <v>977</v>
      </c>
      <c r="Q43" s="58">
        <v>9556</v>
      </c>
      <c r="R43" s="59">
        <v>97327</v>
      </c>
      <c r="S43" s="91"/>
      <c r="V43" s="100"/>
    </row>
    <row r="44" spans="1:22" s="90" customFormat="1" x14ac:dyDescent="0.15">
      <c r="A44" s="120">
        <v>37</v>
      </c>
      <c r="B44" s="104">
        <v>29113</v>
      </c>
      <c r="C44" s="103">
        <v>6</v>
      </c>
      <c r="D44" s="103">
        <v>6</v>
      </c>
      <c r="E44" s="103">
        <v>5</v>
      </c>
      <c r="F44" s="103">
        <v>5</v>
      </c>
      <c r="G44" s="103">
        <v>3</v>
      </c>
      <c r="H44" s="115">
        <v>3</v>
      </c>
      <c r="I44" s="13">
        <v>6</v>
      </c>
      <c r="J44" s="33">
        <v>10896908</v>
      </c>
      <c r="K44" s="190">
        <v>2</v>
      </c>
      <c r="L44" s="34">
        <v>477777.7</v>
      </c>
      <c r="M44" s="18">
        <v>47043.3</v>
      </c>
      <c r="N44" s="56">
        <v>6</v>
      </c>
      <c r="O44" s="57">
        <v>99</v>
      </c>
      <c r="P44" s="57">
        <v>1006</v>
      </c>
      <c r="Q44" s="58">
        <v>9853</v>
      </c>
      <c r="R44" s="59">
        <v>99273</v>
      </c>
      <c r="S44" s="91"/>
      <c r="V44" s="100"/>
    </row>
    <row r="45" spans="1:22" s="90" customFormat="1" x14ac:dyDescent="0.15">
      <c r="A45" s="120">
        <v>38</v>
      </c>
      <c r="B45" s="104">
        <v>29120</v>
      </c>
      <c r="C45" s="76">
        <v>1</v>
      </c>
      <c r="D45" s="76">
        <v>9</v>
      </c>
      <c r="E45" s="76">
        <v>2</v>
      </c>
      <c r="F45" s="76">
        <v>7</v>
      </c>
      <c r="G45" s="76">
        <v>5</v>
      </c>
      <c r="H45" s="76">
        <v>9</v>
      </c>
      <c r="I45" s="13">
        <v>1</v>
      </c>
      <c r="J45" s="33">
        <v>13569624</v>
      </c>
      <c r="K45" s="190">
        <v>1</v>
      </c>
      <c r="L45" s="34">
        <v>1077777.7</v>
      </c>
      <c r="M45" s="18">
        <v>24680.799999999999</v>
      </c>
      <c r="N45" s="56">
        <v>15</v>
      </c>
      <c r="O45" s="57">
        <v>125</v>
      </c>
      <c r="P45" s="57">
        <v>1173</v>
      </c>
      <c r="Q45" s="58">
        <v>11922</v>
      </c>
      <c r="R45" s="59">
        <v>121364</v>
      </c>
      <c r="S45" s="91"/>
      <c r="V45" s="100"/>
    </row>
    <row r="46" spans="1:22" s="90" customFormat="1" x14ac:dyDescent="0.15">
      <c r="A46" s="120">
        <v>39</v>
      </c>
      <c r="B46" s="104">
        <v>29127</v>
      </c>
      <c r="C46" s="76">
        <v>2</v>
      </c>
      <c r="D46" s="76">
        <v>1</v>
      </c>
      <c r="E46" s="76">
        <v>1</v>
      </c>
      <c r="F46" s="76">
        <v>6</v>
      </c>
      <c r="G46" s="76">
        <v>7</v>
      </c>
      <c r="H46" s="76">
        <v>8</v>
      </c>
      <c r="I46" s="13">
        <v>1</v>
      </c>
      <c r="J46" s="33">
        <v>12161523</v>
      </c>
      <c r="K46" s="190">
        <v>1</v>
      </c>
      <c r="L46" s="34">
        <v>877777.7</v>
      </c>
      <c r="M46" s="18">
        <v>92799.3</v>
      </c>
      <c r="N46" s="56">
        <v>11</v>
      </c>
      <c r="O46" s="57">
        <v>122</v>
      </c>
      <c r="P46" s="57">
        <v>1121</v>
      </c>
      <c r="Q46" s="58">
        <v>10807</v>
      </c>
      <c r="R46" s="59">
        <v>108827</v>
      </c>
      <c r="S46" s="91"/>
      <c r="V46" s="100"/>
    </row>
    <row r="47" spans="1:22" s="90" customFormat="1" x14ac:dyDescent="0.15">
      <c r="A47" s="120">
        <v>40</v>
      </c>
      <c r="B47" s="104">
        <v>29134</v>
      </c>
      <c r="C47" s="76">
        <v>7</v>
      </c>
      <c r="D47" s="76">
        <v>3</v>
      </c>
      <c r="E47" s="76">
        <v>8</v>
      </c>
      <c r="F47" s="76">
        <v>4</v>
      </c>
      <c r="G47" s="76">
        <v>9</v>
      </c>
      <c r="H47" s="76">
        <v>5</v>
      </c>
      <c r="I47" s="13">
        <v>3</v>
      </c>
      <c r="J47" s="33">
        <v>12343726</v>
      </c>
      <c r="K47" s="143" t="s">
        <v>23</v>
      </c>
      <c r="L47" s="34"/>
      <c r="M47" s="18">
        <v>1052866.8999999999</v>
      </c>
      <c r="N47" s="56">
        <v>11</v>
      </c>
      <c r="O47" s="57">
        <v>112</v>
      </c>
      <c r="P47" s="57">
        <v>1136</v>
      </c>
      <c r="Q47" s="58">
        <v>11469</v>
      </c>
      <c r="R47" s="59">
        <v>112049</v>
      </c>
      <c r="S47" s="91"/>
      <c r="V47" s="100"/>
    </row>
    <row r="48" spans="1:22" s="90" customFormat="1" x14ac:dyDescent="0.15">
      <c r="A48" s="120">
        <v>41</v>
      </c>
      <c r="B48" s="104">
        <v>29141</v>
      </c>
      <c r="C48" s="76">
        <v>0</v>
      </c>
      <c r="D48" s="76">
        <v>7</v>
      </c>
      <c r="E48" s="76">
        <v>2</v>
      </c>
      <c r="F48" s="76">
        <v>7</v>
      </c>
      <c r="G48" s="76">
        <v>5</v>
      </c>
      <c r="H48" s="76">
        <v>3</v>
      </c>
      <c r="I48" s="13">
        <v>3</v>
      </c>
      <c r="J48" s="33">
        <v>12531346</v>
      </c>
      <c r="K48" s="190">
        <v>4</v>
      </c>
      <c r="L48" s="34">
        <v>477777.7</v>
      </c>
      <c r="M48" s="18">
        <v>116416.3</v>
      </c>
      <c r="N48" s="56">
        <v>6</v>
      </c>
      <c r="O48" s="57">
        <v>108</v>
      </c>
      <c r="P48" s="57">
        <v>1169</v>
      </c>
      <c r="Q48" s="58">
        <v>11281</v>
      </c>
      <c r="R48" s="59">
        <v>113070</v>
      </c>
      <c r="S48" s="91"/>
      <c r="V48" s="100"/>
    </row>
    <row r="49" spans="1:22" s="90" customFormat="1" x14ac:dyDescent="0.15">
      <c r="A49" s="120">
        <v>42</v>
      </c>
      <c r="B49" s="104">
        <v>29148</v>
      </c>
      <c r="C49" s="76">
        <v>9</v>
      </c>
      <c r="D49" s="76">
        <v>7</v>
      </c>
      <c r="E49" s="76">
        <v>6</v>
      </c>
      <c r="F49" s="76">
        <v>8</v>
      </c>
      <c r="G49" s="76">
        <v>9</v>
      </c>
      <c r="H49" s="76">
        <v>1</v>
      </c>
      <c r="I49" s="13">
        <v>7</v>
      </c>
      <c r="J49" s="33">
        <v>12452377</v>
      </c>
      <c r="K49" s="190">
        <v>1</v>
      </c>
      <c r="L49" s="34">
        <v>1077777.7</v>
      </c>
      <c r="M49" s="18">
        <v>7156.8</v>
      </c>
      <c r="N49" s="56">
        <v>15</v>
      </c>
      <c r="O49" s="57">
        <v>102</v>
      </c>
      <c r="P49" s="57">
        <v>1089</v>
      </c>
      <c r="Q49" s="58">
        <v>11187</v>
      </c>
      <c r="R49" s="59">
        <v>111564</v>
      </c>
      <c r="S49" s="91"/>
      <c r="V49" s="100"/>
    </row>
    <row r="50" spans="1:22" s="90" customFormat="1" x14ac:dyDescent="0.15">
      <c r="A50" s="120">
        <v>43</v>
      </c>
      <c r="B50" s="104">
        <v>29155</v>
      </c>
      <c r="C50" s="76">
        <v>7</v>
      </c>
      <c r="D50" s="76">
        <v>8</v>
      </c>
      <c r="E50" s="76">
        <v>2</v>
      </c>
      <c r="F50" s="76">
        <v>3</v>
      </c>
      <c r="G50" s="76">
        <v>0</v>
      </c>
      <c r="H50" s="76">
        <v>5</v>
      </c>
      <c r="I50" s="13">
        <v>0</v>
      </c>
      <c r="J50" s="33">
        <v>12417077</v>
      </c>
      <c r="K50" s="190">
        <v>2</v>
      </c>
      <c r="L50" s="34">
        <v>477777.7</v>
      </c>
      <c r="M50" s="18">
        <v>17374</v>
      </c>
      <c r="N50" s="56">
        <v>7</v>
      </c>
      <c r="O50" s="57">
        <v>113</v>
      </c>
      <c r="P50" s="57">
        <v>1032</v>
      </c>
      <c r="Q50" s="58">
        <v>10758</v>
      </c>
      <c r="R50" s="59">
        <v>109914</v>
      </c>
      <c r="S50" s="91"/>
      <c r="V50" s="100"/>
    </row>
    <row r="51" spans="1:22" s="90" customFormat="1" x14ac:dyDescent="0.15">
      <c r="A51" s="120">
        <v>44</v>
      </c>
      <c r="B51" s="104">
        <v>29162</v>
      </c>
      <c r="C51" s="76">
        <v>6</v>
      </c>
      <c r="D51" s="76">
        <v>8</v>
      </c>
      <c r="E51" s="76">
        <v>3</v>
      </c>
      <c r="F51" s="76">
        <v>9</v>
      </c>
      <c r="G51" s="76">
        <v>3</v>
      </c>
      <c r="H51" s="76">
        <v>5</v>
      </c>
      <c r="I51" s="13">
        <v>8</v>
      </c>
      <c r="J51" s="33">
        <v>12514325</v>
      </c>
      <c r="K51" s="190">
        <v>1</v>
      </c>
      <c r="L51" s="34">
        <v>977777.7</v>
      </c>
      <c r="M51" s="34">
        <v>12932.7</v>
      </c>
      <c r="N51" s="56">
        <v>13</v>
      </c>
      <c r="O51" s="57">
        <v>123</v>
      </c>
      <c r="P51" s="57">
        <v>1168</v>
      </c>
      <c r="Q51" s="58">
        <v>11539</v>
      </c>
      <c r="R51" s="59">
        <v>113775</v>
      </c>
      <c r="S51" s="91"/>
      <c r="V51" s="100"/>
    </row>
    <row r="52" spans="1:22" s="90" customFormat="1" x14ac:dyDescent="0.15">
      <c r="A52" s="120">
        <v>45</v>
      </c>
      <c r="B52" s="104">
        <v>29169</v>
      </c>
      <c r="C52" s="76">
        <v>0</v>
      </c>
      <c r="D52" s="76">
        <v>5</v>
      </c>
      <c r="E52" s="76">
        <v>8</v>
      </c>
      <c r="F52" s="76">
        <v>6</v>
      </c>
      <c r="G52" s="76">
        <v>8</v>
      </c>
      <c r="H52" s="76">
        <v>8</v>
      </c>
      <c r="I52" s="13">
        <v>7</v>
      </c>
      <c r="J52" s="33">
        <v>12608741</v>
      </c>
      <c r="K52" s="190">
        <v>3</v>
      </c>
      <c r="L52" s="34">
        <v>277777.7</v>
      </c>
      <c r="M52" s="18">
        <v>160279.4</v>
      </c>
      <c r="N52" s="56">
        <v>12</v>
      </c>
      <c r="O52" s="57">
        <v>95</v>
      </c>
      <c r="P52" s="57">
        <v>1176</v>
      </c>
      <c r="Q52" s="58">
        <v>11216</v>
      </c>
      <c r="R52" s="59">
        <v>113189</v>
      </c>
      <c r="S52" s="91"/>
    </row>
    <row r="53" spans="1:22" s="90" customFormat="1" x14ac:dyDescent="0.15">
      <c r="A53" s="120">
        <v>46</v>
      </c>
      <c r="B53" s="104">
        <v>29176</v>
      </c>
      <c r="C53" s="76">
        <v>3</v>
      </c>
      <c r="D53" s="76">
        <v>4</v>
      </c>
      <c r="E53" s="76">
        <v>8</v>
      </c>
      <c r="F53" s="76">
        <v>3</v>
      </c>
      <c r="G53" s="76">
        <v>9</v>
      </c>
      <c r="H53" s="76">
        <v>5</v>
      </c>
      <c r="I53" s="13">
        <v>8</v>
      </c>
      <c r="J53" s="33">
        <v>12567846</v>
      </c>
      <c r="K53" s="190">
        <v>2</v>
      </c>
      <c r="L53" s="34">
        <v>477777.7</v>
      </c>
      <c r="M53" s="18">
        <v>182223.1</v>
      </c>
      <c r="N53" s="56">
        <v>10</v>
      </c>
      <c r="O53" s="57">
        <v>91</v>
      </c>
      <c r="P53" s="57">
        <v>1134</v>
      </c>
      <c r="Q53" s="58">
        <v>11616</v>
      </c>
      <c r="R53" s="59">
        <v>114413</v>
      </c>
      <c r="S53" s="91"/>
    </row>
    <row r="54" spans="1:22" s="90" customFormat="1" x14ac:dyDescent="0.15">
      <c r="A54" s="120">
        <v>47</v>
      </c>
      <c r="B54" s="104">
        <v>29183</v>
      </c>
      <c r="C54" s="76">
        <v>5</v>
      </c>
      <c r="D54" s="76">
        <v>3</v>
      </c>
      <c r="E54" s="76">
        <v>3</v>
      </c>
      <c r="F54" s="76">
        <v>7</v>
      </c>
      <c r="G54" s="76">
        <v>9</v>
      </c>
      <c r="H54" s="76">
        <v>8</v>
      </c>
      <c r="I54" s="13">
        <v>7</v>
      </c>
      <c r="J54" s="33">
        <v>12435163</v>
      </c>
      <c r="K54" s="143" t="s">
        <v>23</v>
      </c>
      <c r="L54" s="34"/>
      <c r="M54" s="34">
        <v>1149402.3999999999</v>
      </c>
      <c r="N54" s="56">
        <v>14</v>
      </c>
      <c r="O54" s="57">
        <v>124</v>
      </c>
      <c r="P54" s="57">
        <v>1179</v>
      </c>
      <c r="Q54" s="58">
        <v>11401</v>
      </c>
      <c r="R54" s="59">
        <v>114129</v>
      </c>
      <c r="S54" s="91"/>
    </row>
    <row r="55" spans="1:22" s="90" customFormat="1" x14ac:dyDescent="0.15">
      <c r="A55" s="120">
        <v>48</v>
      </c>
      <c r="B55" s="104">
        <v>29190</v>
      </c>
      <c r="C55" s="76">
        <v>9</v>
      </c>
      <c r="D55" s="76">
        <v>7</v>
      </c>
      <c r="E55" s="76">
        <v>0</v>
      </c>
      <c r="F55" s="76">
        <v>7</v>
      </c>
      <c r="G55" s="76">
        <v>8</v>
      </c>
      <c r="H55" s="76">
        <v>2</v>
      </c>
      <c r="I55" s="13">
        <v>3</v>
      </c>
      <c r="J55" s="33">
        <v>18227230</v>
      </c>
      <c r="K55" s="190">
        <v>2</v>
      </c>
      <c r="L55" s="34">
        <v>1277777.7</v>
      </c>
      <c r="M55" s="18">
        <v>11520.4</v>
      </c>
      <c r="N55" s="56">
        <v>18</v>
      </c>
      <c r="O55" s="57">
        <v>163</v>
      </c>
      <c r="P55" s="57">
        <v>1631</v>
      </c>
      <c r="Q55" s="58">
        <v>17091</v>
      </c>
      <c r="R55" s="59">
        <v>166020</v>
      </c>
      <c r="S55" s="91"/>
    </row>
    <row r="56" spans="1:22" s="90" customFormat="1" x14ac:dyDescent="0.15">
      <c r="A56" s="120">
        <v>49</v>
      </c>
      <c r="B56" s="104">
        <v>29197</v>
      </c>
      <c r="C56" s="76">
        <v>4</v>
      </c>
      <c r="D56" s="76">
        <v>0</v>
      </c>
      <c r="E56" s="76">
        <v>7</v>
      </c>
      <c r="F56" s="76">
        <v>2</v>
      </c>
      <c r="G56" s="76">
        <v>3</v>
      </c>
      <c r="H56" s="76">
        <v>1</v>
      </c>
      <c r="I56" s="13">
        <v>3</v>
      </c>
      <c r="J56" s="33">
        <v>13317966</v>
      </c>
      <c r="K56" s="190">
        <v>1</v>
      </c>
      <c r="L56" s="34">
        <v>977777.7</v>
      </c>
      <c r="M56" s="18">
        <v>69584.5</v>
      </c>
      <c r="N56" s="56">
        <v>10</v>
      </c>
      <c r="O56" s="57">
        <v>145</v>
      </c>
      <c r="P56" s="57">
        <v>1264</v>
      </c>
      <c r="Q56" s="58">
        <v>12291</v>
      </c>
      <c r="R56" s="59">
        <v>121698</v>
      </c>
      <c r="S56" s="91"/>
    </row>
    <row r="57" spans="1:22" s="90" customFormat="1" x14ac:dyDescent="0.15">
      <c r="A57" s="120">
        <v>50</v>
      </c>
      <c r="B57" s="104">
        <v>29204</v>
      </c>
      <c r="C57" s="76">
        <v>0</v>
      </c>
      <c r="D57" s="76">
        <v>3</v>
      </c>
      <c r="E57" s="76">
        <v>5</v>
      </c>
      <c r="F57" s="76">
        <v>4</v>
      </c>
      <c r="G57" s="76">
        <v>7</v>
      </c>
      <c r="H57" s="76">
        <v>5</v>
      </c>
      <c r="I57" s="13">
        <v>5</v>
      </c>
      <c r="J57" s="33">
        <v>14351247</v>
      </c>
      <c r="K57" s="190">
        <v>1</v>
      </c>
      <c r="L57" s="34">
        <v>1177777.7</v>
      </c>
      <c r="M57" s="18">
        <v>8014.9</v>
      </c>
      <c r="N57" s="56">
        <v>16</v>
      </c>
      <c r="O57" s="57">
        <v>123</v>
      </c>
      <c r="P57" s="57">
        <v>1246</v>
      </c>
      <c r="Q57" s="58">
        <v>12879</v>
      </c>
      <c r="R57" s="59">
        <v>129293</v>
      </c>
      <c r="S57" s="91"/>
    </row>
    <row r="58" spans="1:22" s="90" customFormat="1" x14ac:dyDescent="0.15">
      <c r="A58" s="120">
        <v>51</v>
      </c>
      <c r="B58" s="104">
        <v>29211</v>
      </c>
      <c r="C58" s="76">
        <v>3</v>
      </c>
      <c r="D58" s="76">
        <v>6</v>
      </c>
      <c r="E58" s="76">
        <v>5</v>
      </c>
      <c r="F58" s="76">
        <v>5</v>
      </c>
      <c r="G58" s="76">
        <v>3</v>
      </c>
      <c r="H58" s="76">
        <v>9</v>
      </c>
      <c r="I58" s="13">
        <v>4</v>
      </c>
      <c r="J58" s="33">
        <v>11825641</v>
      </c>
      <c r="K58" s="143" t="s">
        <v>23</v>
      </c>
      <c r="L58" s="34"/>
      <c r="M58" s="34">
        <v>927787</v>
      </c>
      <c r="N58" s="56">
        <v>14</v>
      </c>
      <c r="O58" s="57">
        <v>102</v>
      </c>
      <c r="P58" s="57">
        <v>1085</v>
      </c>
      <c r="Q58" s="58">
        <v>10722</v>
      </c>
      <c r="R58" s="59">
        <v>107180</v>
      </c>
      <c r="S58" s="91"/>
    </row>
    <row r="59" spans="1:22" s="122" customFormat="1" x14ac:dyDescent="0.15">
      <c r="A59" s="140">
        <v>52</v>
      </c>
      <c r="B59" s="79">
        <v>29218</v>
      </c>
      <c r="C59" s="141">
        <v>8</v>
      </c>
      <c r="D59" s="141">
        <v>8</v>
      </c>
      <c r="E59" s="141">
        <v>0</v>
      </c>
      <c r="F59" s="141">
        <v>8</v>
      </c>
      <c r="G59" s="141">
        <v>3</v>
      </c>
      <c r="H59" s="123">
        <v>5</v>
      </c>
      <c r="I59" s="123">
        <v>6</v>
      </c>
      <c r="J59" s="40">
        <v>11489242</v>
      </c>
      <c r="K59" s="192" t="s">
        <v>23</v>
      </c>
      <c r="L59" s="42"/>
      <c r="M59" s="42">
        <v>1821394.7</v>
      </c>
      <c r="N59" s="99">
        <v>16</v>
      </c>
      <c r="O59" s="62">
        <v>111</v>
      </c>
      <c r="P59" s="98">
        <v>1062</v>
      </c>
      <c r="Q59" s="63">
        <v>10776</v>
      </c>
      <c r="R59" s="142">
        <v>107035</v>
      </c>
      <c r="S59" s="121"/>
    </row>
    <row r="60" spans="1:22" s="90" customFormat="1" x14ac:dyDescent="0.15">
      <c r="A60" s="101"/>
      <c r="B60" s="265"/>
      <c r="C60" s="97"/>
      <c r="D60" s="97"/>
      <c r="E60" s="97"/>
      <c r="F60" s="97"/>
      <c r="G60" s="97"/>
      <c r="H60" s="97" t="s">
        <v>24</v>
      </c>
      <c r="I60" s="97"/>
      <c r="J60" s="97"/>
      <c r="K60" s="262">
        <f>SUM(K8:K59)</f>
        <v>56</v>
      </c>
      <c r="L60" s="262"/>
      <c r="M60" s="262"/>
      <c r="N60" s="262">
        <f>SUM(N8:N59)</f>
        <v>548</v>
      </c>
      <c r="O60" s="262">
        <f>SUM(O8:O59)</f>
        <v>5469</v>
      </c>
      <c r="P60" s="262">
        <f>SUM(P8:P59)</f>
        <v>54385</v>
      </c>
      <c r="Q60" s="262">
        <f>SUM(Q8:Q59)</f>
        <v>542710</v>
      </c>
      <c r="R60" s="268">
        <f>SUM(R8:R59)</f>
        <v>5423581</v>
      </c>
      <c r="S60" s="91"/>
    </row>
    <row r="61" spans="1:22" s="90" customFormat="1" x14ac:dyDescent="0.15">
      <c r="A61" s="81"/>
      <c r="B61" s="82"/>
      <c r="C61" s="76"/>
      <c r="D61" s="76"/>
      <c r="E61" s="76"/>
      <c r="F61" s="76"/>
      <c r="G61" s="76"/>
      <c r="H61" s="76"/>
      <c r="I61" s="76"/>
      <c r="J61" s="83"/>
      <c r="K61" s="77"/>
      <c r="L61" s="84"/>
      <c r="M61" s="85"/>
      <c r="N61" s="86"/>
      <c r="O61" s="87"/>
      <c r="P61" s="87"/>
      <c r="Q61" s="88"/>
      <c r="R61" s="89"/>
      <c r="S61" s="91"/>
    </row>
    <row r="62" spans="1:22" s="90" customFormat="1" x14ac:dyDescent="0.15">
      <c r="A62" s="81"/>
      <c r="B62" s="82"/>
      <c r="C62" s="103"/>
      <c r="D62" s="103"/>
      <c r="E62" s="103"/>
      <c r="F62" s="103"/>
      <c r="G62" s="103"/>
      <c r="H62" s="103"/>
      <c r="I62" s="92"/>
      <c r="J62" s="83"/>
      <c r="K62" s="77"/>
      <c r="L62" s="9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92"/>
      <c r="D64" s="92"/>
      <c r="E64" s="92"/>
      <c r="F64" s="92"/>
      <c r="G64" s="92"/>
      <c r="H64" s="92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92"/>
      <c r="C65" s="92"/>
      <c r="D65" s="92"/>
      <c r="E65" s="92"/>
      <c r="F65" s="92"/>
      <c r="G65" s="92"/>
      <c r="H65" s="92"/>
      <c r="I65" s="92"/>
      <c r="J65" s="92"/>
      <c r="K65" s="93"/>
      <c r="L65" s="93"/>
      <c r="M65" s="93"/>
      <c r="N65" s="93"/>
      <c r="O65" s="93"/>
      <c r="P65" s="93"/>
      <c r="Q65" s="93"/>
      <c r="R65" s="93"/>
      <c r="S65" s="91"/>
      <c r="V65" s="111"/>
    </row>
    <row r="66" spans="1:22" s="90" customFormat="1" x14ac:dyDescent="0.15">
      <c r="L66" s="85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3"/>
  <sheetViews>
    <sheetView workbookViewId="0">
      <pane ySplit="7" topLeftCell="A34" activePane="bottomLeft" state="frozenSplit"/>
      <selection activeCell="J63" sqref="J63"/>
      <selection pane="bottomLeft" activeCell="K61" sqref="K61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29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 t="s">
        <v>19</v>
      </c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1980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20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22</v>
      </c>
      <c r="L6" s="209"/>
      <c r="M6" s="14" t="s">
        <v>14</v>
      </c>
      <c r="N6" s="189">
        <v>77777.7</v>
      </c>
      <c r="O6" s="189">
        <v>7777.7</v>
      </c>
      <c r="P6" s="189">
        <v>777.7</v>
      </c>
      <c r="Q6" s="189">
        <v>77.7</v>
      </c>
      <c r="R6" s="189">
        <v>7.7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120">
        <v>1</v>
      </c>
      <c r="B8" s="104">
        <v>29225</v>
      </c>
      <c r="C8" s="76">
        <v>6</v>
      </c>
      <c r="D8" s="76">
        <v>0</v>
      </c>
      <c r="E8" s="76">
        <v>0</v>
      </c>
      <c r="F8" s="76">
        <v>8</v>
      </c>
      <c r="G8" s="76">
        <v>9</v>
      </c>
      <c r="H8" s="76">
        <v>8</v>
      </c>
      <c r="I8" s="13">
        <v>2</v>
      </c>
      <c r="J8" s="33">
        <v>10990734</v>
      </c>
      <c r="K8" s="143" t="s">
        <v>23</v>
      </c>
      <c r="L8" s="34"/>
      <c r="M8" s="18">
        <v>2676229.6</v>
      </c>
      <c r="N8" s="56">
        <v>11</v>
      </c>
      <c r="O8" s="57">
        <v>107</v>
      </c>
      <c r="P8" s="57">
        <v>987</v>
      </c>
      <c r="Q8" s="58">
        <v>10017</v>
      </c>
      <c r="R8" s="59">
        <v>100001</v>
      </c>
      <c r="V8" s="4"/>
    </row>
    <row r="9" spans="1:22" x14ac:dyDescent="0.15">
      <c r="A9" s="120">
        <v>2</v>
      </c>
      <c r="B9" s="104">
        <v>29232</v>
      </c>
      <c r="C9" s="76">
        <v>7</v>
      </c>
      <c r="D9" s="76">
        <v>3</v>
      </c>
      <c r="E9" s="76">
        <v>3</v>
      </c>
      <c r="F9" s="76">
        <v>2</v>
      </c>
      <c r="G9" s="76">
        <v>0</v>
      </c>
      <c r="H9" s="76">
        <v>4</v>
      </c>
      <c r="I9" s="13">
        <v>4</v>
      </c>
      <c r="J9" s="33">
        <v>11727235</v>
      </c>
      <c r="K9" s="143">
        <v>1</v>
      </c>
      <c r="L9" s="34">
        <v>1777777.7</v>
      </c>
      <c r="M9" s="34">
        <v>1810570.2</v>
      </c>
      <c r="N9" s="56">
        <v>6</v>
      </c>
      <c r="O9" s="57">
        <v>99</v>
      </c>
      <c r="P9" s="57">
        <v>1086</v>
      </c>
      <c r="Q9" s="58">
        <v>10578</v>
      </c>
      <c r="R9" s="59">
        <v>106228</v>
      </c>
      <c r="V9" s="4"/>
    </row>
    <row r="10" spans="1:22" x14ac:dyDescent="0.15">
      <c r="A10" s="120">
        <v>3</v>
      </c>
      <c r="B10" s="104">
        <v>29239</v>
      </c>
      <c r="C10" s="76">
        <v>7</v>
      </c>
      <c r="D10" s="76">
        <v>0</v>
      </c>
      <c r="E10" s="76">
        <v>6</v>
      </c>
      <c r="F10" s="76">
        <v>2</v>
      </c>
      <c r="G10" s="76">
        <v>7</v>
      </c>
      <c r="H10" s="76">
        <v>4</v>
      </c>
      <c r="I10" s="13">
        <v>2</v>
      </c>
      <c r="J10" s="33">
        <v>11583852</v>
      </c>
      <c r="K10" s="143">
        <v>2</v>
      </c>
      <c r="L10" s="34">
        <v>1277777.7</v>
      </c>
      <c r="M10" s="34">
        <v>155981.1</v>
      </c>
      <c r="N10" s="56">
        <v>9</v>
      </c>
      <c r="O10" s="57">
        <v>92</v>
      </c>
      <c r="P10" s="57">
        <v>1008</v>
      </c>
      <c r="Q10" s="58">
        <v>10177</v>
      </c>
      <c r="R10" s="59">
        <v>103481</v>
      </c>
      <c r="V10" s="4"/>
    </row>
    <row r="11" spans="1:22" x14ac:dyDescent="0.15">
      <c r="A11" s="120">
        <v>4</v>
      </c>
      <c r="B11" s="104">
        <v>29246</v>
      </c>
      <c r="C11" s="76">
        <v>4</v>
      </c>
      <c r="D11" s="76">
        <v>1</v>
      </c>
      <c r="E11" s="76">
        <v>5</v>
      </c>
      <c r="F11" s="76">
        <v>6</v>
      </c>
      <c r="G11" s="76">
        <v>3</v>
      </c>
      <c r="H11" s="76">
        <v>7</v>
      </c>
      <c r="I11" s="13">
        <v>5</v>
      </c>
      <c r="J11" s="33">
        <v>11675868</v>
      </c>
      <c r="K11" s="143">
        <v>1</v>
      </c>
      <c r="L11" s="34">
        <v>977777.7</v>
      </c>
      <c r="M11" s="34">
        <v>86326.5</v>
      </c>
      <c r="N11" s="56">
        <v>9</v>
      </c>
      <c r="O11" s="57">
        <v>101</v>
      </c>
      <c r="P11" s="57">
        <v>1000</v>
      </c>
      <c r="Q11" s="58">
        <v>10538</v>
      </c>
      <c r="R11" s="59">
        <v>103706</v>
      </c>
      <c r="V11" s="4"/>
    </row>
    <row r="12" spans="1:22" x14ac:dyDescent="0.15">
      <c r="A12" s="120">
        <v>5</v>
      </c>
      <c r="B12" s="104">
        <v>29253</v>
      </c>
      <c r="C12" s="76">
        <v>9</v>
      </c>
      <c r="D12" s="76">
        <v>1</v>
      </c>
      <c r="E12" s="76">
        <v>2</v>
      </c>
      <c r="F12" s="76">
        <v>4</v>
      </c>
      <c r="G12" s="76">
        <v>7</v>
      </c>
      <c r="H12" s="76">
        <v>7</v>
      </c>
      <c r="I12" s="13">
        <v>9</v>
      </c>
      <c r="J12" s="33">
        <v>11666881</v>
      </c>
      <c r="K12" s="143" t="s">
        <v>23</v>
      </c>
      <c r="L12" s="34"/>
      <c r="M12" s="18">
        <v>993750.6</v>
      </c>
      <c r="N12" s="56">
        <v>7</v>
      </c>
      <c r="O12" s="57">
        <v>119</v>
      </c>
      <c r="P12" s="57">
        <v>1044</v>
      </c>
      <c r="Q12" s="58">
        <v>10197</v>
      </c>
      <c r="R12" s="59">
        <v>103737</v>
      </c>
      <c r="V12" s="4"/>
    </row>
    <row r="13" spans="1:22" x14ac:dyDescent="0.15">
      <c r="A13" s="120">
        <v>6</v>
      </c>
      <c r="B13" s="104">
        <v>29260</v>
      </c>
      <c r="C13" s="76">
        <v>6</v>
      </c>
      <c r="D13" s="76">
        <v>8</v>
      </c>
      <c r="E13" s="76">
        <v>7</v>
      </c>
      <c r="F13" s="76">
        <v>8</v>
      </c>
      <c r="G13" s="76">
        <v>8</v>
      </c>
      <c r="H13" s="76">
        <v>2</v>
      </c>
      <c r="I13" s="13">
        <v>8</v>
      </c>
      <c r="J13" s="33">
        <v>11647450</v>
      </c>
      <c r="K13" s="143" t="s">
        <v>23</v>
      </c>
      <c r="L13" s="34"/>
      <c r="M13" s="34">
        <v>1899663.4</v>
      </c>
      <c r="N13" s="56">
        <v>11</v>
      </c>
      <c r="O13" s="57">
        <v>98</v>
      </c>
      <c r="P13" s="57">
        <v>1107</v>
      </c>
      <c r="Q13" s="58">
        <v>10665</v>
      </c>
      <c r="R13" s="59">
        <v>105905</v>
      </c>
      <c r="V13" s="4"/>
    </row>
    <row r="14" spans="1:22" x14ac:dyDescent="0.15">
      <c r="A14" s="120">
        <v>7</v>
      </c>
      <c r="B14" s="104">
        <v>29267</v>
      </c>
      <c r="C14" s="76">
        <v>1</v>
      </c>
      <c r="D14" s="76">
        <v>8</v>
      </c>
      <c r="E14" s="76">
        <v>9</v>
      </c>
      <c r="F14" s="76">
        <v>9</v>
      </c>
      <c r="G14" s="76">
        <v>4</v>
      </c>
      <c r="H14" s="76">
        <v>6</v>
      </c>
      <c r="I14" s="13">
        <v>5</v>
      </c>
      <c r="J14" s="33">
        <v>11457921</v>
      </c>
      <c r="K14" s="143">
        <v>2</v>
      </c>
      <c r="L14" s="34">
        <v>1377777.7</v>
      </c>
      <c r="M14" s="18">
        <v>35279.599999999999</v>
      </c>
      <c r="N14" s="56">
        <v>11</v>
      </c>
      <c r="O14" s="57">
        <v>103</v>
      </c>
      <c r="P14" s="57">
        <v>1058</v>
      </c>
      <c r="Q14" s="58">
        <v>10360</v>
      </c>
      <c r="R14" s="59">
        <v>104523</v>
      </c>
      <c r="V14" s="4"/>
    </row>
    <row r="15" spans="1:22" x14ac:dyDescent="0.15">
      <c r="A15" s="120">
        <v>8</v>
      </c>
      <c r="B15" s="104">
        <v>29274</v>
      </c>
      <c r="C15" s="76">
        <v>8</v>
      </c>
      <c r="D15" s="76">
        <v>1</v>
      </c>
      <c r="E15" s="76">
        <v>7</v>
      </c>
      <c r="F15" s="76">
        <v>5</v>
      </c>
      <c r="G15" s="76">
        <v>0</v>
      </c>
      <c r="H15" s="76">
        <v>3</v>
      </c>
      <c r="I15" s="13">
        <v>5</v>
      </c>
      <c r="J15" s="33">
        <v>11402991</v>
      </c>
      <c r="K15" s="143">
        <v>1</v>
      </c>
      <c r="L15" s="34">
        <v>877777.7</v>
      </c>
      <c r="M15" s="18">
        <v>44401.2</v>
      </c>
      <c r="N15" s="56">
        <v>7</v>
      </c>
      <c r="O15" s="57">
        <v>86</v>
      </c>
      <c r="P15" s="57">
        <v>1070</v>
      </c>
      <c r="Q15" s="58">
        <v>9962</v>
      </c>
      <c r="R15" s="59">
        <v>103693</v>
      </c>
      <c r="V15" s="4"/>
    </row>
    <row r="16" spans="1:22" x14ac:dyDescent="0.15">
      <c r="A16" s="120">
        <v>9</v>
      </c>
      <c r="B16" s="104">
        <v>29281</v>
      </c>
      <c r="C16" s="76">
        <v>1</v>
      </c>
      <c r="D16" s="76">
        <v>4</v>
      </c>
      <c r="E16" s="76">
        <v>0</v>
      </c>
      <c r="F16" s="76">
        <v>2</v>
      </c>
      <c r="G16" s="76">
        <v>5</v>
      </c>
      <c r="H16" s="76">
        <v>9</v>
      </c>
      <c r="I16" s="13">
        <v>4</v>
      </c>
      <c r="J16" s="33">
        <v>14431015</v>
      </c>
      <c r="K16" s="143">
        <v>1</v>
      </c>
      <c r="L16" s="34">
        <v>1077777.7</v>
      </c>
      <c r="M16" s="18">
        <v>89035.8</v>
      </c>
      <c r="N16" s="56">
        <v>9</v>
      </c>
      <c r="O16" s="57">
        <v>131</v>
      </c>
      <c r="P16" s="57">
        <v>1410</v>
      </c>
      <c r="Q16" s="58">
        <v>13395</v>
      </c>
      <c r="R16" s="59">
        <v>133853</v>
      </c>
      <c r="V16" s="4"/>
    </row>
    <row r="17" spans="1:22" x14ac:dyDescent="0.15">
      <c r="A17" s="120">
        <v>10</v>
      </c>
      <c r="B17" s="104">
        <v>29288</v>
      </c>
      <c r="C17" s="76">
        <v>3</v>
      </c>
      <c r="D17" s="76">
        <v>4</v>
      </c>
      <c r="E17" s="76">
        <v>1</v>
      </c>
      <c r="F17" s="76">
        <v>0</v>
      </c>
      <c r="G17" s="76">
        <v>7</v>
      </c>
      <c r="H17" s="76">
        <v>6</v>
      </c>
      <c r="I17" s="13">
        <v>4</v>
      </c>
      <c r="J17" s="33">
        <v>11798237</v>
      </c>
      <c r="K17" s="143">
        <v>1</v>
      </c>
      <c r="L17" s="34">
        <v>977777.7</v>
      </c>
      <c r="M17" s="18">
        <v>28898.7</v>
      </c>
      <c r="N17" s="56">
        <v>15</v>
      </c>
      <c r="O17" s="57">
        <v>99</v>
      </c>
      <c r="P17" s="57">
        <v>1032</v>
      </c>
      <c r="Q17" s="58">
        <v>10836</v>
      </c>
      <c r="R17" s="59">
        <v>106982</v>
      </c>
      <c r="V17" s="4"/>
    </row>
    <row r="18" spans="1:22" x14ac:dyDescent="0.15">
      <c r="A18" s="120">
        <v>11</v>
      </c>
      <c r="B18" s="104">
        <v>29295</v>
      </c>
      <c r="C18" s="76">
        <v>1</v>
      </c>
      <c r="D18" s="76">
        <v>9</v>
      </c>
      <c r="E18" s="76">
        <v>5</v>
      </c>
      <c r="F18" s="76">
        <v>6</v>
      </c>
      <c r="G18" s="76">
        <v>1</v>
      </c>
      <c r="H18" s="76">
        <v>9</v>
      </c>
      <c r="I18" s="13">
        <v>7</v>
      </c>
      <c r="J18" s="33">
        <v>11720473</v>
      </c>
      <c r="K18" s="143" t="s">
        <v>23</v>
      </c>
      <c r="L18" s="34"/>
      <c r="M18" s="18">
        <v>940491</v>
      </c>
      <c r="N18" s="56">
        <v>10</v>
      </c>
      <c r="O18" s="57">
        <v>102</v>
      </c>
      <c r="P18" s="57">
        <v>1055</v>
      </c>
      <c r="Q18" s="58">
        <v>10602</v>
      </c>
      <c r="R18" s="59">
        <v>106141</v>
      </c>
      <c r="V18" s="4"/>
    </row>
    <row r="19" spans="1:22" x14ac:dyDescent="0.15">
      <c r="A19" s="120">
        <v>12</v>
      </c>
      <c r="B19" s="104">
        <v>29302</v>
      </c>
      <c r="C19" s="76">
        <v>9</v>
      </c>
      <c r="D19" s="76">
        <v>0</v>
      </c>
      <c r="E19" s="76">
        <v>6</v>
      </c>
      <c r="F19" s="76">
        <v>9</v>
      </c>
      <c r="G19" s="76">
        <v>0</v>
      </c>
      <c r="H19" s="76">
        <v>9</v>
      </c>
      <c r="I19" s="13">
        <v>8</v>
      </c>
      <c r="J19" s="33">
        <v>11576055</v>
      </c>
      <c r="K19" s="143">
        <v>1</v>
      </c>
      <c r="L19" s="34">
        <v>1777777.7</v>
      </c>
      <c r="M19" s="18">
        <v>63073.1</v>
      </c>
      <c r="N19" s="56">
        <v>7</v>
      </c>
      <c r="O19" s="57">
        <v>108</v>
      </c>
      <c r="P19" s="57">
        <v>1048</v>
      </c>
      <c r="Q19" s="58">
        <v>9892</v>
      </c>
      <c r="R19" s="59">
        <v>103988</v>
      </c>
      <c r="V19" s="4"/>
    </row>
    <row r="20" spans="1:22" x14ac:dyDescent="0.15">
      <c r="A20" s="120">
        <v>13</v>
      </c>
      <c r="B20" s="104">
        <v>29309</v>
      </c>
      <c r="C20" s="76">
        <v>7</v>
      </c>
      <c r="D20" s="76">
        <v>1</v>
      </c>
      <c r="E20" s="76">
        <v>5</v>
      </c>
      <c r="F20" s="76">
        <v>0</v>
      </c>
      <c r="G20" s="76">
        <v>2</v>
      </c>
      <c r="H20" s="76">
        <v>9</v>
      </c>
      <c r="I20" s="13">
        <v>5</v>
      </c>
      <c r="J20" s="33">
        <v>11656210</v>
      </c>
      <c r="K20" s="143">
        <v>1</v>
      </c>
      <c r="L20" s="34">
        <v>877777.7</v>
      </c>
      <c r="M20" s="18">
        <v>91889.5</v>
      </c>
      <c r="N20" s="56">
        <v>6</v>
      </c>
      <c r="O20" s="57">
        <v>99</v>
      </c>
      <c r="P20" s="57">
        <v>1020</v>
      </c>
      <c r="Q20" s="58">
        <v>10187</v>
      </c>
      <c r="R20" s="59">
        <v>101213</v>
      </c>
      <c r="V20" s="4"/>
    </row>
    <row r="21" spans="1:22" x14ac:dyDescent="0.15">
      <c r="A21" s="120">
        <v>14</v>
      </c>
      <c r="B21" s="104">
        <v>29316</v>
      </c>
      <c r="C21" s="76">
        <v>9</v>
      </c>
      <c r="D21" s="76">
        <v>2</v>
      </c>
      <c r="E21" s="76">
        <v>1</v>
      </c>
      <c r="F21" s="76">
        <v>3</v>
      </c>
      <c r="G21" s="76">
        <v>4</v>
      </c>
      <c r="H21" s="76">
        <v>3</v>
      </c>
      <c r="I21" s="13">
        <v>0</v>
      </c>
      <c r="J21" s="33">
        <v>11411743</v>
      </c>
      <c r="K21" s="143">
        <v>2</v>
      </c>
      <c r="L21" s="34">
        <v>477777.7</v>
      </c>
      <c r="M21" s="18">
        <v>23914.1</v>
      </c>
      <c r="N21" s="56">
        <v>8</v>
      </c>
      <c r="O21" s="57">
        <v>120</v>
      </c>
      <c r="P21" s="57">
        <v>1013</v>
      </c>
      <c r="Q21" s="58">
        <v>10105</v>
      </c>
      <c r="R21" s="59">
        <v>100176</v>
      </c>
      <c r="V21" s="4"/>
    </row>
    <row r="22" spans="1:22" x14ac:dyDescent="0.15">
      <c r="A22" s="120">
        <v>15</v>
      </c>
      <c r="B22" s="104">
        <v>29323</v>
      </c>
      <c r="C22" s="76">
        <v>4</v>
      </c>
      <c r="D22" s="76">
        <v>8</v>
      </c>
      <c r="E22" s="76">
        <v>4</v>
      </c>
      <c r="F22" s="76">
        <v>1</v>
      </c>
      <c r="G22" s="76">
        <v>0</v>
      </c>
      <c r="H22" s="76">
        <v>1</v>
      </c>
      <c r="I22" s="13">
        <v>7</v>
      </c>
      <c r="J22" s="33">
        <v>11270576</v>
      </c>
      <c r="K22" s="143" t="s">
        <v>23</v>
      </c>
      <c r="L22" s="34"/>
      <c r="M22" s="18">
        <v>900514.4</v>
      </c>
      <c r="N22" s="56">
        <v>8</v>
      </c>
      <c r="O22" s="57">
        <v>82</v>
      </c>
      <c r="P22" s="57">
        <v>1008</v>
      </c>
      <c r="Q22" s="58">
        <v>9984</v>
      </c>
      <c r="R22" s="59">
        <v>102382</v>
      </c>
      <c r="V22" s="4"/>
    </row>
    <row r="23" spans="1:22" x14ac:dyDescent="0.15">
      <c r="A23" s="120">
        <v>16</v>
      </c>
      <c r="B23" s="104">
        <v>29330</v>
      </c>
      <c r="C23" s="76">
        <v>0</v>
      </c>
      <c r="D23" s="76">
        <v>2</v>
      </c>
      <c r="E23" s="76">
        <v>1</v>
      </c>
      <c r="F23" s="76">
        <v>1</v>
      </c>
      <c r="G23" s="76">
        <v>2</v>
      </c>
      <c r="H23" s="76">
        <v>2</v>
      </c>
      <c r="I23" s="13">
        <v>8</v>
      </c>
      <c r="J23" s="33">
        <v>11268658</v>
      </c>
      <c r="K23" s="143" t="s">
        <v>23</v>
      </c>
      <c r="L23" s="34"/>
      <c r="M23" s="18">
        <v>1776965.6</v>
      </c>
      <c r="N23" s="56">
        <v>9</v>
      </c>
      <c r="O23" s="57">
        <v>95</v>
      </c>
      <c r="P23" s="57">
        <v>1092</v>
      </c>
      <c r="Q23" s="58">
        <v>10240</v>
      </c>
      <c r="R23" s="59">
        <v>103324</v>
      </c>
      <c r="V23" s="4"/>
    </row>
    <row r="24" spans="1:22" x14ac:dyDescent="0.15">
      <c r="A24" s="120">
        <v>17</v>
      </c>
      <c r="B24" s="104">
        <v>29337</v>
      </c>
      <c r="C24" s="76">
        <v>2</v>
      </c>
      <c r="D24" s="76">
        <v>0</v>
      </c>
      <c r="E24" s="76">
        <v>5</v>
      </c>
      <c r="F24" s="76">
        <v>9</v>
      </c>
      <c r="G24" s="76">
        <v>3</v>
      </c>
      <c r="H24" s="76">
        <v>9</v>
      </c>
      <c r="I24" s="13">
        <v>5</v>
      </c>
      <c r="J24" s="33">
        <v>11483956</v>
      </c>
      <c r="K24" s="143">
        <v>1</v>
      </c>
      <c r="L24" s="34">
        <v>1777777.7</v>
      </c>
      <c r="M24" s="18">
        <v>892384.5</v>
      </c>
      <c r="N24" s="56">
        <v>9</v>
      </c>
      <c r="O24" s="57">
        <v>97</v>
      </c>
      <c r="P24" s="57">
        <v>1028</v>
      </c>
      <c r="Q24" s="58">
        <v>9983</v>
      </c>
      <c r="R24" s="59">
        <v>101051</v>
      </c>
      <c r="V24" s="4"/>
    </row>
    <row r="25" spans="1:22" x14ac:dyDescent="0.15">
      <c r="A25" s="120">
        <v>18</v>
      </c>
      <c r="B25" s="104">
        <v>29344</v>
      </c>
      <c r="C25" s="76">
        <v>8</v>
      </c>
      <c r="D25" s="76">
        <v>3</v>
      </c>
      <c r="E25" s="76">
        <v>7</v>
      </c>
      <c r="F25" s="76">
        <v>9</v>
      </c>
      <c r="G25" s="76">
        <v>0</v>
      </c>
      <c r="H25" s="76">
        <v>8</v>
      </c>
      <c r="I25" s="13">
        <v>0</v>
      </c>
      <c r="J25" s="33">
        <v>11108453</v>
      </c>
      <c r="K25" s="143" t="s">
        <v>23</v>
      </c>
      <c r="L25" s="34"/>
      <c r="M25" s="18">
        <v>1756375.3</v>
      </c>
      <c r="N25" s="56">
        <v>8</v>
      </c>
      <c r="O25" s="57">
        <v>96</v>
      </c>
      <c r="P25" s="57">
        <v>992</v>
      </c>
      <c r="Q25" s="58">
        <v>9652</v>
      </c>
      <c r="R25" s="59">
        <v>98822</v>
      </c>
      <c r="V25" s="4"/>
    </row>
    <row r="26" spans="1:22" x14ac:dyDescent="0.15">
      <c r="A26" s="120">
        <v>19</v>
      </c>
      <c r="B26" s="104">
        <v>29351</v>
      </c>
      <c r="C26" s="76">
        <v>7</v>
      </c>
      <c r="D26" s="76">
        <v>1</v>
      </c>
      <c r="E26" s="76">
        <v>4</v>
      </c>
      <c r="F26" s="76">
        <v>2</v>
      </c>
      <c r="G26" s="76">
        <v>9</v>
      </c>
      <c r="H26" s="76">
        <v>3</v>
      </c>
      <c r="I26" s="13">
        <v>8</v>
      </c>
      <c r="J26" s="33">
        <v>11460059</v>
      </c>
      <c r="K26" s="143">
        <v>2</v>
      </c>
      <c r="L26" s="34">
        <v>1277777.7</v>
      </c>
      <c r="M26" s="34">
        <v>92157.8</v>
      </c>
      <c r="N26" s="56">
        <v>16</v>
      </c>
      <c r="O26" s="57">
        <v>108</v>
      </c>
      <c r="P26" s="57">
        <v>1075</v>
      </c>
      <c r="Q26" s="58">
        <v>10566</v>
      </c>
      <c r="R26" s="59">
        <v>104405</v>
      </c>
      <c r="V26" s="4"/>
    </row>
    <row r="27" spans="1:22" x14ac:dyDescent="0.15">
      <c r="A27" s="120">
        <v>20</v>
      </c>
      <c r="B27" s="104">
        <v>29358</v>
      </c>
      <c r="C27" s="76">
        <v>0</v>
      </c>
      <c r="D27" s="76">
        <v>6</v>
      </c>
      <c r="E27" s="76">
        <v>3</v>
      </c>
      <c r="F27" s="76">
        <v>0</v>
      </c>
      <c r="G27" s="76">
        <v>7</v>
      </c>
      <c r="H27" s="76">
        <v>1</v>
      </c>
      <c r="I27" s="13">
        <v>9</v>
      </c>
      <c r="J27" s="33">
        <v>10951315</v>
      </c>
      <c r="K27" s="143">
        <v>1</v>
      </c>
      <c r="L27" s="34">
        <v>877777.7</v>
      </c>
      <c r="M27" s="18">
        <v>66149</v>
      </c>
      <c r="N27" s="56">
        <v>6</v>
      </c>
      <c r="O27" s="57">
        <v>98</v>
      </c>
      <c r="P27" s="57">
        <v>995</v>
      </c>
      <c r="Q27" s="58">
        <v>10047</v>
      </c>
      <c r="R27" s="59">
        <v>99776</v>
      </c>
      <c r="V27" s="4"/>
    </row>
    <row r="28" spans="1:22" x14ac:dyDescent="0.15">
      <c r="A28" s="120">
        <v>21</v>
      </c>
      <c r="B28" s="104">
        <v>29365</v>
      </c>
      <c r="C28" s="76">
        <v>4</v>
      </c>
      <c r="D28" s="76">
        <v>0</v>
      </c>
      <c r="E28" s="76">
        <v>0</v>
      </c>
      <c r="F28" s="76">
        <v>4</v>
      </c>
      <c r="G28" s="76">
        <v>6</v>
      </c>
      <c r="H28" s="76">
        <v>9</v>
      </c>
      <c r="I28" s="13">
        <v>1</v>
      </c>
      <c r="J28" s="33">
        <v>11081016</v>
      </c>
      <c r="K28" s="143" t="s">
        <v>23</v>
      </c>
      <c r="L28" s="34"/>
      <c r="M28" s="18">
        <v>928005.8</v>
      </c>
      <c r="N28" s="56">
        <v>13</v>
      </c>
      <c r="O28" s="57">
        <v>105</v>
      </c>
      <c r="P28" s="57">
        <v>979</v>
      </c>
      <c r="Q28" s="58">
        <v>9965</v>
      </c>
      <c r="R28" s="59">
        <v>98893</v>
      </c>
      <c r="V28" s="4"/>
    </row>
    <row r="29" spans="1:22" x14ac:dyDescent="0.15">
      <c r="A29" s="120">
        <v>22</v>
      </c>
      <c r="B29" s="104">
        <v>29372</v>
      </c>
      <c r="C29" s="76">
        <v>0</v>
      </c>
      <c r="D29" s="76">
        <v>4</v>
      </c>
      <c r="E29" s="76">
        <v>0</v>
      </c>
      <c r="F29" s="76">
        <v>8</v>
      </c>
      <c r="G29" s="76">
        <v>8</v>
      </c>
      <c r="H29" s="76">
        <v>0</v>
      </c>
      <c r="I29" s="13">
        <v>5</v>
      </c>
      <c r="J29" s="33">
        <v>11128703</v>
      </c>
      <c r="K29" s="143">
        <v>1</v>
      </c>
      <c r="L29" s="34">
        <v>1777777.7</v>
      </c>
      <c r="M29" s="34">
        <v>15793.9</v>
      </c>
      <c r="N29" s="56">
        <v>5</v>
      </c>
      <c r="O29" s="57">
        <v>93</v>
      </c>
      <c r="P29" s="57">
        <v>955</v>
      </c>
      <c r="Q29" s="58">
        <v>9556</v>
      </c>
      <c r="R29" s="59">
        <v>94311</v>
      </c>
      <c r="V29" s="4"/>
    </row>
    <row r="30" spans="1:22" x14ac:dyDescent="0.15">
      <c r="A30" s="120">
        <v>23</v>
      </c>
      <c r="B30" s="104">
        <v>29379</v>
      </c>
      <c r="C30" s="76">
        <v>0</v>
      </c>
      <c r="D30" s="76">
        <v>0</v>
      </c>
      <c r="E30" s="76">
        <v>0</v>
      </c>
      <c r="F30" s="76">
        <v>9</v>
      </c>
      <c r="G30" s="76">
        <v>7</v>
      </c>
      <c r="H30" s="76">
        <v>2</v>
      </c>
      <c r="I30" s="13">
        <v>1</v>
      </c>
      <c r="J30" s="33">
        <v>10812790</v>
      </c>
      <c r="K30" s="143">
        <v>1</v>
      </c>
      <c r="L30" s="34">
        <v>777777.7</v>
      </c>
      <c r="M30" s="18">
        <v>79011</v>
      </c>
      <c r="N30" s="56">
        <v>10</v>
      </c>
      <c r="O30" s="57">
        <v>98</v>
      </c>
      <c r="P30" s="57">
        <v>970</v>
      </c>
      <c r="Q30" s="58">
        <v>9838</v>
      </c>
      <c r="R30" s="59">
        <v>97721</v>
      </c>
      <c r="V30" s="4"/>
    </row>
    <row r="31" spans="1:22" x14ac:dyDescent="0.15">
      <c r="A31" s="120">
        <v>24</v>
      </c>
      <c r="B31" s="104">
        <v>29386</v>
      </c>
      <c r="C31" s="76">
        <v>2</v>
      </c>
      <c r="D31" s="76">
        <v>9</v>
      </c>
      <c r="E31" s="76">
        <v>9</v>
      </c>
      <c r="F31" s="76">
        <v>7</v>
      </c>
      <c r="G31" s="76">
        <v>9</v>
      </c>
      <c r="H31" s="76">
        <v>7</v>
      </c>
      <c r="I31" s="13">
        <v>0</v>
      </c>
      <c r="J31" s="33">
        <v>12565798</v>
      </c>
      <c r="K31" s="143">
        <v>1</v>
      </c>
      <c r="L31" s="34">
        <v>977777.7</v>
      </c>
      <c r="M31" s="18">
        <v>78573.100000000006</v>
      </c>
      <c r="N31" s="56">
        <v>17</v>
      </c>
      <c r="O31" s="57">
        <v>129</v>
      </c>
      <c r="P31" s="57">
        <v>1197</v>
      </c>
      <c r="Q31" s="58">
        <v>11456</v>
      </c>
      <c r="R31" s="59">
        <v>113447</v>
      </c>
      <c r="V31" s="4"/>
    </row>
    <row r="32" spans="1:22" x14ac:dyDescent="0.15">
      <c r="A32" s="120">
        <v>25</v>
      </c>
      <c r="B32" s="104">
        <v>29393</v>
      </c>
      <c r="C32" s="76">
        <v>7</v>
      </c>
      <c r="D32" s="76">
        <v>5</v>
      </c>
      <c r="E32" s="76">
        <v>6</v>
      </c>
      <c r="F32" s="76">
        <v>7</v>
      </c>
      <c r="G32" s="76">
        <v>2</v>
      </c>
      <c r="H32" s="76">
        <v>4</v>
      </c>
      <c r="I32" s="13">
        <v>8</v>
      </c>
      <c r="J32" s="33">
        <v>10955117</v>
      </c>
      <c r="K32" s="143" t="s">
        <v>23</v>
      </c>
      <c r="L32" s="34"/>
      <c r="M32" s="18">
        <v>930637.7</v>
      </c>
      <c r="N32" s="56">
        <v>11</v>
      </c>
      <c r="O32" s="57">
        <v>110</v>
      </c>
      <c r="P32" s="57">
        <v>991</v>
      </c>
      <c r="Q32" s="58">
        <v>10173</v>
      </c>
      <c r="R32" s="59">
        <v>100687</v>
      </c>
      <c r="V32" s="4"/>
    </row>
    <row r="33" spans="1:22" x14ac:dyDescent="0.15">
      <c r="A33" s="120">
        <v>26</v>
      </c>
      <c r="B33" s="104">
        <v>29400</v>
      </c>
      <c r="C33" s="76">
        <v>7</v>
      </c>
      <c r="D33" s="76">
        <v>2</v>
      </c>
      <c r="E33" s="76">
        <v>9</v>
      </c>
      <c r="F33" s="76">
        <v>7</v>
      </c>
      <c r="G33" s="76">
        <v>8</v>
      </c>
      <c r="H33" s="76">
        <v>6</v>
      </c>
      <c r="I33" s="13">
        <v>9</v>
      </c>
      <c r="J33" s="33">
        <v>10951878</v>
      </c>
      <c r="K33" s="143">
        <v>1</v>
      </c>
      <c r="L33" s="34">
        <v>1777777.7</v>
      </c>
      <c r="M33" s="18">
        <v>4672.7</v>
      </c>
      <c r="N33" s="56">
        <v>12</v>
      </c>
      <c r="O33" s="57">
        <v>113</v>
      </c>
      <c r="P33" s="57">
        <v>976</v>
      </c>
      <c r="Q33" s="58">
        <v>9858</v>
      </c>
      <c r="R33" s="59">
        <v>99512</v>
      </c>
      <c r="V33" s="4"/>
    </row>
    <row r="34" spans="1:22" x14ac:dyDescent="0.15">
      <c r="A34" s="120">
        <v>27</v>
      </c>
      <c r="B34" s="104">
        <v>29407</v>
      </c>
      <c r="C34" s="76">
        <v>4</v>
      </c>
      <c r="D34" s="76">
        <v>6</v>
      </c>
      <c r="E34" s="76">
        <v>3</v>
      </c>
      <c r="F34" s="76">
        <v>4</v>
      </c>
      <c r="G34" s="76">
        <v>0</v>
      </c>
      <c r="H34" s="76">
        <v>7</v>
      </c>
      <c r="I34" s="113">
        <v>2</v>
      </c>
      <c r="J34" s="33">
        <v>10901153</v>
      </c>
      <c r="K34" s="143" t="s">
        <v>23</v>
      </c>
      <c r="L34" s="34"/>
      <c r="M34" s="117">
        <v>852540.1</v>
      </c>
      <c r="N34" s="56">
        <v>12</v>
      </c>
      <c r="O34" s="57">
        <v>91</v>
      </c>
      <c r="P34" s="57">
        <v>896</v>
      </c>
      <c r="Q34" s="58">
        <v>9646</v>
      </c>
      <c r="R34" s="59">
        <v>99119</v>
      </c>
      <c r="V34" s="4"/>
    </row>
    <row r="35" spans="1:22" x14ac:dyDescent="0.15">
      <c r="A35" s="120">
        <v>28</v>
      </c>
      <c r="B35" s="104">
        <v>29414</v>
      </c>
      <c r="C35" s="76">
        <v>9</v>
      </c>
      <c r="D35" s="76">
        <v>7</v>
      </c>
      <c r="E35" s="76">
        <v>0</v>
      </c>
      <c r="F35" s="76">
        <v>6</v>
      </c>
      <c r="G35" s="76">
        <v>0</v>
      </c>
      <c r="H35" s="76">
        <v>3</v>
      </c>
      <c r="I35" s="13">
        <v>8</v>
      </c>
      <c r="J35" s="33">
        <v>10886057</v>
      </c>
      <c r="K35" s="143">
        <v>5</v>
      </c>
      <c r="L35" s="34">
        <v>277777.7</v>
      </c>
      <c r="M35" s="18">
        <v>310344.90000000002</v>
      </c>
      <c r="N35" s="56">
        <v>12</v>
      </c>
      <c r="O35" s="57">
        <v>107</v>
      </c>
      <c r="P35" s="57">
        <v>959</v>
      </c>
      <c r="Q35" s="58">
        <v>9579</v>
      </c>
      <c r="R35" s="59">
        <v>97750</v>
      </c>
      <c r="V35" s="4"/>
    </row>
    <row r="36" spans="1:22" x14ac:dyDescent="0.15">
      <c r="A36" s="120">
        <v>29</v>
      </c>
      <c r="B36" s="104">
        <v>29421</v>
      </c>
      <c r="C36" s="76">
        <v>3</v>
      </c>
      <c r="D36" s="76">
        <v>4</v>
      </c>
      <c r="E36" s="76">
        <v>4</v>
      </c>
      <c r="F36" s="76">
        <v>6</v>
      </c>
      <c r="G36" s="76">
        <v>7</v>
      </c>
      <c r="H36" s="76">
        <v>0</v>
      </c>
      <c r="I36" s="113">
        <v>5</v>
      </c>
      <c r="J36" s="33">
        <v>10924976</v>
      </c>
      <c r="K36" s="143" t="s">
        <v>23</v>
      </c>
      <c r="L36" s="34"/>
      <c r="M36" s="34">
        <v>1160065.2</v>
      </c>
      <c r="N36" s="56">
        <v>13</v>
      </c>
      <c r="O36" s="57">
        <v>103</v>
      </c>
      <c r="P36" s="57">
        <v>918</v>
      </c>
      <c r="Q36" s="58">
        <v>9420</v>
      </c>
      <c r="R36" s="59">
        <v>93475</v>
      </c>
      <c r="V36" s="4"/>
    </row>
    <row r="37" spans="1:22" x14ac:dyDescent="0.15">
      <c r="A37" s="120">
        <v>30</v>
      </c>
      <c r="B37" s="104">
        <v>29428</v>
      </c>
      <c r="C37" s="76">
        <v>4</v>
      </c>
      <c r="D37" s="76">
        <v>3</v>
      </c>
      <c r="E37" s="76">
        <v>6</v>
      </c>
      <c r="F37" s="76">
        <v>1</v>
      </c>
      <c r="G37" s="76">
        <v>7</v>
      </c>
      <c r="H37" s="76">
        <v>1</v>
      </c>
      <c r="I37" s="13">
        <v>7</v>
      </c>
      <c r="J37" s="33">
        <v>10502446</v>
      </c>
      <c r="K37" s="143" t="s">
        <v>23</v>
      </c>
      <c r="L37" s="34"/>
      <c r="M37" s="18">
        <v>1976922.1</v>
      </c>
      <c r="N37" s="56">
        <v>9</v>
      </c>
      <c r="O37" s="57">
        <v>97</v>
      </c>
      <c r="P37" s="57">
        <v>979</v>
      </c>
      <c r="Q37" s="58">
        <v>9466</v>
      </c>
      <c r="R37" s="59">
        <v>95072</v>
      </c>
      <c r="V37" s="4"/>
    </row>
    <row r="38" spans="1:22" x14ac:dyDescent="0.15">
      <c r="A38" s="120">
        <v>31</v>
      </c>
      <c r="B38" s="104">
        <v>29435</v>
      </c>
      <c r="C38" s="76">
        <v>9</v>
      </c>
      <c r="D38" s="76">
        <v>4</v>
      </c>
      <c r="E38" s="76">
        <v>7</v>
      </c>
      <c r="F38" s="76">
        <v>4</v>
      </c>
      <c r="G38" s="76">
        <v>3</v>
      </c>
      <c r="H38" s="76">
        <v>9</v>
      </c>
      <c r="I38" s="13">
        <v>4</v>
      </c>
      <c r="J38" s="33">
        <v>10478481</v>
      </c>
      <c r="K38" s="143">
        <v>1</v>
      </c>
      <c r="L38" s="34">
        <v>1777777.7</v>
      </c>
      <c r="M38" s="18">
        <v>1014137.4</v>
      </c>
      <c r="N38" s="56">
        <v>11</v>
      </c>
      <c r="O38" s="57">
        <v>91</v>
      </c>
      <c r="P38" s="57">
        <v>975</v>
      </c>
      <c r="Q38" s="58">
        <v>9364</v>
      </c>
      <c r="R38" s="59">
        <v>93907</v>
      </c>
      <c r="V38" s="4"/>
    </row>
    <row r="39" spans="1:22" x14ac:dyDescent="0.15">
      <c r="A39" s="120">
        <v>32</v>
      </c>
      <c r="B39" s="104">
        <v>29442</v>
      </c>
      <c r="C39" s="76">
        <v>3</v>
      </c>
      <c r="D39" s="76">
        <v>4</v>
      </c>
      <c r="E39" s="76">
        <v>6</v>
      </c>
      <c r="F39" s="76">
        <v>3</v>
      </c>
      <c r="G39" s="76">
        <v>3</v>
      </c>
      <c r="H39" s="76">
        <v>1</v>
      </c>
      <c r="I39" s="13">
        <v>5</v>
      </c>
      <c r="J39" s="33">
        <v>10453303</v>
      </c>
      <c r="K39" s="143" t="s">
        <v>23</v>
      </c>
      <c r="L39" s="34"/>
      <c r="M39" s="18">
        <v>1827172.1</v>
      </c>
      <c r="N39" s="56">
        <v>15</v>
      </c>
      <c r="O39" s="57">
        <v>87</v>
      </c>
      <c r="P39" s="57">
        <v>949</v>
      </c>
      <c r="Q39" s="58">
        <v>9455</v>
      </c>
      <c r="R39" s="59">
        <v>94276</v>
      </c>
      <c r="V39" s="4"/>
    </row>
    <row r="40" spans="1:22" x14ac:dyDescent="0.15">
      <c r="A40" s="120">
        <v>33</v>
      </c>
      <c r="B40" s="104">
        <v>29449</v>
      </c>
      <c r="C40" s="76">
        <v>9</v>
      </c>
      <c r="D40" s="76">
        <v>9</v>
      </c>
      <c r="E40" s="76">
        <v>7</v>
      </c>
      <c r="F40" s="76">
        <v>1</v>
      </c>
      <c r="G40" s="76">
        <v>6</v>
      </c>
      <c r="H40" s="76">
        <v>6</v>
      </c>
      <c r="I40" s="13">
        <v>1</v>
      </c>
      <c r="J40" s="33">
        <v>10722450</v>
      </c>
      <c r="K40" s="143">
        <v>1</v>
      </c>
      <c r="L40" s="34">
        <v>1777777.7</v>
      </c>
      <c r="M40" s="18">
        <v>883362.7</v>
      </c>
      <c r="N40" s="56">
        <v>10</v>
      </c>
      <c r="O40" s="57">
        <v>85</v>
      </c>
      <c r="P40" s="57">
        <v>917</v>
      </c>
      <c r="Q40" s="58">
        <v>9194</v>
      </c>
      <c r="R40" s="59">
        <v>93029</v>
      </c>
      <c r="V40" s="4"/>
    </row>
    <row r="41" spans="1:22" x14ac:dyDescent="0.15">
      <c r="A41" s="120">
        <v>34</v>
      </c>
      <c r="B41" s="104">
        <v>29456</v>
      </c>
      <c r="C41" s="76">
        <v>3</v>
      </c>
      <c r="D41" s="76">
        <v>1</v>
      </c>
      <c r="E41" s="76">
        <v>6</v>
      </c>
      <c r="F41" s="76">
        <v>3</v>
      </c>
      <c r="G41" s="76">
        <v>2</v>
      </c>
      <c r="H41" s="14">
        <v>5</v>
      </c>
      <c r="I41" s="14">
        <v>5</v>
      </c>
      <c r="J41" s="33">
        <v>10821216</v>
      </c>
      <c r="K41" s="143">
        <v>2</v>
      </c>
      <c r="L41" s="34">
        <v>777777.7</v>
      </c>
      <c r="M41" s="18">
        <v>169457.4</v>
      </c>
      <c r="N41" s="56">
        <v>11</v>
      </c>
      <c r="O41" s="57">
        <v>100</v>
      </c>
      <c r="P41" s="57">
        <v>950</v>
      </c>
      <c r="Q41" s="58">
        <v>9742</v>
      </c>
      <c r="R41" s="59">
        <v>96937</v>
      </c>
      <c r="V41" s="4"/>
    </row>
    <row r="42" spans="1:22" s="90" customFormat="1" x14ac:dyDescent="0.15">
      <c r="A42" s="120">
        <v>35</v>
      </c>
      <c r="B42" s="104">
        <v>29463</v>
      </c>
      <c r="C42" s="76">
        <v>8</v>
      </c>
      <c r="D42" s="76">
        <v>9</v>
      </c>
      <c r="E42" s="76">
        <v>6</v>
      </c>
      <c r="F42" s="76">
        <v>7</v>
      </c>
      <c r="G42" s="76">
        <v>7</v>
      </c>
      <c r="H42" s="115">
        <v>2</v>
      </c>
      <c r="I42" s="13">
        <v>3</v>
      </c>
      <c r="J42" s="33">
        <v>11286139</v>
      </c>
      <c r="K42" s="143" t="s">
        <v>23</v>
      </c>
      <c r="L42" s="34"/>
      <c r="M42" s="34">
        <v>1047268.2</v>
      </c>
      <c r="N42" s="56">
        <v>11</v>
      </c>
      <c r="O42" s="57">
        <v>108</v>
      </c>
      <c r="P42" s="57">
        <v>950</v>
      </c>
      <c r="Q42" s="58">
        <v>10077</v>
      </c>
      <c r="R42" s="59">
        <v>99415</v>
      </c>
      <c r="S42" s="91"/>
      <c r="V42" s="100"/>
    </row>
    <row r="43" spans="1:22" s="90" customFormat="1" x14ac:dyDescent="0.15">
      <c r="A43" s="120">
        <v>36</v>
      </c>
      <c r="B43" s="104">
        <v>29470</v>
      </c>
      <c r="C43" s="103">
        <v>6</v>
      </c>
      <c r="D43" s="103">
        <v>4</v>
      </c>
      <c r="E43" s="103">
        <v>9</v>
      </c>
      <c r="F43" s="103">
        <v>1</v>
      </c>
      <c r="G43" s="103">
        <v>2</v>
      </c>
      <c r="H43" s="115">
        <v>8</v>
      </c>
      <c r="I43" s="113">
        <v>9</v>
      </c>
      <c r="J43" s="33">
        <v>11006130</v>
      </c>
      <c r="K43" s="191">
        <v>1</v>
      </c>
      <c r="L43" s="34">
        <v>1777777.7</v>
      </c>
      <c r="M43" s="18">
        <v>125522.8</v>
      </c>
      <c r="N43" s="56">
        <v>9</v>
      </c>
      <c r="O43" s="57">
        <v>100</v>
      </c>
      <c r="P43" s="57">
        <v>957</v>
      </c>
      <c r="Q43" s="58">
        <v>9909</v>
      </c>
      <c r="R43" s="59">
        <v>98670</v>
      </c>
      <c r="S43" s="91"/>
      <c r="V43" s="100"/>
    </row>
    <row r="44" spans="1:22" s="90" customFormat="1" x14ac:dyDescent="0.15">
      <c r="A44" s="120">
        <v>37</v>
      </c>
      <c r="B44" s="104">
        <v>29477</v>
      </c>
      <c r="C44" s="103">
        <v>7</v>
      </c>
      <c r="D44" s="103">
        <v>3</v>
      </c>
      <c r="E44" s="103">
        <v>2</v>
      </c>
      <c r="F44" s="103">
        <v>8</v>
      </c>
      <c r="G44" s="103">
        <v>5</v>
      </c>
      <c r="H44" s="115">
        <v>5</v>
      </c>
      <c r="I44" s="13">
        <v>0</v>
      </c>
      <c r="J44" s="33">
        <v>11196718</v>
      </c>
      <c r="K44" s="143" t="s">
        <v>23</v>
      </c>
      <c r="L44" s="34"/>
      <c r="M44" s="18">
        <v>996378.6</v>
      </c>
      <c r="N44" s="56">
        <v>14</v>
      </c>
      <c r="O44" s="57">
        <v>92</v>
      </c>
      <c r="P44" s="57">
        <v>945</v>
      </c>
      <c r="Q44" s="58">
        <v>9971</v>
      </c>
      <c r="R44" s="59">
        <v>99233</v>
      </c>
      <c r="S44" s="91"/>
      <c r="V44" s="100"/>
    </row>
    <row r="45" spans="1:22" s="90" customFormat="1" x14ac:dyDescent="0.15">
      <c r="A45" s="120">
        <v>38</v>
      </c>
      <c r="B45" s="104">
        <v>29484</v>
      </c>
      <c r="C45" s="76">
        <v>3</v>
      </c>
      <c r="D45" s="76">
        <v>7</v>
      </c>
      <c r="E45" s="76">
        <v>3</v>
      </c>
      <c r="F45" s="76">
        <v>4</v>
      </c>
      <c r="G45" s="76">
        <v>2</v>
      </c>
      <c r="H45" s="76">
        <v>6</v>
      </c>
      <c r="I45" s="13">
        <v>2</v>
      </c>
      <c r="J45" s="33">
        <v>13868218</v>
      </c>
      <c r="K45" s="190">
        <v>2</v>
      </c>
      <c r="L45" s="34">
        <v>977777.7</v>
      </c>
      <c r="M45" s="18">
        <v>119462.39999999999</v>
      </c>
      <c r="N45" s="56">
        <v>17</v>
      </c>
      <c r="O45" s="57">
        <v>130</v>
      </c>
      <c r="P45" s="57">
        <v>1320</v>
      </c>
      <c r="Q45" s="58">
        <v>12519</v>
      </c>
      <c r="R45" s="59">
        <v>125955</v>
      </c>
      <c r="S45" s="91"/>
      <c r="V45" s="100"/>
    </row>
    <row r="46" spans="1:22" s="90" customFormat="1" x14ac:dyDescent="0.15">
      <c r="A46" s="120">
        <v>39</v>
      </c>
      <c r="B46" s="104">
        <v>29491</v>
      </c>
      <c r="C46" s="76">
        <v>1</v>
      </c>
      <c r="D46" s="76">
        <v>0</v>
      </c>
      <c r="E46" s="76">
        <v>1</v>
      </c>
      <c r="F46" s="76">
        <v>5</v>
      </c>
      <c r="G46" s="76">
        <v>8</v>
      </c>
      <c r="H46" s="76">
        <v>8</v>
      </c>
      <c r="I46" s="13">
        <v>8</v>
      </c>
      <c r="J46" s="33">
        <v>12504204</v>
      </c>
      <c r="K46" s="190">
        <v>1</v>
      </c>
      <c r="L46" s="34">
        <v>1077777.7</v>
      </c>
      <c r="M46" s="18">
        <v>14233.9</v>
      </c>
      <c r="N46" s="56">
        <v>9</v>
      </c>
      <c r="O46" s="57">
        <v>96</v>
      </c>
      <c r="P46" s="57">
        <v>1137</v>
      </c>
      <c r="Q46" s="58">
        <v>11347</v>
      </c>
      <c r="R46" s="59">
        <v>111962</v>
      </c>
      <c r="S46" s="91"/>
      <c r="V46" s="100"/>
    </row>
    <row r="47" spans="1:22" s="90" customFormat="1" x14ac:dyDescent="0.15">
      <c r="A47" s="120">
        <v>40</v>
      </c>
      <c r="B47" s="104">
        <v>29498</v>
      </c>
      <c r="C47" s="76">
        <v>6</v>
      </c>
      <c r="D47" s="76">
        <v>4</v>
      </c>
      <c r="E47" s="76">
        <v>6</v>
      </c>
      <c r="F47" s="76">
        <v>3</v>
      </c>
      <c r="G47" s="76">
        <v>1</v>
      </c>
      <c r="H47" s="76">
        <v>4</v>
      </c>
      <c r="I47" s="13">
        <v>3</v>
      </c>
      <c r="J47" s="33">
        <v>12573079</v>
      </c>
      <c r="K47" s="190">
        <v>1</v>
      </c>
      <c r="L47" s="34">
        <v>977777.7</v>
      </c>
      <c r="M47" s="18">
        <v>14362.3</v>
      </c>
      <c r="N47" s="56">
        <v>9</v>
      </c>
      <c r="O47" s="57">
        <v>115</v>
      </c>
      <c r="P47" s="57">
        <v>1106</v>
      </c>
      <c r="Q47" s="58">
        <v>11385</v>
      </c>
      <c r="R47" s="59">
        <v>112986</v>
      </c>
      <c r="S47" s="91"/>
      <c r="V47" s="100"/>
    </row>
    <row r="48" spans="1:22" s="90" customFormat="1" x14ac:dyDescent="0.15">
      <c r="A48" s="120">
        <v>41</v>
      </c>
      <c r="B48" s="104">
        <v>29505</v>
      </c>
      <c r="C48" s="76">
        <v>4</v>
      </c>
      <c r="D48" s="76">
        <v>3</v>
      </c>
      <c r="E48" s="76">
        <v>8</v>
      </c>
      <c r="F48" s="76">
        <v>0</v>
      </c>
      <c r="G48" s="76">
        <v>9</v>
      </c>
      <c r="H48" s="76">
        <v>4</v>
      </c>
      <c r="I48" s="13">
        <v>6</v>
      </c>
      <c r="J48" s="33">
        <v>12674788</v>
      </c>
      <c r="K48" s="190">
        <v>3</v>
      </c>
      <c r="L48" s="34">
        <v>277777.7</v>
      </c>
      <c r="M48" s="18">
        <v>166846</v>
      </c>
      <c r="N48" s="56">
        <v>10</v>
      </c>
      <c r="O48" s="57">
        <v>97</v>
      </c>
      <c r="P48" s="57">
        <v>1101</v>
      </c>
      <c r="Q48" s="58">
        <v>11538</v>
      </c>
      <c r="R48" s="59">
        <v>115328</v>
      </c>
      <c r="S48" s="91"/>
      <c r="V48" s="100"/>
    </row>
    <row r="49" spans="1:22" s="90" customFormat="1" x14ac:dyDescent="0.15">
      <c r="A49" s="120">
        <v>42</v>
      </c>
      <c r="B49" s="104">
        <v>29512</v>
      </c>
      <c r="C49" s="76">
        <v>4</v>
      </c>
      <c r="D49" s="76">
        <v>7</v>
      </c>
      <c r="E49" s="76">
        <v>0</v>
      </c>
      <c r="F49" s="76">
        <v>9</v>
      </c>
      <c r="G49" s="76">
        <v>3</v>
      </c>
      <c r="H49" s="76">
        <v>7</v>
      </c>
      <c r="I49" s="13">
        <v>8</v>
      </c>
      <c r="J49" s="33">
        <v>15501192</v>
      </c>
      <c r="K49" s="190">
        <v>1</v>
      </c>
      <c r="L49" s="34">
        <v>1277777.7</v>
      </c>
      <c r="M49" s="18">
        <v>94716.6</v>
      </c>
      <c r="N49" s="56">
        <v>13</v>
      </c>
      <c r="O49" s="57">
        <v>146</v>
      </c>
      <c r="P49" s="57">
        <v>1464</v>
      </c>
      <c r="Q49" s="58">
        <v>14421</v>
      </c>
      <c r="R49" s="59">
        <v>141936</v>
      </c>
      <c r="S49" s="91"/>
      <c r="V49" s="100"/>
    </row>
    <row r="50" spans="1:22" s="90" customFormat="1" x14ac:dyDescent="0.15">
      <c r="A50" s="120">
        <v>43</v>
      </c>
      <c r="B50" s="104">
        <v>29519</v>
      </c>
      <c r="C50" s="76">
        <v>6</v>
      </c>
      <c r="D50" s="76">
        <v>3</v>
      </c>
      <c r="E50" s="76">
        <v>5</v>
      </c>
      <c r="F50" s="76">
        <v>7</v>
      </c>
      <c r="G50" s="76">
        <v>9</v>
      </c>
      <c r="H50" s="76">
        <v>2</v>
      </c>
      <c r="I50" s="13">
        <v>9</v>
      </c>
      <c r="J50" s="33">
        <v>13201725</v>
      </c>
      <c r="K50" s="190">
        <v>1</v>
      </c>
      <c r="L50" s="34">
        <v>1077777.7</v>
      </c>
      <c r="M50" s="18">
        <v>43739.7</v>
      </c>
      <c r="N50" s="56">
        <v>7</v>
      </c>
      <c r="O50" s="57">
        <v>117</v>
      </c>
      <c r="P50" s="57">
        <v>1240</v>
      </c>
      <c r="Q50" s="58">
        <v>12330</v>
      </c>
      <c r="R50" s="59">
        <v>119921</v>
      </c>
      <c r="S50" s="91"/>
      <c r="V50" s="100"/>
    </row>
    <row r="51" spans="1:22" s="90" customFormat="1" x14ac:dyDescent="0.15">
      <c r="A51" s="120">
        <v>44</v>
      </c>
      <c r="B51" s="104">
        <v>29526</v>
      </c>
      <c r="C51" s="76">
        <v>0</v>
      </c>
      <c r="D51" s="76">
        <v>8</v>
      </c>
      <c r="E51" s="76">
        <v>2</v>
      </c>
      <c r="F51" s="76">
        <v>6</v>
      </c>
      <c r="G51" s="76">
        <v>2</v>
      </c>
      <c r="H51" s="76">
        <v>0</v>
      </c>
      <c r="I51" s="13">
        <v>4</v>
      </c>
      <c r="J51" s="33">
        <v>13523049</v>
      </c>
      <c r="K51" s="190">
        <v>1</v>
      </c>
      <c r="L51" s="34">
        <v>1077777.7</v>
      </c>
      <c r="M51" s="34">
        <v>17754.7</v>
      </c>
      <c r="N51" s="56">
        <v>13</v>
      </c>
      <c r="O51" s="57">
        <v>123</v>
      </c>
      <c r="P51" s="57">
        <v>1176</v>
      </c>
      <c r="Q51" s="58">
        <v>11805</v>
      </c>
      <c r="R51" s="59">
        <v>117485</v>
      </c>
      <c r="S51" s="91"/>
      <c r="V51" s="100"/>
    </row>
    <row r="52" spans="1:22" s="90" customFormat="1" x14ac:dyDescent="0.15">
      <c r="A52" s="120">
        <v>45</v>
      </c>
      <c r="B52" s="104">
        <v>29533</v>
      </c>
      <c r="C52" s="76">
        <v>2</v>
      </c>
      <c r="D52" s="76">
        <v>2</v>
      </c>
      <c r="E52" s="76">
        <v>0</v>
      </c>
      <c r="F52" s="76">
        <v>7</v>
      </c>
      <c r="G52" s="76">
        <v>7</v>
      </c>
      <c r="H52" s="76">
        <v>2</v>
      </c>
      <c r="I52" s="13">
        <v>8</v>
      </c>
      <c r="J52" s="33">
        <v>13380778</v>
      </c>
      <c r="K52" s="143" t="s">
        <v>23</v>
      </c>
      <c r="L52" s="34"/>
      <c r="M52" s="18">
        <v>1058481.8999999999</v>
      </c>
      <c r="N52" s="56">
        <v>8</v>
      </c>
      <c r="O52" s="57">
        <v>141</v>
      </c>
      <c r="P52" s="57">
        <v>1211</v>
      </c>
      <c r="Q52" s="58">
        <v>12253</v>
      </c>
      <c r="R52" s="59">
        <v>122392</v>
      </c>
      <c r="S52" s="91"/>
    </row>
    <row r="53" spans="1:22" s="90" customFormat="1" x14ac:dyDescent="0.15">
      <c r="A53" s="120">
        <v>46</v>
      </c>
      <c r="B53" s="104">
        <v>29540</v>
      </c>
      <c r="C53" s="76">
        <v>1</v>
      </c>
      <c r="D53" s="76">
        <v>3</v>
      </c>
      <c r="E53" s="76">
        <v>2</v>
      </c>
      <c r="F53" s="76">
        <v>7</v>
      </c>
      <c r="G53" s="76">
        <v>9</v>
      </c>
      <c r="H53" s="76">
        <v>9</v>
      </c>
      <c r="I53" s="13">
        <v>8</v>
      </c>
      <c r="J53" s="33">
        <v>13769883</v>
      </c>
      <c r="K53" s="143" t="s">
        <v>23</v>
      </c>
      <c r="L53" s="34"/>
      <c r="M53" s="18">
        <v>2129472.7999999998</v>
      </c>
      <c r="N53" s="56">
        <v>14</v>
      </c>
      <c r="O53" s="57">
        <v>118</v>
      </c>
      <c r="P53" s="57">
        <v>1236</v>
      </c>
      <c r="Q53" s="58">
        <v>12428</v>
      </c>
      <c r="R53" s="59">
        <v>124302</v>
      </c>
      <c r="S53" s="91"/>
    </row>
    <row r="54" spans="1:22" s="90" customFormat="1" x14ac:dyDescent="0.15">
      <c r="A54" s="120">
        <v>47</v>
      </c>
      <c r="B54" s="104">
        <v>29547</v>
      </c>
      <c r="C54" s="76">
        <v>0</v>
      </c>
      <c r="D54" s="76">
        <v>0</v>
      </c>
      <c r="E54" s="76">
        <v>5</v>
      </c>
      <c r="F54" s="76">
        <v>4</v>
      </c>
      <c r="G54" s="76">
        <v>0</v>
      </c>
      <c r="H54" s="76">
        <v>4</v>
      </c>
      <c r="I54" s="13">
        <v>8</v>
      </c>
      <c r="J54" s="33">
        <v>13628774</v>
      </c>
      <c r="K54" s="143" t="s">
        <v>23</v>
      </c>
      <c r="L54" s="34"/>
      <c r="M54" s="34">
        <v>3189488.5</v>
      </c>
      <c r="N54" s="56">
        <v>14</v>
      </c>
      <c r="O54" s="57">
        <v>146</v>
      </c>
      <c r="P54" s="57">
        <v>1214</v>
      </c>
      <c r="Q54" s="58">
        <v>11814</v>
      </c>
      <c r="R54" s="59">
        <v>123080</v>
      </c>
      <c r="S54" s="91"/>
    </row>
    <row r="55" spans="1:22" s="90" customFormat="1" x14ac:dyDescent="0.15">
      <c r="A55" s="120">
        <v>48</v>
      </c>
      <c r="B55" s="104">
        <v>29554</v>
      </c>
      <c r="C55" s="76">
        <v>2</v>
      </c>
      <c r="D55" s="76">
        <v>9</v>
      </c>
      <c r="E55" s="76">
        <v>5</v>
      </c>
      <c r="F55" s="76">
        <v>1</v>
      </c>
      <c r="G55" s="76">
        <v>7</v>
      </c>
      <c r="H55" s="76">
        <v>3</v>
      </c>
      <c r="I55" s="13">
        <v>4</v>
      </c>
      <c r="J55" s="33">
        <v>14483472</v>
      </c>
      <c r="K55" s="143" t="s">
        <v>23</v>
      </c>
      <c r="L55" s="34"/>
      <c r="M55" s="18">
        <v>4315980.8</v>
      </c>
      <c r="N55" s="56">
        <v>13</v>
      </c>
      <c r="O55" s="57">
        <v>137</v>
      </c>
      <c r="P55" s="57">
        <v>1301</v>
      </c>
      <c r="Q55" s="58">
        <v>13166</v>
      </c>
      <c r="R55" s="59">
        <v>131502</v>
      </c>
      <c r="S55" s="91"/>
    </row>
    <row r="56" spans="1:22" s="90" customFormat="1" x14ac:dyDescent="0.15">
      <c r="A56" s="120">
        <v>49</v>
      </c>
      <c r="B56" s="104">
        <v>29561</v>
      </c>
      <c r="C56" s="76">
        <v>3</v>
      </c>
      <c r="D56" s="76">
        <v>0</v>
      </c>
      <c r="E56" s="76">
        <v>5</v>
      </c>
      <c r="F56" s="76">
        <v>1</v>
      </c>
      <c r="G56" s="76">
        <v>3</v>
      </c>
      <c r="H56" s="76">
        <v>1</v>
      </c>
      <c r="I56" s="13">
        <v>2</v>
      </c>
      <c r="J56" s="33">
        <v>18357879</v>
      </c>
      <c r="K56" s="190">
        <v>2</v>
      </c>
      <c r="L56" s="34">
        <v>1777777.7</v>
      </c>
      <c r="M56" s="18">
        <v>2188260.4</v>
      </c>
      <c r="N56" s="56">
        <v>20</v>
      </c>
      <c r="O56" s="57">
        <v>164</v>
      </c>
      <c r="P56" s="57">
        <v>1697</v>
      </c>
      <c r="Q56" s="58">
        <v>17240</v>
      </c>
      <c r="R56" s="59">
        <v>168144</v>
      </c>
      <c r="S56" s="91"/>
    </row>
    <row r="57" spans="1:22" s="90" customFormat="1" x14ac:dyDescent="0.15">
      <c r="A57" s="120">
        <v>50</v>
      </c>
      <c r="B57" s="104">
        <v>29568</v>
      </c>
      <c r="C57" s="76">
        <v>0</v>
      </c>
      <c r="D57" s="76">
        <v>9</v>
      </c>
      <c r="E57" s="76">
        <v>0</v>
      </c>
      <c r="F57" s="76">
        <v>5</v>
      </c>
      <c r="G57" s="76">
        <v>6</v>
      </c>
      <c r="H57" s="76">
        <v>7</v>
      </c>
      <c r="I57" s="13">
        <v>2</v>
      </c>
      <c r="J57" s="33">
        <v>15531356</v>
      </c>
      <c r="K57" s="190">
        <v>1</v>
      </c>
      <c r="L57" s="34">
        <v>1777777.7</v>
      </c>
      <c r="M57" s="18">
        <v>1618477</v>
      </c>
      <c r="N57" s="56">
        <v>22</v>
      </c>
      <c r="O57" s="57">
        <v>151</v>
      </c>
      <c r="P57" s="57">
        <v>1458</v>
      </c>
      <c r="Q57" s="58">
        <v>13937</v>
      </c>
      <c r="R57" s="59">
        <v>139030</v>
      </c>
      <c r="S57" s="91"/>
    </row>
    <row r="58" spans="1:22" s="90" customFormat="1" x14ac:dyDescent="0.15">
      <c r="A58" s="120">
        <v>51</v>
      </c>
      <c r="B58" s="104">
        <v>29575</v>
      </c>
      <c r="C58" s="76">
        <v>3</v>
      </c>
      <c r="D58" s="76">
        <v>2</v>
      </c>
      <c r="E58" s="76">
        <v>2</v>
      </c>
      <c r="F58" s="76">
        <v>3</v>
      </c>
      <c r="G58" s="76">
        <v>2</v>
      </c>
      <c r="H58" s="76">
        <v>1</v>
      </c>
      <c r="I58" s="13">
        <v>4</v>
      </c>
      <c r="J58" s="33">
        <v>12542020</v>
      </c>
      <c r="K58" s="190">
        <v>3</v>
      </c>
      <c r="L58" s="34">
        <v>777777.7</v>
      </c>
      <c r="M58" s="34">
        <v>260634.3</v>
      </c>
      <c r="N58" s="56">
        <v>17</v>
      </c>
      <c r="O58" s="57">
        <v>132</v>
      </c>
      <c r="P58" s="57">
        <v>1116</v>
      </c>
      <c r="Q58" s="58">
        <v>11420</v>
      </c>
      <c r="R58" s="59">
        <v>113640</v>
      </c>
      <c r="S58" s="91"/>
    </row>
    <row r="59" spans="1:22" s="122" customFormat="1" x14ac:dyDescent="0.15">
      <c r="A59" s="140">
        <v>52</v>
      </c>
      <c r="B59" s="79">
        <v>29582</v>
      </c>
      <c r="C59" s="141">
        <v>5</v>
      </c>
      <c r="D59" s="141">
        <v>0</v>
      </c>
      <c r="E59" s="141">
        <v>2</v>
      </c>
      <c r="F59" s="141">
        <v>2</v>
      </c>
      <c r="G59" s="141">
        <v>6</v>
      </c>
      <c r="H59" s="123">
        <v>0</v>
      </c>
      <c r="I59" s="123">
        <v>7</v>
      </c>
      <c r="J59" s="40">
        <v>11249577</v>
      </c>
      <c r="K59" s="192">
        <v>2</v>
      </c>
      <c r="L59" s="124">
        <v>477777.7</v>
      </c>
      <c r="M59" s="42">
        <v>180046</v>
      </c>
      <c r="N59" s="99">
        <v>13</v>
      </c>
      <c r="O59" s="62">
        <v>96</v>
      </c>
      <c r="P59" s="98">
        <v>974</v>
      </c>
      <c r="Q59" s="63">
        <v>10047</v>
      </c>
      <c r="R59" s="142">
        <v>99749</v>
      </c>
      <c r="S59" s="121"/>
    </row>
    <row r="60" spans="1:22" s="90" customFormat="1" x14ac:dyDescent="0.15">
      <c r="A60" s="101"/>
      <c r="B60" s="265"/>
      <c r="C60" s="97"/>
      <c r="D60" s="97"/>
      <c r="E60" s="97"/>
      <c r="F60" s="97"/>
      <c r="G60" s="97"/>
      <c r="H60" s="97" t="s">
        <v>24</v>
      </c>
      <c r="I60" s="97"/>
      <c r="J60" s="97"/>
      <c r="K60" s="262">
        <f>SUM(K8:K59)</f>
        <v>49</v>
      </c>
      <c r="L60" s="262"/>
      <c r="M60" s="262"/>
      <c r="N60" s="262">
        <f>SUM(N8:N59)</f>
        <v>576</v>
      </c>
      <c r="O60" s="262">
        <f>SUM(O8:O59)</f>
        <v>5658</v>
      </c>
      <c r="P60" s="262">
        <f>SUM(P8:P59)</f>
        <v>56342</v>
      </c>
      <c r="Q60" s="262">
        <f>SUM(Q8:Q59)</f>
        <v>562302</v>
      </c>
      <c r="R60" s="268">
        <f>SUM(R8:R59)</f>
        <v>5626253</v>
      </c>
      <c r="S60" s="91"/>
    </row>
    <row r="61" spans="1:22" s="90" customFormat="1" x14ac:dyDescent="0.15">
      <c r="A61" s="81"/>
      <c r="B61" s="82"/>
      <c r="C61" s="76"/>
      <c r="D61" s="76"/>
      <c r="E61" s="76"/>
      <c r="F61" s="76"/>
      <c r="G61" s="76"/>
      <c r="H61" s="76"/>
      <c r="I61" s="76"/>
      <c r="J61" s="83"/>
      <c r="K61" s="77"/>
      <c r="L61" s="84"/>
      <c r="M61" s="85"/>
      <c r="N61" s="86"/>
      <c r="O61" s="87"/>
      <c r="P61" s="87"/>
      <c r="Q61" s="88"/>
      <c r="R61" s="89"/>
      <c r="S61" s="91"/>
    </row>
    <row r="62" spans="1:22" s="90" customFormat="1" x14ac:dyDescent="0.15">
      <c r="A62" s="81"/>
      <c r="B62" s="82"/>
      <c r="C62" s="103"/>
      <c r="D62" s="103"/>
      <c r="E62" s="103"/>
      <c r="F62" s="103"/>
      <c r="G62" s="103"/>
      <c r="H62" s="103"/>
      <c r="I62" s="92"/>
      <c r="J62" s="83"/>
      <c r="K62" s="77"/>
      <c r="L62" s="9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92"/>
      <c r="D64" s="92"/>
      <c r="E64" s="92"/>
      <c r="F64" s="92"/>
      <c r="G64" s="92"/>
      <c r="H64" s="92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92"/>
      <c r="C65" s="92"/>
      <c r="D65" s="92"/>
      <c r="E65" s="92"/>
      <c r="F65" s="92"/>
      <c r="G65" s="92"/>
      <c r="H65" s="92"/>
      <c r="I65" s="92"/>
      <c r="J65" s="92"/>
      <c r="K65" s="93"/>
      <c r="L65" s="93"/>
      <c r="M65" s="93"/>
      <c r="N65" s="93"/>
      <c r="O65" s="93"/>
      <c r="P65" s="93"/>
      <c r="Q65" s="93"/>
      <c r="R65" s="93"/>
      <c r="S65" s="91"/>
      <c r="V65" s="111"/>
    </row>
    <row r="66" spans="1:22" s="90" customFormat="1" x14ac:dyDescent="0.15">
      <c r="L66" s="85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8"/>
  <sheetViews>
    <sheetView topLeftCell="P1" workbookViewId="0">
      <pane ySplit="7" topLeftCell="A8" activePane="bottomLeft" state="frozenSplit"/>
      <selection pane="bottomLeft" activeCell="P62" sqref="P62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30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 t="s">
        <v>19</v>
      </c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1981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20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22</v>
      </c>
      <c r="L6" s="209"/>
      <c r="M6" s="14" t="s">
        <v>14</v>
      </c>
      <c r="N6" s="75">
        <v>77777.7</v>
      </c>
      <c r="O6" s="75">
        <v>7777.7</v>
      </c>
      <c r="P6" s="75">
        <v>777.7</v>
      </c>
      <c r="Q6" s="75">
        <v>77.7</v>
      </c>
      <c r="R6" s="75">
        <v>7.7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120">
        <v>1</v>
      </c>
      <c r="B8" s="104">
        <v>29589</v>
      </c>
      <c r="C8" s="76">
        <v>6</v>
      </c>
      <c r="D8" s="76">
        <v>6</v>
      </c>
      <c r="E8" s="76">
        <v>0</v>
      </c>
      <c r="F8" s="76">
        <v>1</v>
      </c>
      <c r="G8" s="76">
        <v>7</v>
      </c>
      <c r="H8" s="76">
        <v>6</v>
      </c>
      <c r="I8" s="13">
        <v>3</v>
      </c>
      <c r="J8" s="33">
        <v>11911633</v>
      </c>
      <c r="K8" s="143">
        <v>2</v>
      </c>
      <c r="L8" s="34">
        <v>477777.7</v>
      </c>
      <c r="M8" s="18">
        <v>150950.9</v>
      </c>
      <c r="N8" s="56">
        <v>10</v>
      </c>
      <c r="O8" s="57">
        <v>108</v>
      </c>
      <c r="P8" s="57">
        <v>1074</v>
      </c>
      <c r="Q8" s="58">
        <v>10668</v>
      </c>
      <c r="R8" s="59">
        <v>107698</v>
      </c>
      <c r="V8" s="4"/>
    </row>
    <row r="9" spans="1:22" x14ac:dyDescent="0.15">
      <c r="A9" s="120">
        <v>2</v>
      </c>
      <c r="B9" s="104">
        <v>29596</v>
      </c>
      <c r="C9" s="76">
        <v>6</v>
      </c>
      <c r="D9" s="76">
        <v>1</v>
      </c>
      <c r="E9" s="76">
        <v>1</v>
      </c>
      <c r="F9" s="76">
        <v>8</v>
      </c>
      <c r="G9" s="76">
        <v>3</v>
      </c>
      <c r="H9" s="76">
        <v>1</v>
      </c>
      <c r="I9" s="13">
        <v>8</v>
      </c>
      <c r="J9" s="33">
        <v>12271256</v>
      </c>
      <c r="K9" s="143">
        <v>1</v>
      </c>
      <c r="L9" s="34">
        <v>1077777.7</v>
      </c>
      <c r="M9" s="34">
        <v>27604.2</v>
      </c>
      <c r="N9" s="56">
        <v>12</v>
      </c>
      <c r="O9" s="57">
        <v>112</v>
      </c>
      <c r="P9" s="57">
        <v>1146</v>
      </c>
      <c r="Q9" s="58">
        <v>11037</v>
      </c>
      <c r="R9" s="59">
        <v>110824</v>
      </c>
      <c r="V9" s="4"/>
    </row>
    <row r="10" spans="1:22" x14ac:dyDescent="0.15">
      <c r="A10" s="120">
        <v>3</v>
      </c>
      <c r="B10" s="104">
        <v>29603</v>
      </c>
      <c r="C10" s="76">
        <v>4</v>
      </c>
      <c r="D10" s="76">
        <v>3</v>
      </c>
      <c r="E10" s="76">
        <v>6</v>
      </c>
      <c r="F10" s="76">
        <v>5</v>
      </c>
      <c r="G10" s="76">
        <v>4</v>
      </c>
      <c r="H10" s="76">
        <v>0</v>
      </c>
      <c r="I10" s="13">
        <v>5</v>
      </c>
      <c r="J10" s="33">
        <v>12386774</v>
      </c>
      <c r="K10" s="143">
        <v>1</v>
      </c>
      <c r="L10" s="34">
        <v>977777.7</v>
      </c>
      <c r="M10" s="34">
        <v>13242.2</v>
      </c>
      <c r="N10" s="56">
        <v>7</v>
      </c>
      <c r="O10" s="57">
        <v>122</v>
      </c>
      <c r="P10" s="57">
        <v>1134</v>
      </c>
      <c r="Q10" s="58">
        <v>10875</v>
      </c>
      <c r="R10" s="59">
        <v>108765</v>
      </c>
      <c r="V10" s="4"/>
    </row>
    <row r="11" spans="1:22" x14ac:dyDescent="0.15">
      <c r="A11" s="120">
        <v>4</v>
      </c>
      <c r="B11" s="104">
        <v>29610</v>
      </c>
      <c r="C11" s="76">
        <v>0</v>
      </c>
      <c r="D11" s="76">
        <v>6</v>
      </c>
      <c r="E11" s="76">
        <v>6</v>
      </c>
      <c r="F11" s="76">
        <v>7</v>
      </c>
      <c r="G11" s="76">
        <v>5</v>
      </c>
      <c r="H11" s="76">
        <v>6</v>
      </c>
      <c r="I11" s="13">
        <v>9</v>
      </c>
      <c r="J11" s="33">
        <v>12199706</v>
      </c>
      <c r="K11" s="143" t="s">
        <v>23</v>
      </c>
      <c r="L11" s="34"/>
      <c r="M11" s="34">
        <v>962108.2</v>
      </c>
      <c r="N11" s="56">
        <v>13</v>
      </c>
      <c r="O11" s="57">
        <v>100</v>
      </c>
      <c r="P11" s="57">
        <v>1143</v>
      </c>
      <c r="Q11" s="58">
        <v>11103</v>
      </c>
      <c r="R11" s="59">
        <v>110730</v>
      </c>
      <c r="V11" s="4"/>
    </row>
    <row r="12" spans="1:22" x14ac:dyDescent="0.15">
      <c r="A12" s="120">
        <v>5</v>
      </c>
      <c r="B12" s="104">
        <v>29617</v>
      </c>
      <c r="C12" s="76">
        <v>7</v>
      </c>
      <c r="D12" s="76">
        <v>2</v>
      </c>
      <c r="E12" s="76">
        <v>1</v>
      </c>
      <c r="F12" s="76">
        <v>4</v>
      </c>
      <c r="G12" s="76">
        <v>1</v>
      </c>
      <c r="H12" s="76">
        <v>4</v>
      </c>
      <c r="I12" s="13">
        <v>2</v>
      </c>
      <c r="J12" s="33">
        <v>12448851</v>
      </c>
      <c r="K12" s="143">
        <v>2</v>
      </c>
      <c r="L12" s="34">
        <v>877777.7</v>
      </c>
      <c r="M12" s="18">
        <v>174796.79999999999</v>
      </c>
      <c r="N12" s="56">
        <v>15</v>
      </c>
      <c r="O12" s="57">
        <v>116</v>
      </c>
      <c r="P12" s="57">
        <v>1150</v>
      </c>
      <c r="Q12" s="58">
        <v>11257</v>
      </c>
      <c r="R12" s="59">
        <v>112975</v>
      </c>
      <c r="V12" s="4"/>
    </row>
    <row r="13" spans="1:22" x14ac:dyDescent="0.15">
      <c r="A13" s="120">
        <v>6</v>
      </c>
      <c r="B13" s="104">
        <v>29624</v>
      </c>
      <c r="C13" s="76">
        <v>6</v>
      </c>
      <c r="D13" s="76">
        <v>7</v>
      </c>
      <c r="E13" s="76">
        <v>5</v>
      </c>
      <c r="F13" s="76">
        <v>0</v>
      </c>
      <c r="G13" s="76">
        <v>8</v>
      </c>
      <c r="H13" s="76">
        <v>4</v>
      </c>
      <c r="I13" s="13">
        <v>4</v>
      </c>
      <c r="J13" s="33">
        <v>15416929</v>
      </c>
      <c r="K13" s="143">
        <v>2</v>
      </c>
      <c r="L13" s="34">
        <v>677777.7</v>
      </c>
      <c r="M13" s="34">
        <v>18335.900000000001</v>
      </c>
      <c r="N13" s="56">
        <v>21</v>
      </c>
      <c r="O13" s="57">
        <v>125</v>
      </c>
      <c r="P13" s="57">
        <v>1376</v>
      </c>
      <c r="Q13" s="58">
        <v>13509</v>
      </c>
      <c r="R13" s="59">
        <v>134002</v>
      </c>
      <c r="V13" s="4"/>
    </row>
    <row r="14" spans="1:22" x14ac:dyDescent="0.15">
      <c r="A14" s="120">
        <v>7</v>
      </c>
      <c r="B14" s="104">
        <v>29631</v>
      </c>
      <c r="C14" s="76">
        <v>9</v>
      </c>
      <c r="D14" s="76">
        <v>2</v>
      </c>
      <c r="E14" s="76">
        <v>8</v>
      </c>
      <c r="F14" s="76">
        <v>7</v>
      </c>
      <c r="G14" s="76">
        <v>0</v>
      </c>
      <c r="H14" s="76">
        <v>9</v>
      </c>
      <c r="I14" s="13">
        <v>6</v>
      </c>
      <c r="J14" s="33">
        <v>12638814</v>
      </c>
      <c r="K14" s="143">
        <v>2</v>
      </c>
      <c r="L14" s="34">
        <v>477777.7</v>
      </c>
      <c r="M14" s="18">
        <v>45799.4</v>
      </c>
      <c r="N14" s="56">
        <v>9</v>
      </c>
      <c r="O14" s="57">
        <v>120</v>
      </c>
      <c r="P14" s="57">
        <v>1082</v>
      </c>
      <c r="Q14" s="58">
        <v>11046</v>
      </c>
      <c r="R14" s="59">
        <v>113978</v>
      </c>
      <c r="V14" s="4"/>
    </row>
    <row r="15" spans="1:22" x14ac:dyDescent="0.15">
      <c r="A15" s="120">
        <v>8</v>
      </c>
      <c r="B15" s="104">
        <v>29638</v>
      </c>
      <c r="C15" s="76">
        <v>4</v>
      </c>
      <c r="D15" s="76">
        <v>1</v>
      </c>
      <c r="E15" s="76">
        <v>6</v>
      </c>
      <c r="F15" s="76">
        <v>5</v>
      </c>
      <c r="G15" s="76">
        <v>0</v>
      </c>
      <c r="H15" s="76">
        <v>0</v>
      </c>
      <c r="I15" s="13">
        <v>0</v>
      </c>
      <c r="J15" s="33">
        <v>12392245</v>
      </c>
      <c r="K15" s="143" t="s">
        <v>23</v>
      </c>
      <c r="L15" s="34"/>
      <c r="M15" s="18">
        <v>1009640.7</v>
      </c>
      <c r="N15" s="56">
        <v>9</v>
      </c>
      <c r="O15" s="57">
        <v>105</v>
      </c>
      <c r="P15" s="57">
        <v>979</v>
      </c>
      <c r="Q15" s="58">
        <v>9866</v>
      </c>
      <c r="R15" s="59">
        <v>105451</v>
      </c>
      <c r="V15" s="4"/>
    </row>
    <row r="16" spans="1:22" x14ac:dyDescent="0.15">
      <c r="A16" s="120">
        <v>9</v>
      </c>
      <c r="B16" s="104">
        <v>29645</v>
      </c>
      <c r="C16" s="76">
        <v>4</v>
      </c>
      <c r="D16" s="76">
        <v>6</v>
      </c>
      <c r="E16" s="76">
        <v>7</v>
      </c>
      <c r="F16" s="76">
        <v>4</v>
      </c>
      <c r="G16" s="76">
        <v>4</v>
      </c>
      <c r="H16" s="76">
        <v>2</v>
      </c>
      <c r="I16" s="13">
        <v>5</v>
      </c>
      <c r="J16" s="33">
        <v>12288696</v>
      </c>
      <c r="K16" s="143" t="s">
        <v>23</v>
      </c>
      <c r="L16" s="34"/>
      <c r="M16" s="18">
        <v>1965428.2</v>
      </c>
      <c r="N16" s="56">
        <v>7</v>
      </c>
      <c r="O16" s="57">
        <v>101</v>
      </c>
      <c r="P16" s="57">
        <v>1153</v>
      </c>
      <c r="Q16" s="58">
        <v>11482</v>
      </c>
      <c r="R16" s="59">
        <v>113133</v>
      </c>
      <c r="V16" s="4"/>
    </row>
    <row r="17" spans="1:22" x14ac:dyDescent="0.15">
      <c r="A17" s="120">
        <v>10</v>
      </c>
      <c r="B17" s="104">
        <v>29652</v>
      </c>
      <c r="C17" s="76">
        <v>2</v>
      </c>
      <c r="D17" s="76">
        <v>6</v>
      </c>
      <c r="E17" s="76">
        <v>9</v>
      </c>
      <c r="F17" s="76">
        <v>4</v>
      </c>
      <c r="G17" s="76">
        <v>9</v>
      </c>
      <c r="H17" s="76">
        <v>0</v>
      </c>
      <c r="I17" s="13">
        <v>1</v>
      </c>
      <c r="J17" s="33">
        <v>12199026</v>
      </c>
      <c r="K17" s="143" t="s">
        <v>23</v>
      </c>
      <c r="L17" s="34"/>
      <c r="M17" s="18">
        <v>2914241.3</v>
      </c>
      <c r="N17" s="56">
        <v>12</v>
      </c>
      <c r="O17" s="57">
        <v>103</v>
      </c>
      <c r="P17" s="57">
        <v>1122</v>
      </c>
      <c r="Q17" s="58">
        <v>10942</v>
      </c>
      <c r="R17" s="59">
        <v>106372</v>
      </c>
      <c r="V17" s="4"/>
    </row>
    <row r="18" spans="1:22" x14ac:dyDescent="0.15">
      <c r="A18" s="120">
        <v>11</v>
      </c>
      <c r="B18" s="104">
        <v>29659</v>
      </c>
      <c r="C18" s="76">
        <v>7</v>
      </c>
      <c r="D18" s="76">
        <v>5</v>
      </c>
      <c r="E18" s="76">
        <v>5</v>
      </c>
      <c r="F18" s="76">
        <v>6</v>
      </c>
      <c r="G18" s="76">
        <v>3</v>
      </c>
      <c r="H18" s="76">
        <v>2</v>
      </c>
      <c r="I18" s="13">
        <v>0</v>
      </c>
      <c r="J18" s="33">
        <v>12384046</v>
      </c>
      <c r="K18" s="143" t="s">
        <v>23</v>
      </c>
      <c r="L18" s="34"/>
      <c r="M18" s="18">
        <v>3877444.9</v>
      </c>
      <c r="N18" s="56">
        <v>11</v>
      </c>
      <c r="O18" s="57">
        <v>102</v>
      </c>
      <c r="P18" s="57">
        <v>1129</v>
      </c>
      <c r="Q18" s="58">
        <v>10958</v>
      </c>
      <c r="R18" s="59">
        <v>108882</v>
      </c>
      <c r="V18" s="4"/>
    </row>
    <row r="19" spans="1:22" x14ac:dyDescent="0.15">
      <c r="A19" s="120">
        <v>12</v>
      </c>
      <c r="B19" s="104">
        <v>29666</v>
      </c>
      <c r="C19" s="76">
        <v>2</v>
      </c>
      <c r="D19" s="76">
        <v>2</v>
      </c>
      <c r="E19" s="76">
        <v>1</v>
      </c>
      <c r="F19" s="76">
        <v>4</v>
      </c>
      <c r="G19" s="76">
        <v>2</v>
      </c>
      <c r="H19" s="76">
        <v>0</v>
      </c>
      <c r="I19" s="13">
        <v>2</v>
      </c>
      <c r="J19" s="33">
        <v>12244798</v>
      </c>
      <c r="K19" s="143">
        <v>1</v>
      </c>
      <c r="L19" s="34">
        <v>1777777.7</v>
      </c>
      <c r="M19" s="18">
        <v>3052040.4</v>
      </c>
      <c r="N19" s="56">
        <v>11</v>
      </c>
      <c r="O19" s="57">
        <v>117</v>
      </c>
      <c r="P19" s="57">
        <v>1060</v>
      </c>
      <c r="Q19" s="58">
        <v>10816</v>
      </c>
      <c r="R19" s="59">
        <v>106147</v>
      </c>
      <c r="V19" s="4"/>
    </row>
    <row r="20" spans="1:22" x14ac:dyDescent="0.15">
      <c r="A20" s="120">
        <v>13</v>
      </c>
      <c r="B20" s="104">
        <v>29673</v>
      </c>
      <c r="C20" s="76">
        <v>3</v>
      </c>
      <c r="D20" s="76">
        <v>1</v>
      </c>
      <c r="E20" s="76">
        <v>2</v>
      </c>
      <c r="F20" s="76">
        <v>1</v>
      </c>
      <c r="G20" s="76">
        <v>4</v>
      </c>
      <c r="H20" s="76">
        <v>8</v>
      </c>
      <c r="I20" s="13">
        <v>9</v>
      </c>
      <c r="J20" s="33">
        <v>12039874</v>
      </c>
      <c r="K20" s="143" t="s">
        <v>23</v>
      </c>
      <c r="L20" s="34"/>
      <c r="M20" s="18">
        <v>3988475</v>
      </c>
      <c r="N20" s="56">
        <v>3</v>
      </c>
      <c r="O20" s="57">
        <v>92</v>
      </c>
      <c r="P20" s="57">
        <v>1076</v>
      </c>
      <c r="Q20" s="58">
        <v>10854</v>
      </c>
      <c r="R20" s="59">
        <v>108550</v>
      </c>
      <c r="V20" s="4"/>
    </row>
    <row r="21" spans="1:22" x14ac:dyDescent="0.15">
      <c r="A21" s="120">
        <v>14</v>
      </c>
      <c r="B21" s="104">
        <v>29680</v>
      </c>
      <c r="C21" s="76">
        <v>1</v>
      </c>
      <c r="D21" s="76">
        <v>6</v>
      </c>
      <c r="E21" s="76">
        <v>0</v>
      </c>
      <c r="F21" s="76">
        <v>1</v>
      </c>
      <c r="G21" s="76">
        <v>2</v>
      </c>
      <c r="H21" s="76">
        <v>4</v>
      </c>
      <c r="I21" s="13">
        <v>3</v>
      </c>
      <c r="J21" s="33">
        <v>11929455</v>
      </c>
      <c r="K21" s="143">
        <v>2</v>
      </c>
      <c r="L21" s="34">
        <v>1777777.7</v>
      </c>
      <c r="M21" s="18">
        <v>1360766.1</v>
      </c>
      <c r="N21" s="56">
        <v>10</v>
      </c>
      <c r="O21" s="57">
        <v>120</v>
      </c>
      <c r="P21" s="57">
        <v>1139</v>
      </c>
      <c r="Q21" s="58">
        <v>11134</v>
      </c>
      <c r="R21" s="59">
        <v>110113</v>
      </c>
      <c r="V21" s="4"/>
    </row>
    <row r="22" spans="1:22" x14ac:dyDescent="0.15">
      <c r="A22" s="120">
        <v>15</v>
      </c>
      <c r="B22" s="104">
        <v>29687</v>
      </c>
      <c r="C22" s="76">
        <v>4</v>
      </c>
      <c r="D22" s="76">
        <v>7</v>
      </c>
      <c r="E22" s="76">
        <v>5</v>
      </c>
      <c r="F22" s="76">
        <v>1</v>
      </c>
      <c r="G22" s="76">
        <v>5</v>
      </c>
      <c r="H22" s="76">
        <v>2</v>
      </c>
      <c r="I22" s="13">
        <v>6</v>
      </c>
      <c r="J22" s="33">
        <v>11674926</v>
      </c>
      <c r="K22" s="143" t="s">
        <v>23</v>
      </c>
      <c r="L22" s="34"/>
      <c r="M22" s="18">
        <v>2268815.9</v>
      </c>
      <c r="N22" s="56">
        <v>10</v>
      </c>
      <c r="O22" s="57">
        <v>104</v>
      </c>
      <c r="P22" s="57">
        <v>1059</v>
      </c>
      <c r="Q22" s="58">
        <v>10443</v>
      </c>
      <c r="R22" s="59">
        <v>105177</v>
      </c>
      <c r="V22" s="4"/>
    </row>
    <row r="23" spans="1:22" x14ac:dyDescent="0.15">
      <c r="A23" s="120">
        <v>16</v>
      </c>
      <c r="B23" s="104">
        <v>29694</v>
      </c>
      <c r="C23" s="76">
        <v>3</v>
      </c>
      <c r="D23" s="76">
        <v>1</v>
      </c>
      <c r="E23" s="76">
        <v>7</v>
      </c>
      <c r="F23" s="76">
        <v>4</v>
      </c>
      <c r="G23" s="76">
        <v>5</v>
      </c>
      <c r="H23" s="76">
        <v>1</v>
      </c>
      <c r="I23" s="13">
        <v>2</v>
      </c>
      <c r="J23" s="33">
        <v>11469904</v>
      </c>
      <c r="K23" s="143">
        <v>2</v>
      </c>
      <c r="L23" s="34">
        <v>1577777.7</v>
      </c>
      <c r="M23" s="18">
        <v>5364.1</v>
      </c>
      <c r="N23" s="56">
        <v>12</v>
      </c>
      <c r="O23" s="57">
        <v>98</v>
      </c>
      <c r="P23" s="57">
        <v>992</v>
      </c>
      <c r="Q23" s="58">
        <v>10347</v>
      </c>
      <c r="R23" s="59">
        <v>103109</v>
      </c>
      <c r="V23" s="4"/>
    </row>
    <row r="24" spans="1:22" x14ac:dyDescent="0.15">
      <c r="A24" s="120">
        <v>17</v>
      </c>
      <c r="B24" s="104">
        <v>29701</v>
      </c>
      <c r="C24" s="76">
        <v>3</v>
      </c>
      <c r="D24" s="76">
        <v>8</v>
      </c>
      <c r="E24" s="76">
        <v>6</v>
      </c>
      <c r="F24" s="76">
        <v>6</v>
      </c>
      <c r="G24" s="76">
        <v>4</v>
      </c>
      <c r="H24" s="76">
        <v>3</v>
      </c>
      <c r="I24" s="13">
        <v>2</v>
      </c>
      <c r="J24" s="33">
        <v>11519182</v>
      </c>
      <c r="K24" s="143">
        <v>2</v>
      </c>
      <c r="L24" s="34">
        <v>377777.7</v>
      </c>
      <c r="M24" s="18">
        <v>145745.1</v>
      </c>
      <c r="N24" s="56">
        <v>7</v>
      </c>
      <c r="O24" s="57">
        <v>111</v>
      </c>
      <c r="P24" s="57">
        <v>1028</v>
      </c>
      <c r="Q24" s="58">
        <v>10294</v>
      </c>
      <c r="R24" s="59">
        <v>102555</v>
      </c>
      <c r="V24" s="4"/>
    </row>
    <row r="25" spans="1:22" x14ac:dyDescent="0.15">
      <c r="A25" s="120">
        <v>18</v>
      </c>
      <c r="B25" s="104">
        <v>29708</v>
      </c>
      <c r="C25" s="76">
        <v>9</v>
      </c>
      <c r="D25" s="76">
        <v>3</v>
      </c>
      <c r="E25" s="76">
        <v>0</v>
      </c>
      <c r="F25" s="76">
        <v>3</v>
      </c>
      <c r="G25" s="76">
        <v>9</v>
      </c>
      <c r="H25" s="76">
        <v>0</v>
      </c>
      <c r="I25" s="13">
        <v>5</v>
      </c>
      <c r="J25" s="33">
        <v>11420013</v>
      </c>
      <c r="K25" s="143" t="s">
        <v>23</v>
      </c>
      <c r="L25" s="34"/>
      <c r="M25" s="18">
        <v>1033968.3</v>
      </c>
      <c r="N25" s="56">
        <v>8</v>
      </c>
      <c r="O25" s="57">
        <v>93</v>
      </c>
      <c r="P25" s="57">
        <v>1019</v>
      </c>
      <c r="Q25" s="58">
        <v>10557</v>
      </c>
      <c r="R25" s="59">
        <v>103426</v>
      </c>
      <c r="V25" s="4"/>
    </row>
    <row r="26" spans="1:22" x14ac:dyDescent="0.15">
      <c r="A26" s="120">
        <v>19</v>
      </c>
      <c r="B26" s="104">
        <v>29715</v>
      </c>
      <c r="C26" s="76">
        <v>0</v>
      </c>
      <c r="D26" s="76">
        <v>5</v>
      </c>
      <c r="E26" s="76">
        <v>7</v>
      </c>
      <c r="F26" s="76">
        <v>0</v>
      </c>
      <c r="G26" s="76">
        <v>6</v>
      </c>
      <c r="H26" s="76">
        <v>2</v>
      </c>
      <c r="I26" s="13">
        <v>2</v>
      </c>
      <c r="J26" s="33">
        <v>11887303</v>
      </c>
      <c r="K26" s="143">
        <v>1</v>
      </c>
      <c r="L26" s="34">
        <v>1777777.7</v>
      </c>
      <c r="M26" s="34">
        <v>180758.6</v>
      </c>
      <c r="N26" s="56">
        <v>13</v>
      </c>
      <c r="O26" s="57">
        <v>103</v>
      </c>
      <c r="P26" s="57">
        <v>1067</v>
      </c>
      <c r="Q26" s="58">
        <v>10713</v>
      </c>
      <c r="R26" s="59">
        <v>106382</v>
      </c>
      <c r="V26" s="4"/>
    </row>
    <row r="27" spans="1:22" x14ac:dyDescent="0.15">
      <c r="A27" s="120">
        <v>20</v>
      </c>
      <c r="B27" s="104">
        <v>29722</v>
      </c>
      <c r="C27" s="76">
        <v>5</v>
      </c>
      <c r="D27" s="76">
        <v>2</v>
      </c>
      <c r="E27" s="76">
        <v>1</v>
      </c>
      <c r="F27" s="76">
        <v>1</v>
      </c>
      <c r="G27" s="76">
        <v>5</v>
      </c>
      <c r="H27" s="76">
        <v>4</v>
      </c>
      <c r="I27" s="13">
        <v>6</v>
      </c>
      <c r="J27" s="33">
        <v>11506370</v>
      </c>
      <c r="K27" s="143">
        <v>2</v>
      </c>
      <c r="L27" s="34">
        <v>477777.7</v>
      </c>
      <c r="M27" s="18">
        <v>120143.1</v>
      </c>
      <c r="N27" s="56">
        <v>13</v>
      </c>
      <c r="O27" s="57">
        <v>91</v>
      </c>
      <c r="P27" s="57">
        <v>1060</v>
      </c>
      <c r="Q27" s="58">
        <v>10483</v>
      </c>
      <c r="R27" s="59">
        <v>103979</v>
      </c>
      <c r="V27" s="4"/>
    </row>
    <row r="28" spans="1:22" x14ac:dyDescent="0.15">
      <c r="A28" s="120">
        <v>21</v>
      </c>
      <c r="B28" s="104">
        <v>29729</v>
      </c>
      <c r="C28" s="76">
        <v>6</v>
      </c>
      <c r="D28" s="76">
        <v>5</v>
      </c>
      <c r="E28" s="76">
        <v>6</v>
      </c>
      <c r="F28" s="76">
        <v>9</v>
      </c>
      <c r="G28" s="76">
        <v>3</v>
      </c>
      <c r="H28" s="76">
        <v>8</v>
      </c>
      <c r="I28" s="13">
        <v>6</v>
      </c>
      <c r="J28" s="33">
        <v>11364964</v>
      </c>
      <c r="K28" s="143">
        <v>1</v>
      </c>
      <c r="L28" s="34">
        <v>977777.7</v>
      </c>
      <c r="M28" s="18">
        <v>26307</v>
      </c>
      <c r="N28" s="56">
        <v>7</v>
      </c>
      <c r="O28" s="57">
        <v>88</v>
      </c>
      <c r="P28" s="57">
        <v>1022</v>
      </c>
      <c r="Q28" s="58">
        <v>10032</v>
      </c>
      <c r="R28" s="59">
        <v>99784</v>
      </c>
      <c r="V28" s="4"/>
    </row>
    <row r="29" spans="1:22" x14ac:dyDescent="0.15">
      <c r="A29" s="120">
        <v>22</v>
      </c>
      <c r="B29" s="104">
        <v>29736</v>
      </c>
      <c r="C29" s="76">
        <v>3</v>
      </c>
      <c r="D29" s="76">
        <v>1</v>
      </c>
      <c r="E29" s="76">
        <v>9</v>
      </c>
      <c r="F29" s="76">
        <v>4</v>
      </c>
      <c r="G29" s="76">
        <v>9</v>
      </c>
      <c r="H29" s="76">
        <v>2</v>
      </c>
      <c r="I29" s="13">
        <v>1</v>
      </c>
      <c r="J29" s="33">
        <v>11546786</v>
      </c>
      <c r="K29" s="143">
        <v>2</v>
      </c>
      <c r="L29" s="34">
        <v>377777.7</v>
      </c>
      <c r="M29" s="34">
        <v>168834.9</v>
      </c>
      <c r="N29" s="56">
        <v>10</v>
      </c>
      <c r="O29" s="57">
        <v>121</v>
      </c>
      <c r="P29" s="57">
        <v>1080</v>
      </c>
      <c r="Q29" s="58">
        <v>10946</v>
      </c>
      <c r="R29" s="59">
        <v>107476</v>
      </c>
      <c r="V29" s="4"/>
    </row>
    <row r="30" spans="1:22" x14ac:dyDescent="0.15">
      <c r="A30" s="120">
        <v>23</v>
      </c>
      <c r="B30" s="104">
        <v>29743</v>
      </c>
      <c r="C30" s="76">
        <v>8</v>
      </c>
      <c r="D30" s="76">
        <v>6</v>
      </c>
      <c r="E30" s="76">
        <v>1</v>
      </c>
      <c r="F30" s="76">
        <v>3</v>
      </c>
      <c r="G30" s="76">
        <v>4</v>
      </c>
      <c r="H30" s="76">
        <v>5</v>
      </c>
      <c r="I30" s="13">
        <v>0</v>
      </c>
      <c r="J30" s="33">
        <v>14109087</v>
      </c>
      <c r="K30" s="143">
        <v>1</v>
      </c>
      <c r="L30" s="34">
        <v>1177777.7</v>
      </c>
      <c r="M30" s="18">
        <v>88430.6</v>
      </c>
      <c r="N30" s="56">
        <v>12</v>
      </c>
      <c r="O30" s="57">
        <v>136</v>
      </c>
      <c r="P30" s="57">
        <v>1171</v>
      </c>
      <c r="Q30" s="58">
        <v>12214</v>
      </c>
      <c r="R30" s="59">
        <v>120705</v>
      </c>
      <c r="V30" s="4"/>
    </row>
    <row r="31" spans="1:22" x14ac:dyDescent="0.15">
      <c r="A31" s="120">
        <v>24</v>
      </c>
      <c r="B31" s="104">
        <v>29750</v>
      </c>
      <c r="C31" s="76">
        <v>9</v>
      </c>
      <c r="D31" s="76">
        <v>1</v>
      </c>
      <c r="E31" s="76">
        <v>6</v>
      </c>
      <c r="F31" s="76">
        <v>7</v>
      </c>
      <c r="G31" s="76">
        <v>1</v>
      </c>
      <c r="H31" s="76">
        <v>9</v>
      </c>
      <c r="I31" s="13">
        <v>9</v>
      </c>
      <c r="J31" s="33">
        <v>11315038</v>
      </c>
      <c r="K31" s="143" t="s">
        <v>23</v>
      </c>
      <c r="L31" s="34"/>
      <c r="M31" s="18">
        <v>968489.1</v>
      </c>
      <c r="N31" s="56">
        <v>9</v>
      </c>
      <c r="O31" s="57">
        <v>111</v>
      </c>
      <c r="P31" s="57">
        <v>976</v>
      </c>
      <c r="Q31" s="58">
        <v>10592</v>
      </c>
      <c r="R31" s="59">
        <v>105145</v>
      </c>
      <c r="V31" s="4"/>
    </row>
    <row r="32" spans="1:22" x14ac:dyDescent="0.15">
      <c r="A32" s="120">
        <v>25</v>
      </c>
      <c r="B32" s="104">
        <v>29757</v>
      </c>
      <c r="C32" s="76">
        <v>3</v>
      </c>
      <c r="D32" s="76">
        <v>5</v>
      </c>
      <c r="E32" s="76">
        <v>8</v>
      </c>
      <c r="F32" s="76">
        <v>5</v>
      </c>
      <c r="G32" s="76">
        <v>4</v>
      </c>
      <c r="H32" s="76">
        <v>7</v>
      </c>
      <c r="I32" s="13">
        <v>8</v>
      </c>
      <c r="J32" s="33">
        <v>11157015</v>
      </c>
      <c r="K32" s="143">
        <v>2</v>
      </c>
      <c r="L32" s="34">
        <v>877777.7</v>
      </c>
      <c r="M32" s="18">
        <v>80701.5</v>
      </c>
      <c r="N32" s="56">
        <v>13</v>
      </c>
      <c r="O32" s="57">
        <v>123</v>
      </c>
      <c r="P32" s="57">
        <v>994</v>
      </c>
      <c r="Q32" s="58">
        <v>10124</v>
      </c>
      <c r="R32" s="59">
        <v>100780</v>
      </c>
      <c r="V32" s="4"/>
    </row>
    <row r="33" spans="1:22" x14ac:dyDescent="0.15">
      <c r="A33" s="162">
        <v>26</v>
      </c>
      <c r="B33" s="79">
        <v>29764</v>
      </c>
      <c r="C33" s="38">
        <v>5</v>
      </c>
      <c r="D33" s="38">
        <v>7</v>
      </c>
      <c r="E33" s="38">
        <v>9</v>
      </c>
      <c r="F33" s="38">
        <v>0</v>
      </c>
      <c r="G33" s="38">
        <v>5</v>
      </c>
      <c r="H33" s="38">
        <v>6</v>
      </c>
      <c r="I33" s="39">
        <v>9</v>
      </c>
      <c r="J33" s="40">
        <v>11262445</v>
      </c>
      <c r="K33" s="60">
        <v>1</v>
      </c>
      <c r="L33" s="42">
        <v>877777.7</v>
      </c>
      <c r="M33" s="43">
        <v>78891.7</v>
      </c>
      <c r="N33" s="61">
        <v>12</v>
      </c>
      <c r="O33" s="62">
        <v>95</v>
      </c>
      <c r="P33" s="62">
        <v>1017</v>
      </c>
      <c r="Q33" s="63">
        <v>10352</v>
      </c>
      <c r="R33" s="64">
        <v>102654</v>
      </c>
      <c r="V33" s="4"/>
    </row>
    <row r="34" spans="1:22" s="90" customFormat="1" x14ac:dyDescent="0.15">
      <c r="A34" s="81"/>
      <c r="B34" s="82"/>
      <c r="C34" s="76"/>
      <c r="D34" s="76"/>
      <c r="E34" s="76"/>
      <c r="F34" s="76"/>
      <c r="G34" s="76"/>
      <c r="H34" s="76"/>
      <c r="I34" s="76"/>
      <c r="J34" s="83"/>
      <c r="K34" s="77"/>
      <c r="L34" s="84"/>
      <c r="M34" s="85"/>
      <c r="N34" s="86"/>
      <c r="O34" s="87"/>
      <c r="P34" s="87"/>
      <c r="Q34" s="88"/>
      <c r="R34" s="89"/>
      <c r="V34" s="100"/>
    </row>
    <row r="35" spans="1:22" x14ac:dyDescent="0.15">
      <c r="A35" s="7"/>
      <c r="B35" s="8"/>
      <c r="C35" s="9"/>
      <c r="D35" s="9"/>
      <c r="E35" s="9"/>
      <c r="F35" s="9"/>
      <c r="G35" s="9"/>
      <c r="H35" s="9"/>
      <c r="I35" s="10"/>
      <c r="J35" s="11"/>
      <c r="K35" s="243" t="s">
        <v>19</v>
      </c>
      <c r="L35" s="244"/>
      <c r="M35" s="11"/>
      <c r="N35" s="8"/>
      <c r="O35" s="8"/>
      <c r="P35" s="8"/>
      <c r="Q35" s="8"/>
      <c r="R35" s="8"/>
      <c r="V35" s="4"/>
    </row>
    <row r="36" spans="1:22" x14ac:dyDescent="0.15">
      <c r="A36" s="13" t="s">
        <v>3</v>
      </c>
      <c r="B36" s="14">
        <v>1981</v>
      </c>
      <c r="C36" s="109" t="s">
        <v>4</v>
      </c>
      <c r="D36" s="110"/>
      <c r="E36" s="110"/>
      <c r="F36" s="110"/>
      <c r="G36" s="110"/>
      <c r="H36" s="110"/>
      <c r="I36" s="17" t="s">
        <v>5</v>
      </c>
      <c r="J36" s="14" t="s">
        <v>6</v>
      </c>
      <c r="K36" s="245" t="s">
        <v>31</v>
      </c>
      <c r="L36" s="209"/>
      <c r="M36" s="14" t="s">
        <v>21</v>
      </c>
      <c r="N36" s="14" t="s">
        <v>8</v>
      </c>
      <c r="O36" s="14" t="s">
        <v>9</v>
      </c>
      <c r="P36" s="14" t="s">
        <v>10</v>
      </c>
      <c r="Q36" s="14" t="s">
        <v>11</v>
      </c>
      <c r="R36" s="14" t="s">
        <v>12</v>
      </c>
      <c r="V36" s="4"/>
    </row>
    <row r="37" spans="1:22" x14ac:dyDescent="0.15">
      <c r="A37" s="13"/>
      <c r="B37" s="14"/>
      <c r="C37" s="76"/>
      <c r="D37" s="76"/>
      <c r="E37" s="76"/>
      <c r="F37" s="76"/>
      <c r="G37" s="76"/>
      <c r="H37" s="76"/>
      <c r="I37" s="17" t="s">
        <v>13</v>
      </c>
      <c r="J37" s="14" t="s">
        <v>14</v>
      </c>
      <c r="K37" s="245" t="s">
        <v>32</v>
      </c>
      <c r="L37" s="209"/>
      <c r="M37" s="14" t="s">
        <v>14</v>
      </c>
      <c r="N37" s="75" t="s">
        <v>33</v>
      </c>
      <c r="O37" s="75" t="s">
        <v>34</v>
      </c>
      <c r="P37" s="75" t="s">
        <v>35</v>
      </c>
      <c r="Q37" s="75" t="s">
        <v>36</v>
      </c>
      <c r="R37" s="75" t="s">
        <v>37</v>
      </c>
      <c r="V37" s="4"/>
    </row>
    <row r="38" spans="1:22" x14ac:dyDescent="0.15">
      <c r="A38" s="39"/>
      <c r="B38" s="21"/>
      <c r="C38" s="38"/>
      <c r="D38" s="38"/>
      <c r="E38" s="38"/>
      <c r="F38" s="38"/>
      <c r="G38" s="38"/>
      <c r="H38" s="38"/>
      <c r="I38" s="39"/>
      <c r="J38" s="21"/>
      <c r="K38" s="60" t="s">
        <v>15</v>
      </c>
      <c r="L38" s="78" t="s">
        <v>14</v>
      </c>
      <c r="M38" s="21"/>
      <c r="N38" s="96" t="s">
        <v>15</v>
      </c>
      <c r="O38" s="96" t="s">
        <v>15</v>
      </c>
      <c r="P38" s="96" t="s">
        <v>15</v>
      </c>
      <c r="Q38" s="96" t="s">
        <v>15</v>
      </c>
      <c r="R38" s="96" t="s">
        <v>15</v>
      </c>
      <c r="V38" s="4"/>
    </row>
    <row r="39" spans="1:22" x14ac:dyDescent="0.15">
      <c r="A39" s="120">
        <v>27</v>
      </c>
      <c r="B39" s="104">
        <v>29771</v>
      </c>
      <c r="C39" s="76">
        <v>8</v>
      </c>
      <c r="D39" s="76">
        <v>6</v>
      </c>
      <c r="E39" s="76">
        <v>4</v>
      </c>
      <c r="F39" s="76">
        <v>3</v>
      </c>
      <c r="G39" s="76">
        <v>2</v>
      </c>
      <c r="H39" s="76">
        <v>1</v>
      </c>
      <c r="I39" s="113">
        <v>6</v>
      </c>
      <c r="J39" s="116">
        <v>14483454</v>
      </c>
      <c r="K39" s="143" t="s">
        <v>23</v>
      </c>
      <c r="L39" s="34"/>
      <c r="M39" s="117">
        <v>1205382.6000000001</v>
      </c>
      <c r="N39" s="80">
        <v>5.5</v>
      </c>
      <c r="O39" s="118">
        <v>82.5</v>
      </c>
      <c r="P39" s="118">
        <v>676</v>
      </c>
      <c r="Q39" s="119">
        <v>6863</v>
      </c>
      <c r="R39" s="138">
        <v>66187</v>
      </c>
      <c r="V39" s="4"/>
    </row>
    <row r="40" spans="1:22" x14ac:dyDescent="0.15">
      <c r="A40" s="120">
        <v>28</v>
      </c>
      <c r="B40" s="104">
        <v>29778</v>
      </c>
      <c r="C40" s="76">
        <v>5</v>
      </c>
      <c r="D40" s="76">
        <v>6</v>
      </c>
      <c r="E40" s="76">
        <v>3</v>
      </c>
      <c r="F40" s="76">
        <v>2</v>
      </c>
      <c r="G40" s="76">
        <v>8</v>
      </c>
      <c r="H40" s="76">
        <v>7</v>
      </c>
      <c r="I40" s="13">
        <v>2</v>
      </c>
      <c r="J40" s="33">
        <v>12918644</v>
      </c>
      <c r="K40" s="143" t="s">
        <v>23</v>
      </c>
      <c r="L40" s="34"/>
      <c r="M40" s="18">
        <v>2210166</v>
      </c>
      <c r="N40" s="56">
        <v>7</v>
      </c>
      <c r="O40" s="57">
        <v>60</v>
      </c>
      <c r="P40" s="57">
        <v>627</v>
      </c>
      <c r="Q40" s="58">
        <v>5878</v>
      </c>
      <c r="R40" s="59">
        <v>58219</v>
      </c>
      <c r="V40" s="4"/>
    </row>
    <row r="41" spans="1:22" x14ac:dyDescent="0.15">
      <c r="A41" s="120">
        <v>29</v>
      </c>
      <c r="B41" s="104">
        <v>29785</v>
      </c>
      <c r="C41" s="76">
        <v>7</v>
      </c>
      <c r="D41" s="76">
        <v>9</v>
      </c>
      <c r="E41" s="76">
        <v>9</v>
      </c>
      <c r="F41" s="76">
        <v>2</v>
      </c>
      <c r="G41" s="76">
        <v>9</v>
      </c>
      <c r="H41" s="76">
        <v>0</v>
      </c>
      <c r="I41" s="113">
        <v>8</v>
      </c>
      <c r="J41" s="116">
        <v>13386421</v>
      </c>
      <c r="K41" s="143" t="s">
        <v>23</v>
      </c>
      <c r="L41" s="34"/>
      <c r="M41" s="34">
        <v>3251332.1</v>
      </c>
      <c r="N41" s="56">
        <v>6</v>
      </c>
      <c r="O41" s="57">
        <v>56</v>
      </c>
      <c r="P41" s="57">
        <v>552</v>
      </c>
      <c r="Q41" s="58">
        <v>5832</v>
      </c>
      <c r="R41" s="59">
        <v>57551</v>
      </c>
      <c r="V41" s="4"/>
    </row>
    <row r="42" spans="1:22" x14ac:dyDescent="0.15">
      <c r="A42" s="120">
        <v>30</v>
      </c>
      <c r="B42" s="104">
        <v>29792</v>
      </c>
      <c r="C42" s="76">
        <v>9</v>
      </c>
      <c r="D42" s="76">
        <v>2</v>
      </c>
      <c r="E42" s="76">
        <v>2</v>
      </c>
      <c r="F42" s="76">
        <v>2</v>
      </c>
      <c r="G42" s="76">
        <v>2</v>
      </c>
      <c r="H42" s="76">
        <v>5</v>
      </c>
      <c r="I42" s="13">
        <v>8</v>
      </c>
      <c r="J42" s="33">
        <v>13237409</v>
      </c>
      <c r="K42" s="143">
        <v>1</v>
      </c>
      <c r="L42" s="34">
        <v>3555555.4</v>
      </c>
      <c r="M42" s="18">
        <v>725352.9</v>
      </c>
      <c r="N42" s="56">
        <v>7</v>
      </c>
      <c r="O42" s="57">
        <v>65.5</v>
      </c>
      <c r="P42" s="57">
        <v>555.5</v>
      </c>
      <c r="Q42" s="58">
        <v>5734</v>
      </c>
      <c r="R42" s="59">
        <v>58467</v>
      </c>
      <c r="V42" s="4"/>
    </row>
    <row r="43" spans="1:22" x14ac:dyDescent="0.15">
      <c r="A43" s="120">
        <v>31</v>
      </c>
      <c r="B43" s="104">
        <v>29799</v>
      </c>
      <c r="C43" s="76">
        <v>0</v>
      </c>
      <c r="D43" s="76">
        <v>1</v>
      </c>
      <c r="E43" s="76">
        <v>0</v>
      </c>
      <c r="F43" s="76">
        <v>9</v>
      </c>
      <c r="G43" s="76">
        <v>6</v>
      </c>
      <c r="H43" s="76">
        <v>7</v>
      </c>
      <c r="I43" s="13">
        <v>8</v>
      </c>
      <c r="J43" s="33">
        <v>13435231</v>
      </c>
      <c r="K43" s="143">
        <v>1</v>
      </c>
      <c r="L43" s="34">
        <v>1755555.4</v>
      </c>
      <c r="M43" s="18">
        <v>14759.9</v>
      </c>
      <c r="N43" s="56">
        <v>6</v>
      </c>
      <c r="O43" s="57">
        <v>67</v>
      </c>
      <c r="P43" s="57">
        <v>603</v>
      </c>
      <c r="Q43" s="58">
        <v>6190</v>
      </c>
      <c r="R43" s="59">
        <v>60134</v>
      </c>
      <c r="V43" s="4"/>
    </row>
    <row r="44" spans="1:22" x14ac:dyDescent="0.15">
      <c r="A44" s="120">
        <v>32</v>
      </c>
      <c r="B44" s="104">
        <v>29806</v>
      </c>
      <c r="C44" s="76">
        <v>5</v>
      </c>
      <c r="D44" s="76">
        <v>7</v>
      </c>
      <c r="E44" s="76">
        <v>0</v>
      </c>
      <c r="F44" s="76">
        <v>4</v>
      </c>
      <c r="G44" s="76">
        <v>6</v>
      </c>
      <c r="H44" s="76">
        <v>9</v>
      </c>
      <c r="I44" s="13">
        <v>1</v>
      </c>
      <c r="J44" s="33">
        <v>13091052</v>
      </c>
      <c r="K44" s="143" t="s">
        <v>23</v>
      </c>
      <c r="L44" s="34"/>
      <c r="M44" s="18">
        <v>1032952.8</v>
      </c>
      <c r="N44" s="56">
        <v>9</v>
      </c>
      <c r="O44" s="57">
        <v>53</v>
      </c>
      <c r="P44" s="57">
        <v>620.5</v>
      </c>
      <c r="Q44" s="58">
        <v>5920</v>
      </c>
      <c r="R44" s="59">
        <v>58970</v>
      </c>
      <c r="V44" s="4"/>
    </row>
    <row r="45" spans="1:22" x14ac:dyDescent="0.15">
      <c r="A45" s="120">
        <v>33</v>
      </c>
      <c r="B45" s="104">
        <v>29813</v>
      </c>
      <c r="C45" s="76">
        <v>9</v>
      </c>
      <c r="D45" s="76">
        <v>5</v>
      </c>
      <c r="E45" s="76">
        <v>2</v>
      </c>
      <c r="F45" s="76">
        <v>2</v>
      </c>
      <c r="G45" s="76">
        <v>4</v>
      </c>
      <c r="H45" s="76">
        <v>4</v>
      </c>
      <c r="I45" s="13">
        <v>4</v>
      </c>
      <c r="J45" s="33">
        <v>13524704</v>
      </c>
      <c r="K45" s="143" t="s">
        <v>23</v>
      </c>
      <c r="L45" s="34"/>
      <c r="M45" s="18">
        <v>2084874.2</v>
      </c>
      <c r="N45" s="56">
        <v>9</v>
      </c>
      <c r="O45" s="57">
        <v>57</v>
      </c>
      <c r="P45" s="57">
        <v>627.5</v>
      </c>
      <c r="Q45" s="58">
        <v>6537</v>
      </c>
      <c r="R45" s="59">
        <v>62348</v>
      </c>
      <c r="V45" s="4"/>
    </row>
    <row r="46" spans="1:22" x14ac:dyDescent="0.15">
      <c r="A46" s="120">
        <v>34</v>
      </c>
      <c r="B46" s="104">
        <v>29820</v>
      </c>
      <c r="C46" s="76">
        <v>4</v>
      </c>
      <c r="D46" s="76">
        <v>7</v>
      </c>
      <c r="E46" s="76">
        <v>8</v>
      </c>
      <c r="F46" s="76">
        <v>7</v>
      </c>
      <c r="G46" s="76">
        <v>5</v>
      </c>
      <c r="H46" s="14">
        <v>8</v>
      </c>
      <c r="I46" s="14">
        <v>6</v>
      </c>
      <c r="J46" s="33">
        <v>13544056</v>
      </c>
      <c r="K46" s="143">
        <v>1</v>
      </c>
      <c r="L46" s="34">
        <v>3055555.4</v>
      </c>
      <c r="M46" s="18">
        <v>82745.399999999994</v>
      </c>
      <c r="N46" s="56">
        <v>6</v>
      </c>
      <c r="O46" s="57">
        <v>75</v>
      </c>
      <c r="P46" s="57">
        <v>570</v>
      </c>
      <c r="Q46" s="58">
        <v>6198.5</v>
      </c>
      <c r="R46" s="59">
        <v>62199</v>
      </c>
      <c r="V46" s="4"/>
    </row>
    <row r="47" spans="1:22" s="90" customFormat="1" x14ac:dyDescent="0.15">
      <c r="A47" s="120">
        <v>35</v>
      </c>
      <c r="B47" s="104">
        <v>29827</v>
      </c>
      <c r="C47" s="76">
        <v>4</v>
      </c>
      <c r="D47" s="76">
        <v>7</v>
      </c>
      <c r="E47" s="76">
        <v>8</v>
      </c>
      <c r="F47" s="76">
        <v>8</v>
      </c>
      <c r="G47" s="76">
        <v>0</v>
      </c>
      <c r="H47" s="115">
        <v>6</v>
      </c>
      <c r="I47" s="13">
        <v>4</v>
      </c>
      <c r="J47" s="116">
        <v>13564414</v>
      </c>
      <c r="K47" s="190">
        <v>1</v>
      </c>
      <c r="L47" s="34">
        <v>1155555.3999999999</v>
      </c>
      <c r="M47" s="34">
        <v>82200</v>
      </c>
      <c r="N47" s="56">
        <v>5</v>
      </c>
      <c r="O47" s="57">
        <v>58</v>
      </c>
      <c r="P47" s="57">
        <v>550.5</v>
      </c>
      <c r="Q47" s="58">
        <v>5848</v>
      </c>
      <c r="R47" s="59">
        <v>61647</v>
      </c>
      <c r="S47" s="91"/>
      <c r="V47" s="100"/>
    </row>
    <row r="48" spans="1:22" s="90" customFormat="1" x14ac:dyDescent="0.15">
      <c r="A48" s="120">
        <v>36</v>
      </c>
      <c r="B48" s="104">
        <v>29834</v>
      </c>
      <c r="C48" s="103">
        <v>6</v>
      </c>
      <c r="D48" s="103">
        <v>1</v>
      </c>
      <c r="E48" s="103">
        <v>5</v>
      </c>
      <c r="F48" s="103">
        <v>9</v>
      </c>
      <c r="G48" s="103">
        <v>0</v>
      </c>
      <c r="H48" s="115">
        <v>2</v>
      </c>
      <c r="I48" s="113">
        <v>2</v>
      </c>
      <c r="J48" s="116">
        <v>14431440</v>
      </c>
      <c r="K48" s="191">
        <v>2</v>
      </c>
      <c r="L48" s="34">
        <v>555555.4</v>
      </c>
      <c r="M48" s="18">
        <v>93534.5</v>
      </c>
      <c r="N48" s="56">
        <v>7</v>
      </c>
      <c r="O48" s="57">
        <v>71</v>
      </c>
      <c r="P48" s="57">
        <v>621</v>
      </c>
      <c r="Q48" s="58">
        <v>6182</v>
      </c>
      <c r="R48" s="59">
        <v>65668</v>
      </c>
      <c r="S48" s="91"/>
      <c r="V48" s="100"/>
    </row>
    <row r="49" spans="1:22" s="90" customFormat="1" x14ac:dyDescent="0.15">
      <c r="A49" s="120">
        <v>37</v>
      </c>
      <c r="B49" s="104">
        <v>29841</v>
      </c>
      <c r="C49" s="109">
        <v>1</v>
      </c>
      <c r="D49" s="110">
        <v>9</v>
      </c>
      <c r="E49" s="110">
        <v>4</v>
      </c>
      <c r="F49" s="110">
        <v>9</v>
      </c>
      <c r="G49" s="110">
        <v>8</v>
      </c>
      <c r="H49" s="110">
        <v>0</v>
      </c>
      <c r="I49" s="13">
        <v>0</v>
      </c>
      <c r="J49" s="33">
        <v>15051532</v>
      </c>
      <c r="K49" s="190">
        <v>1</v>
      </c>
      <c r="L49" s="34">
        <v>1155555.3999999999</v>
      </c>
      <c r="M49" s="18">
        <v>108653.8</v>
      </c>
      <c r="N49" s="56">
        <v>4</v>
      </c>
      <c r="O49" s="57">
        <v>77</v>
      </c>
      <c r="P49" s="57">
        <v>687.5</v>
      </c>
      <c r="Q49" s="58">
        <v>6552</v>
      </c>
      <c r="R49" s="59">
        <v>65667</v>
      </c>
      <c r="S49" s="91"/>
      <c r="V49" s="100"/>
    </row>
    <row r="50" spans="1:22" s="90" customFormat="1" x14ac:dyDescent="0.15">
      <c r="A50" s="120">
        <v>38</v>
      </c>
      <c r="B50" s="104">
        <v>29848</v>
      </c>
      <c r="C50" s="76">
        <v>7</v>
      </c>
      <c r="D50" s="76">
        <v>9</v>
      </c>
      <c r="E50" s="76">
        <v>7</v>
      </c>
      <c r="F50" s="76">
        <v>3</v>
      </c>
      <c r="G50" s="76">
        <v>1</v>
      </c>
      <c r="H50" s="76">
        <v>7</v>
      </c>
      <c r="I50" s="13">
        <v>1</v>
      </c>
      <c r="J50" s="33">
        <v>18199373</v>
      </c>
      <c r="K50" s="190" t="s">
        <v>23</v>
      </c>
      <c r="L50" s="34"/>
      <c r="M50" s="18">
        <v>1524160.6</v>
      </c>
      <c r="N50" s="56">
        <v>5</v>
      </c>
      <c r="O50" s="57">
        <v>77</v>
      </c>
      <c r="P50" s="57">
        <v>794</v>
      </c>
      <c r="Q50" s="58">
        <v>8073</v>
      </c>
      <c r="R50" s="59">
        <v>81229</v>
      </c>
      <c r="S50" s="91"/>
      <c r="V50" s="100"/>
    </row>
    <row r="51" spans="1:22" s="90" customFormat="1" x14ac:dyDescent="0.15">
      <c r="A51" s="120">
        <v>39</v>
      </c>
      <c r="B51" s="104">
        <v>29855</v>
      </c>
      <c r="C51" s="76">
        <v>4</v>
      </c>
      <c r="D51" s="76">
        <v>0</v>
      </c>
      <c r="E51" s="76">
        <v>3</v>
      </c>
      <c r="F51" s="76">
        <v>6</v>
      </c>
      <c r="G51" s="76">
        <v>5</v>
      </c>
      <c r="H51" s="76">
        <v>7</v>
      </c>
      <c r="I51" s="13">
        <v>3</v>
      </c>
      <c r="J51" s="33">
        <v>15436645</v>
      </c>
      <c r="K51" s="190">
        <v>3</v>
      </c>
      <c r="L51" s="34">
        <v>755555.4</v>
      </c>
      <c r="M51" s="18">
        <v>458122.3</v>
      </c>
      <c r="N51" s="56">
        <v>5</v>
      </c>
      <c r="O51" s="57">
        <v>81</v>
      </c>
      <c r="P51" s="57">
        <v>722</v>
      </c>
      <c r="Q51" s="58">
        <v>6957</v>
      </c>
      <c r="R51" s="59">
        <v>69192</v>
      </c>
      <c r="S51" s="91"/>
      <c r="V51" s="100"/>
    </row>
    <row r="52" spans="1:22" s="90" customFormat="1" x14ac:dyDescent="0.15">
      <c r="A52" s="120">
        <v>40</v>
      </c>
      <c r="B52" s="104">
        <v>29862</v>
      </c>
      <c r="C52" s="76">
        <v>9</v>
      </c>
      <c r="D52" s="76">
        <v>8</v>
      </c>
      <c r="E52" s="76">
        <v>1</v>
      </c>
      <c r="F52" s="76">
        <v>6</v>
      </c>
      <c r="G52" s="76">
        <v>1</v>
      </c>
      <c r="H52" s="76">
        <v>9</v>
      </c>
      <c r="I52" s="13">
        <v>8</v>
      </c>
      <c r="J52" s="33">
        <v>15462612</v>
      </c>
      <c r="K52" s="190" t="s">
        <v>23</v>
      </c>
      <c r="L52" s="34"/>
      <c r="M52" s="18">
        <v>1660769.9</v>
      </c>
      <c r="N52" s="56">
        <v>11</v>
      </c>
      <c r="O52" s="57">
        <v>70</v>
      </c>
      <c r="P52" s="57">
        <v>778</v>
      </c>
      <c r="Q52" s="58">
        <v>7052</v>
      </c>
      <c r="R52" s="59">
        <v>71065</v>
      </c>
      <c r="S52" s="91"/>
      <c r="V52" s="100"/>
    </row>
    <row r="53" spans="1:22" s="90" customFormat="1" x14ac:dyDescent="0.15">
      <c r="A53" s="120">
        <v>41</v>
      </c>
      <c r="B53" s="104">
        <v>29869</v>
      </c>
      <c r="C53" s="76">
        <v>6</v>
      </c>
      <c r="D53" s="76">
        <v>0</v>
      </c>
      <c r="E53" s="76">
        <v>1</v>
      </c>
      <c r="F53" s="76">
        <v>9</v>
      </c>
      <c r="G53" s="76">
        <v>1</v>
      </c>
      <c r="H53" s="76">
        <v>2</v>
      </c>
      <c r="I53" s="13">
        <v>6</v>
      </c>
      <c r="J53" s="33">
        <v>15231976</v>
      </c>
      <c r="K53" s="190">
        <v>1</v>
      </c>
      <c r="L53" s="34">
        <v>2755555.4</v>
      </c>
      <c r="M53" s="18">
        <v>89923.7</v>
      </c>
      <c r="N53" s="56">
        <v>10</v>
      </c>
      <c r="O53" s="57">
        <v>75</v>
      </c>
      <c r="P53" s="57">
        <v>747.5</v>
      </c>
      <c r="Q53" s="58">
        <v>6959</v>
      </c>
      <c r="R53" s="59">
        <v>69597</v>
      </c>
      <c r="S53" s="91"/>
      <c r="V53" s="100"/>
    </row>
    <row r="54" spans="1:22" s="90" customFormat="1" x14ac:dyDescent="0.15">
      <c r="A54" s="120">
        <v>42</v>
      </c>
      <c r="B54" s="104">
        <v>29876</v>
      </c>
      <c r="C54" s="76">
        <v>4</v>
      </c>
      <c r="D54" s="76">
        <v>8</v>
      </c>
      <c r="E54" s="76">
        <v>3</v>
      </c>
      <c r="F54" s="76">
        <v>8</v>
      </c>
      <c r="G54" s="76">
        <v>0</v>
      </c>
      <c r="H54" s="76">
        <v>3</v>
      </c>
      <c r="I54" s="13">
        <v>1</v>
      </c>
      <c r="J54" s="33">
        <v>15374858</v>
      </c>
      <c r="K54" s="190" t="s">
        <v>23</v>
      </c>
      <c r="L54" s="34"/>
      <c r="M54" s="18">
        <v>1285746</v>
      </c>
      <c r="N54" s="56">
        <v>3</v>
      </c>
      <c r="O54" s="57">
        <v>75</v>
      </c>
      <c r="P54" s="57">
        <v>660.5</v>
      </c>
      <c r="Q54" s="58">
        <v>6713</v>
      </c>
      <c r="R54" s="59">
        <v>70170</v>
      </c>
      <c r="S54" s="91"/>
      <c r="V54" s="100"/>
    </row>
    <row r="55" spans="1:22" s="90" customFormat="1" x14ac:dyDescent="0.15">
      <c r="A55" s="120">
        <v>43</v>
      </c>
      <c r="B55" s="104">
        <v>29883</v>
      </c>
      <c r="C55" s="76">
        <v>9</v>
      </c>
      <c r="D55" s="76">
        <v>1</v>
      </c>
      <c r="E55" s="76">
        <v>5</v>
      </c>
      <c r="F55" s="76">
        <v>3</v>
      </c>
      <c r="G55" s="76">
        <v>2</v>
      </c>
      <c r="H55" s="76">
        <v>1</v>
      </c>
      <c r="I55" s="13">
        <v>1</v>
      </c>
      <c r="J55" s="33">
        <v>15272822</v>
      </c>
      <c r="K55" s="190">
        <v>1</v>
      </c>
      <c r="L55" s="34">
        <v>2355555.4</v>
      </c>
      <c r="M55" s="18">
        <v>118076.7</v>
      </c>
      <c r="N55" s="56">
        <v>10</v>
      </c>
      <c r="O55" s="57">
        <v>61</v>
      </c>
      <c r="P55" s="57">
        <v>718</v>
      </c>
      <c r="Q55" s="58">
        <v>6838</v>
      </c>
      <c r="R55" s="59">
        <v>68198</v>
      </c>
      <c r="S55" s="91"/>
      <c r="V55" s="100"/>
    </row>
    <row r="56" spans="1:22" s="90" customFormat="1" x14ac:dyDescent="0.15">
      <c r="A56" s="120">
        <v>44</v>
      </c>
      <c r="B56" s="104">
        <v>29890</v>
      </c>
      <c r="C56" s="76">
        <v>8</v>
      </c>
      <c r="D56" s="76">
        <v>9</v>
      </c>
      <c r="E56" s="76">
        <v>1</v>
      </c>
      <c r="F56" s="76">
        <v>5</v>
      </c>
      <c r="G56" s="76">
        <v>1</v>
      </c>
      <c r="H56" s="76">
        <v>8</v>
      </c>
      <c r="I56" s="13">
        <v>6</v>
      </c>
      <c r="J56" s="33">
        <v>15877102</v>
      </c>
      <c r="K56" s="190" t="s">
        <v>23</v>
      </c>
      <c r="L56" s="34"/>
      <c r="M56" s="34">
        <v>1352962.4</v>
      </c>
      <c r="N56" s="56">
        <v>8</v>
      </c>
      <c r="O56" s="57">
        <v>74</v>
      </c>
      <c r="P56" s="57">
        <v>680</v>
      </c>
      <c r="Q56" s="58">
        <v>7079</v>
      </c>
      <c r="R56" s="59">
        <v>71833</v>
      </c>
      <c r="S56" s="91"/>
      <c r="V56" s="100"/>
    </row>
    <row r="57" spans="1:22" s="90" customFormat="1" x14ac:dyDescent="0.15">
      <c r="A57" s="120">
        <v>45</v>
      </c>
      <c r="B57" s="104">
        <v>29897</v>
      </c>
      <c r="C57" s="76">
        <v>3</v>
      </c>
      <c r="D57" s="76">
        <v>7</v>
      </c>
      <c r="E57" s="76">
        <v>7</v>
      </c>
      <c r="F57" s="76">
        <v>6</v>
      </c>
      <c r="G57" s="76">
        <v>9</v>
      </c>
      <c r="H57" s="76">
        <v>1</v>
      </c>
      <c r="I57" s="13">
        <v>8</v>
      </c>
      <c r="J57" s="116">
        <v>15834340</v>
      </c>
      <c r="K57" s="190">
        <v>2</v>
      </c>
      <c r="L57" s="34">
        <v>1155555.3999999999</v>
      </c>
      <c r="M57" s="18">
        <v>273411.40000000002</v>
      </c>
      <c r="N57" s="56">
        <v>7</v>
      </c>
      <c r="O57" s="57">
        <v>76</v>
      </c>
      <c r="P57" s="57">
        <v>755</v>
      </c>
      <c r="Q57" s="58">
        <v>7261</v>
      </c>
      <c r="R57" s="59">
        <v>72027</v>
      </c>
      <c r="S57" s="91"/>
    </row>
    <row r="58" spans="1:22" s="90" customFormat="1" x14ac:dyDescent="0.15">
      <c r="A58" s="120">
        <v>46</v>
      </c>
      <c r="B58" s="104">
        <v>29904</v>
      </c>
      <c r="C58" s="76">
        <v>2</v>
      </c>
      <c r="D58" s="76">
        <v>2</v>
      </c>
      <c r="E58" s="76">
        <v>2</v>
      </c>
      <c r="F58" s="76">
        <v>1</v>
      </c>
      <c r="G58" s="76">
        <v>7</v>
      </c>
      <c r="H58" s="76">
        <v>4</v>
      </c>
      <c r="I58" s="13">
        <v>9</v>
      </c>
      <c r="J58" s="116">
        <v>16110030</v>
      </c>
      <c r="K58" s="190" t="s">
        <v>23</v>
      </c>
      <c r="L58" s="34"/>
      <c r="M58" s="18">
        <v>1526413.7</v>
      </c>
      <c r="N58" s="56">
        <v>7</v>
      </c>
      <c r="O58" s="57">
        <v>69</v>
      </c>
      <c r="P58" s="57">
        <v>762.5</v>
      </c>
      <c r="Q58" s="58">
        <v>7519</v>
      </c>
      <c r="R58" s="59">
        <v>74377</v>
      </c>
      <c r="S58" s="91"/>
    </row>
    <row r="59" spans="1:22" s="90" customFormat="1" x14ac:dyDescent="0.15">
      <c r="A59" s="120">
        <v>47</v>
      </c>
      <c r="B59" s="104">
        <v>29911</v>
      </c>
      <c r="C59" s="76">
        <v>5</v>
      </c>
      <c r="D59" s="76">
        <v>3</v>
      </c>
      <c r="E59" s="76">
        <v>2</v>
      </c>
      <c r="F59" s="76">
        <v>2</v>
      </c>
      <c r="G59" s="76">
        <v>1</v>
      </c>
      <c r="H59" s="76">
        <v>1</v>
      </c>
      <c r="I59" s="13">
        <v>0</v>
      </c>
      <c r="J59" s="33">
        <v>15643372</v>
      </c>
      <c r="K59" s="190">
        <v>1</v>
      </c>
      <c r="L59" s="34">
        <v>2555555.4</v>
      </c>
      <c r="M59" s="34">
        <v>187565</v>
      </c>
      <c r="N59" s="56">
        <v>7</v>
      </c>
      <c r="O59" s="57">
        <v>86</v>
      </c>
      <c r="P59" s="57">
        <v>657</v>
      </c>
      <c r="Q59" s="58">
        <v>6702</v>
      </c>
      <c r="R59" s="59">
        <v>68321</v>
      </c>
      <c r="S59" s="91"/>
    </row>
    <row r="60" spans="1:22" s="90" customFormat="1" x14ac:dyDescent="0.15">
      <c r="A60" s="120">
        <v>48</v>
      </c>
      <c r="B60" s="104">
        <v>29918</v>
      </c>
      <c r="C60" s="76">
        <v>8</v>
      </c>
      <c r="D60" s="76">
        <v>8</v>
      </c>
      <c r="E60" s="76">
        <v>9</v>
      </c>
      <c r="F60" s="76">
        <v>0</v>
      </c>
      <c r="G60" s="76">
        <v>0</v>
      </c>
      <c r="H60" s="76">
        <v>0</v>
      </c>
      <c r="I60" s="13">
        <v>6</v>
      </c>
      <c r="J60" s="33">
        <v>16438200</v>
      </c>
      <c r="K60" s="190">
        <v>1</v>
      </c>
      <c r="L60" s="34">
        <v>1355555.4</v>
      </c>
      <c r="M60" s="18">
        <v>110536.3</v>
      </c>
      <c r="N60" s="56">
        <v>5</v>
      </c>
      <c r="O60" s="57">
        <v>69</v>
      </c>
      <c r="P60" s="57">
        <v>640</v>
      </c>
      <c r="Q60" s="58">
        <v>6725</v>
      </c>
      <c r="R60" s="59">
        <v>71272</v>
      </c>
      <c r="S60" s="91"/>
    </row>
    <row r="61" spans="1:22" s="90" customFormat="1" x14ac:dyDescent="0.15">
      <c r="A61" s="120">
        <v>49</v>
      </c>
      <c r="B61" s="104">
        <v>29925</v>
      </c>
      <c r="C61" s="76">
        <v>7</v>
      </c>
      <c r="D61" s="76">
        <v>3</v>
      </c>
      <c r="E61" s="76">
        <v>6</v>
      </c>
      <c r="F61" s="76">
        <v>6</v>
      </c>
      <c r="G61" s="76">
        <v>4</v>
      </c>
      <c r="H61" s="76">
        <v>7</v>
      </c>
      <c r="I61" s="13">
        <v>2</v>
      </c>
      <c r="J61" s="33">
        <v>23417372</v>
      </c>
      <c r="K61" s="190" t="s">
        <v>23</v>
      </c>
      <c r="L61" s="34"/>
      <c r="M61" s="18">
        <v>1931887.4</v>
      </c>
      <c r="N61" s="56">
        <v>14</v>
      </c>
      <c r="O61" s="57">
        <v>121</v>
      </c>
      <c r="P61" s="57">
        <v>1100.5</v>
      </c>
      <c r="Q61" s="58">
        <v>10899.5</v>
      </c>
      <c r="R61" s="59">
        <v>107528</v>
      </c>
      <c r="S61" s="91"/>
    </row>
    <row r="62" spans="1:22" s="90" customFormat="1" x14ac:dyDescent="0.15">
      <c r="A62" s="120">
        <v>50</v>
      </c>
      <c r="B62" s="104">
        <v>29932</v>
      </c>
      <c r="C62" s="76">
        <v>6</v>
      </c>
      <c r="D62" s="76">
        <v>9</v>
      </c>
      <c r="E62" s="76">
        <v>6</v>
      </c>
      <c r="F62" s="76">
        <v>0</v>
      </c>
      <c r="G62" s="76">
        <v>2</v>
      </c>
      <c r="H62" s="76">
        <v>1</v>
      </c>
      <c r="I62" s="13">
        <v>0</v>
      </c>
      <c r="J62" s="33">
        <v>17605770</v>
      </c>
      <c r="K62" s="190">
        <v>1</v>
      </c>
      <c r="L62" s="34">
        <v>3155555.4</v>
      </c>
      <c r="M62" s="18">
        <v>145669.70000000001</v>
      </c>
      <c r="N62" s="56">
        <v>6</v>
      </c>
      <c r="O62" s="57">
        <v>81</v>
      </c>
      <c r="P62" s="57">
        <v>771</v>
      </c>
      <c r="Q62" s="58">
        <v>7721</v>
      </c>
      <c r="R62" s="59">
        <v>76422</v>
      </c>
      <c r="S62" s="91"/>
    </row>
    <row r="63" spans="1:22" s="90" customFormat="1" x14ac:dyDescent="0.15">
      <c r="A63" s="120">
        <v>51</v>
      </c>
      <c r="B63" s="104">
        <v>29939</v>
      </c>
      <c r="C63" s="76">
        <v>0</v>
      </c>
      <c r="D63" s="76">
        <v>8</v>
      </c>
      <c r="E63" s="76">
        <v>6</v>
      </c>
      <c r="F63" s="76">
        <v>5</v>
      </c>
      <c r="G63" s="76">
        <v>6</v>
      </c>
      <c r="H63" s="76">
        <v>4</v>
      </c>
      <c r="I63" s="13">
        <v>8</v>
      </c>
      <c r="J63" s="33">
        <v>17906320</v>
      </c>
      <c r="K63" s="190">
        <v>1</v>
      </c>
      <c r="L63" s="34">
        <v>1355555.4</v>
      </c>
      <c r="M63" s="34">
        <v>182828.1</v>
      </c>
      <c r="N63" s="56">
        <v>9</v>
      </c>
      <c r="O63" s="57">
        <v>85</v>
      </c>
      <c r="P63" s="57">
        <v>793</v>
      </c>
      <c r="Q63" s="58">
        <v>8458</v>
      </c>
      <c r="R63" s="59">
        <v>84137</v>
      </c>
      <c r="S63" s="91"/>
    </row>
    <row r="64" spans="1:22" s="122" customFormat="1" x14ac:dyDescent="0.15">
      <c r="A64" s="140">
        <v>52</v>
      </c>
      <c r="B64" s="79">
        <v>29946</v>
      </c>
      <c r="C64" s="141">
        <v>1</v>
      </c>
      <c r="D64" s="141">
        <v>4</v>
      </c>
      <c r="E64" s="141">
        <v>0</v>
      </c>
      <c r="F64" s="141">
        <v>7</v>
      </c>
      <c r="G64" s="141">
        <v>3</v>
      </c>
      <c r="H64" s="123">
        <v>5</v>
      </c>
      <c r="I64" s="123">
        <v>8</v>
      </c>
      <c r="J64" s="40">
        <v>13850764</v>
      </c>
      <c r="K64" s="192" t="s">
        <v>23</v>
      </c>
      <c r="L64" s="124"/>
      <c r="M64" s="42">
        <v>1260109.7</v>
      </c>
      <c r="N64" s="99">
        <v>5</v>
      </c>
      <c r="O64" s="62">
        <v>65</v>
      </c>
      <c r="P64" s="98">
        <v>593</v>
      </c>
      <c r="Q64" s="63">
        <v>6180</v>
      </c>
      <c r="R64" s="142">
        <v>62535</v>
      </c>
      <c r="S64" s="121"/>
    </row>
    <row r="65" spans="1:22" s="90" customFormat="1" x14ac:dyDescent="0.15">
      <c r="A65" s="101"/>
      <c r="B65" s="265"/>
      <c r="C65" s="97"/>
      <c r="D65" s="97"/>
      <c r="E65" s="97"/>
      <c r="F65" s="97"/>
      <c r="G65" s="97"/>
      <c r="H65" s="97" t="s">
        <v>24</v>
      </c>
      <c r="I65" s="97"/>
      <c r="J65" s="97"/>
      <c r="K65" s="262">
        <f>SUM(K8:K64)</f>
        <v>45</v>
      </c>
      <c r="L65" s="262"/>
      <c r="M65" s="262"/>
      <c r="N65" s="262">
        <f>SUM(N8:N64)</f>
        <v>459.5</v>
      </c>
      <c r="O65" s="262">
        <f>SUM(O8:O64)</f>
        <v>4704</v>
      </c>
      <c r="P65" s="262">
        <f>SUM(P8:P64)</f>
        <v>46110.5</v>
      </c>
      <c r="Q65" s="262">
        <f>SUM(Q8:Q64)</f>
        <v>461515</v>
      </c>
      <c r="R65" s="268">
        <f>SUM(R8:R64)</f>
        <v>4613752</v>
      </c>
      <c r="S65" s="91"/>
    </row>
    <row r="66" spans="1:22" s="90" customFormat="1" x14ac:dyDescent="0.15">
      <c r="A66" s="81"/>
      <c r="B66" s="82"/>
      <c r="C66" s="76"/>
      <c r="D66" s="76"/>
      <c r="E66" s="76"/>
      <c r="F66" s="76"/>
      <c r="G66" s="76"/>
      <c r="H66" s="76"/>
      <c r="I66" s="76"/>
      <c r="J66" s="83"/>
      <c r="K66" s="77"/>
      <c r="L66" s="84"/>
      <c r="M66" s="85"/>
      <c r="N66" s="86"/>
      <c r="O66" s="87"/>
      <c r="P66" s="87"/>
      <c r="Q66" s="88"/>
      <c r="R66" s="89"/>
      <c r="S66" s="91"/>
    </row>
    <row r="67" spans="1:22" s="90" customFormat="1" x14ac:dyDescent="0.15">
      <c r="A67" s="81"/>
      <c r="B67" s="82"/>
      <c r="C67" s="103"/>
      <c r="D67" s="103"/>
      <c r="E67" s="103"/>
      <c r="F67" s="103"/>
      <c r="G67" s="103"/>
      <c r="H67" s="103"/>
      <c r="I67" s="92"/>
      <c r="J67" s="83"/>
      <c r="K67" s="77"/>
      <c r="L67" s="94"/>
      <c r="M67" s="85"/>
      <c r="N67" s="86"/>
      <c r="O67" s="87"/>
      <c r="P67" s="87"/>
      <c r="Q67" s="88"/>
      <c r="R67" s="89"/>
      <c r="S67" s="91"/>
    </row>
    <row r="68" spans="1:22" s="90" customFormat="1" x14ac:dyDescent="0.15">
      <c r="A68" s="81"/>
      <c r="B68" s="82"/>
      <c r="C68" s="103"/>
      <c r="D68" s="103"/>
      <c r="E68" s="103"/>
      <c r="F68" s="103"/>
      <c r="G68" s="103"/>
      <c r="H68" s="103"/>
      <c r="I68" s="92"/>
      <c r="J68" s="83"/>
      <c r="K68" s="77"/>
      <c r="L68" s="94"/>
      <c r="M68" s="85"/>
      <c r="N68" s="86"/>
      <c r="O68" s="87"/>
      <c r="P68" s="87"/>
      <c r="Q68" s="88"/>
      <c r="R68" s="89"/>
      <c r="S68" s="91"/>
    </row>
    <row r="69" spans="1:22" s="90" customFormat="1" x14ac:dyDescent="0.15">
      <c r="A69" s="81"/>
      <c r="B69" s="82"/>
      <c r="C69" s="92"/>
      <c r="D69" s="92"/>
      <c r="E69" s="92"/>
      <c r="F69" s="92"/>
      <c r="G69" s="92"/>
      <c r="H69" s="92"/>
      <c r="I69" s="92"/>
      <c r="J69" s="83"/>
      <c r="K69" s="77"/>
      <c r="L69" s="94"/>
      <c r="M69" s="85"/>
      <c r="N69" s="86"/>
      <c r="O69" s="87"/>
      <c r="P69" s="87"/>
      <c r="Q69" s="88"/>
      <c r="R69" s="89"/>
      <c r="S69" s="91"/>
    </row>
    <row r="70" spans="1:22" s="90" customFormat="1" x14ac:dyDescent="0.15">
      <c r="A70" s="81"/>
      <c r="B70" s="92"/>
      <c r="C70" s="92"/>
      <c r="D70" s="92"/>
      <c r="E70" s="92"/>
      <c r="F70" s="92"/>
      <c r="G70" s="92"/>
      <c r="H70" s="92"/>
      <c r="I70" s="92"/>
      <c r="J70" s="92"/>
      <c r="K70" s="93"/>
      <c r="L70" s="93"/>
      <c r="M70" s="93"/>
      <c r="N70" s="93"/>
      <c r="O70" s="93"/>
      <c r="P70" s="93"/>
      <c r="Q70" s="93"/>
      <c r="R70" s="93"/>
      <c r="S70" s="91"/>
      <c r="V70" s="111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  <row r="174" spans="12:12" s="90" customFormat="1" x14ac:dyDescent="0.15">
      <c r="L174" s="85"/>
    </row>
    <row r="175" spans="12:12" s="90" customFormat="1" x14ac:dyDescent="0.15">
      <c r="L175" s="85"/>
    </row>
    <row r="176" spans="12:12" s="90" customFormat="1" x14ac:dyDescent="0.15">
      <c r="L176" s="85"/>
    </row>
    <row r="177" spans="12:12" s="90" customFormat="1" x14ac:dyDescent="0.15">
      <c r="L177" s="85"/>
    </row>
    <row r="178" spans="12:12" s="90" customFormat="1" x14ac:dyDescent="0.15">
      <c r="L178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78" orientation="landscape" horizontalDpi="4294967292" vertic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4"/>
  <sheetViews>
    <sheetView workbookViewId="0">
      <pane ySplit="7" topLeftCell="A35" activePane="bottomLeft" state="frozenSplit"/>
      <selection pane="bottomLeft" activeCell="R60" sqref="A60:R60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38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 t="s">
        <v>19</v>
      </c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1982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31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32</v>
      </c>
      <c r="L6" s="209"/>
      <c r="M6" s="14" t="s">
        <v>14</v>
      </c>
      <c r="N6" s="75" t="s">
        <v>33</v>
      </c>
      <c r="O6" s="75" t="s">
        <v>34</v>
      </c>
      <c r="P6" s="75" t="s">
        <v>35</v>
      </c>
      <c r="Q6" s="75" t="s">
        <v>36</v>
      </c>
      <c r="R6" s="75" t="s">
        <v>37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120">
        <v>1</v>
      </c>
      <c r="B8" s="104">
        <v>29953</v>
      </c>
      <c r="C8" s="76">
        <v>1</v>
      </c>
      <c r="D8" s="76">
        <v>5</v>
      </c>
      <c r="E8" s="76">
        <v>2</v>
      </c>
      <c r="F8" s="76">
        <v>9</v>
      </c>
      <c r="G8" s="76">
        <v>8</v>
      </c>
      <c r="H8" s="76">
        <v>6</v>
      </c>
      <c r="I8" s="13">
        <v>2</v>
      </c>
      <c r="J8" s="33">
        <v>13169739</v>
      </c>
      <c r="K8" s="143">
        <v>1</v>
      </c>
      <c r="L8" s="34">
        <v>2155555.4</v>
      </c>
      <c r="M8" s="18">
        <v>128867.3</v>
      </c>
      <c r="N8" s="56">
        <v>6</v>
      </c>
      <c r="O8" s="57">
        <v>62</v>
      </c>
      <c r="P8" s="57">
        <v>614</v>
      </c>
      <c r="Q8" s="58">
        <v>6061</v>
      </c>
      <c r="R8" s="59">
        <v>59479</v>
      </c>
      <c r="V8" s="4"/>
    </row>
    <row r="9" spans="1:22" x14ac:dyDescent="0.15">
      <c r="A9" s="120">
        <v>2</v>
      </c>
      <c r="B9" s="104">
        <v>29960</v>
      </c>
      <c r="C9" s="76">
        <v>1</v>
      </c>
      <c r="D9" s="76">
        <v>0</v>
      </c>
      <c r="E9" s="76">
        <v>9</v>
      </c>
      <c r="F9" s="76">
        <v>8</v>
      </c>
      <c r="G9" s="76">
        <v>7</v>
      </c>
      <c r="H9" s="76">
        <v>0</v>
      </c>
      <c r="I9" s="13">
        <v>8</v>
      </c>
      <c r="J9" s="33">
        <v>14160025</v>
      </c>
      <c r="K9" s="143">
        <v>1</v>
      </c>
      <c r="L9" s="34">
        <v>1155555.3999999999</v>
      </c>
      <c r="M9" s="34">
        <v>74647.199999999997</v>
      </c>
      <c r="N9" s="56">
        <v>2</v>
      </c>
      <c r="O9" s="57">
        <v>44</v>
      </c>
      <c r="P9" s="57">
        <v>571</v>
      </c>
      <c r="Q9" s="58">
        <v>6375</v>
      </c>
      <c r="R9" s="59">
        <v>61960</v>
      </c>
      <c r="V9" s="4"/>
    </row>
    <row r="10" spans="1:22" x14ac:dyDescent="0.15">
      <c r="A10" s="120">
        <v>3</v>
      </c>
      <c r="B10" s="104">
        <v>29967</v>
      </c>
      <c r="C10" s="76">
        <v>1</v>
      </c>
      <c r="D10" s="76">
        <v>2</v>
      </c>
      <c r="E10" s="76">
        <v>3</v>
      </c>
      <c r="F10" s="76">
        <v>2</v>
      </c>
      <c r="G10" s="76">
        <v>3</v>
      </c>
      <c r="H10" s="76">
        <v>7</v>
      </c>
      <c r="I10" s="13">
        <v>5</v>
      </c>
      <c r="J10" s="33">
        <v>14951093</v>
      </c>
      <c r="K10" s="143" t="s">
        <v>23</v>
      </c>
      <c r="L10" s="34"/>
      <c r="M10" s="34">
        <v>1237510</v>
      </c>
      <c r="N10" s="56">
        <v>2</v>
      </c>
      <c r="O10" s="57">
        <v>65</v>
      </c>
      <c r="P10" s="57">
        <v>719</v>
      </c>
      <c r="Q10" s="58">
        <v>6754</v>
      </c>
      <c r="R10" s="59">
        <v>67117</v>
      </c>
      <c r="V10" s="4"/>
    </row>
    <row r="11" spans="1:22" x14ac:dyDescent="0.15">
      <c r="A11" s="120">
        <v>4</v>
      </c>
      <c r="B11" s="104">
        <v>29974</v>
      </c>
      <c r="C11" s="76">
        <v>0</v>
      </c>
      <c r="D11" s="76">
        <v>6</v>
      </c>
      <c r="E11" s="76">
        <v>6</v>
      </c>
      <c r="F11" s="76">
        <v>9</v>
      </c>
      <c r="G11" s="76">
        <v>6</v>
      </c>
      <c r="H11" s="76">
        <v>4</v>
      </c>
      <c r="I11" s="13">
        <v>6</v>
      </c>
      <c r="J11" s="33">
        <v>14194599</v>
      </c>
      <c r="K11" s="143">
        <v>1</v>
      </c>
      <c r="L11" s="34">
        <v>2155555.4</v>
      </c>
      <c r="M11" s="34">
        <v>185979</v>
      </c>
      <c r="N11" s="56">
        <v>4</v>
      </c>
      <c r="O11" s="57">
        <v>73</v>
      </c>
      <c r="P11" s="57">
        <v>698</v>
      </c>
      <c r="Q11" s="58">
        <v>6415</v>
      </c>
      <c r="R11" s="59">
        <v>65036</v>
      </c>
      <c r="V11" s="4"/>
    </row>
    <row r="12" spans="1:22" x14ac:dyDescent="0.15">
      <c r="A12" s="120">
        <v>5</v>
      </c>
      <c r="B12" s="104">
        <v>29981</v>
      </c>
      <c r="C12" s="76">
        <v>9</v>
      </c>
      <c r="D12" s="76">
        <v>6</v>
      </c>
      <c r="E12" s="76">
        <v>0</v>
      </c>
      <c r="F12" s="76">
        <v>6</v>
      </c>
      <c r="G12" s="76">
        <v>0</v>
      </c>
      <c r="H12" s="76">
        <v>4</v>
      </c>
      <c r="I12" s="13">
        <v>0</v>
      </c>
      <c r="J12" s="33">
        <v>14385869</v>
      </c>
      <c r="K12" s="143">
        <v>1</v>
      </c>
      <c r="L12" s="34">
        <v>1155555.3999999999</v>
      </c>
      <c r="M12" s="18">
        <v>149324.5</v>
      </c>
      <c r="N12" s="56">
        <v>3</v>
      </c>
      <c r="O12" s="57">
        <v>65</v>
      </c>
      <c r="P12" s="57">
        <v>613</v>
      </c>
      <c r="Q12" s="58">
        <v>5973</v>
      </c>
      <c r="R12" s="59">
        <v>62935</v>
      </c>
      <c r="V12" s="4"/>
    </row>
    <row r="13" spans="1:22" x14ac:dyDescent="0.15">
      <c r="A13" s="120">
        <v>6</v>
      </c>
      <c r="B13" s="104">
        <v>29988</v>
      </c>
      <c r="C13" s="76">
        <v>2</v>
      </c>
      <c r="D13" s="76">
        <v>8</v>
      </c>
      <c r="E13" s="76">
        <v>9</v>
      </c>
      <c r="F13" s="76">
        <v>9</v>
      </c>
      <c r="G13" s="76">
        <v>2</v>
      </c>
      <c r="H13" s="76">
        <v>4</v>
      </c>
      <c r="I13" s="13">
        <v>4</v>
      </c>
      <c r="J13" s="33">
        <v>14382244</v>
      </c>
      <c r="K13" s="143">
        <v>1</v>
      </c>
      <c r="L13" s="34">
        <v>1155555.3999999999</v>
      </c>
      <c r="M13" s="34">
        <v>112388.1</v>
      </c>
      <c r="N13" s="56">
        <v>3</v>
      </c>
      <c r="O13" s="57">
        <v>62</v>
      </c>
      <c r="P13" s="57">
        <v>632</v>
      </c>
      <c r="Q13" s="58">
        <v>6388</v>
      </c>
      <c r="R13" s="59">
        <v>64136</v>
      </c>
      <c r="V13" s="4"/>
    </row>
    <row r="14" spans="1:22" x14ac:dyDescent="0.15">
      <c r="A14" s="120">
        <v>7</v>
      </c>
      <c r="B14" s="104">
        <v>29995</v>
      </c>
      <c r="C14" s="76">
        <v>4</v>
      </c>
      <c r="D14" s="76">
        <v>2</v>
      </c>
      <c r="E14" s="76">
        <v>2</v>
      </c>
      <c r="F14" s="76">
        <v>8</v>
      </c>
      <c r="G14" s="76">
        <v>5</v>
      </c>
      <c r="H14" s="76">
        <v>6</v>
      </c>
      <c r="I14" s="13">
        <v>2</v>
      </c>
      <c r="J14" s="33">
        <v>14426742</v>
      </c>
      <c r="K14" s="143">
        <v>1</v>
      </c>
      <c r="L14" s="34">
        <v>1155555.3999999999</v>
      </c>
      <c r="M14" s="18">
        <v>78912.600000000006</v>
      </c>
      <c r="N14" s="56">
        <v>5</v>
      </c>
      <c r="O14" s="57">
        <v>62</v>
      </c>
      <c r="P14" s="57">
        <v>713</v>
      </c>
      <c r="Q14" s="58">
        <v>6696</v>
      </c>
      <c r="R14" s="59">
        <v>67638</v>
      </c>
      <c r="V14" s="4"/>
    </row>
    <row r="15" spans="1:22" x14ac:dyDescent="0.15">
      <c r="A15" s="120">
        <v>8</v>
      </c>
      <c r="B15" s="104">
        <v>30002</v>
      </c>
      <c r="C15" s="76">
        <v>4</v>
      </c>
      <c r="D15" s="76">
        <v>9</v>
      </c>
      <c r="E15" s="76">
        <v>1</v>
      </c>
      <c r="F15" s="76">
        <v>7</v>
      </c>
      <c r="G15" s="76">
        <v>2</v>
      </c>
      <c r="H15" s="76">
        <v>2</v>
      </c>
      <c r="I15" s="13">
        <v>7</v>
      </c>
      <c r="J15" s="33">
        <v>14038178</v>
      </c>
      <c r="K15" s="143" t="s">
        <v>23</v>
      </c>
      <c r="L15" s="34"/>
      <c r="M15" s="18">
        <v>1170770.8999999999</v>
      </c>
      <c r="N15" s="56">
        <v>10</v>
      </c>
      <c r="O15" s="57">
        <v>66</v>
      </c>
      <c r="P15" s="57">
        <v>657</v>
      </c>
      <c r="Q15" s="58">
        <v>6283</v>
      </c>
      <c r="R15" s="59">
        <v>64873</v>
      </c>
      <c r="V15" s="4"/>
    </row>
    <row r="16" spans="1:22" x14ac:dyDescent="0.15">
      <c r="A16" s="120">
        <v>9</v>
      </c>
      <c r="B16" s="104">
        <v>30009</v>
      </c>
      <c r="C16" s="76">
        <v>0</v>
      </c>
      <c r="D16" s="76">
        <v>5</v>
      </c>
      <c r="E16" s="76">
        <v>3</v>
      </c>
      <c r="F16" s="76">
        <v>0</v>
      </c>
      <c r="G16" s="76">
        <v>9</v>
      </c>
      <c r="H16" s="76">
        <v>1</v>
      </c>
      <c r="I16" s="13">
        <v>2</v>
      </c>
      <c r="J16" s="33">
        <v>14262896</v>
      </c>
      <c r="K16" s="143">
        <v>1</v>
      </c>
      <c r="L16" s="34">
        <v>2155555.4</v>
      </c>
      <c r="M16" s="18">
        <v>124551.8</v>
      </c>
      <c r="N16" s="56">
        <v>7</v>
      </c>
      <c r="O16" s="57">
        <v>70</v>
      </c>
      <c r="P16" s="57">
        <v>628</v>
      </c>
      <c r="Q16" s="58">
        <v>6561</v>
      </c>
      <c r="R16" s="59">
        <v>65119</v>
      </c>
      <c r="V16" s="4"/>
    </row>
    <row r="17" spans="1:22" x14ac:dyDescent="0.15">
      <c r="A17" s="120">
        <v>10</v>
      </c>
      <c r="B17" s="104">
        <v>30016</v>
      </c>
      <c r="C17" s="76">
        <v>3</v>
      </c>
      <c r="D17" s="76">
        <v>9</v>
      </c>
      <c r="E17" s="76">
        <v>6</v>
      </c>
      <c r="F17" s="76">
        <v>9</v>
      </c>
      <c r="G17" s="76">
        <v>6</v>
      </c>
      <c r="H17" s="76">
        <v>3</v>
      </c>
      <c r="I17" s="13">
        <v>9</v>
      </c>
      <c r="J17" s="33">
        <v>18875047</v>
      </c>
      <c r="K17" s="143" t="s">
        <v>23</v>
      </c>
      <c r="L17" s="34"/>
      <c r="M17" s="18">
        <v>1592611</v>
      </c>
      <c r="N17" s="56">
        <v>11</v>
      </c>
      <c r="O17" s="57">
        <v>84</v>
      </c>
      <c r="P17" s="57">
        <v>849</v>
      </c>
      <c r="Q17" s="58">
        <v>8285</v>
      </c>
      <c r="R17" s="59">
        <v>83037</v>
      </c>
      <c r="V17" s="4"/>
    </row>
    <row r="18" spans="1:22" x14ac:dyDescent="0.15">
      <c r="A18" s="120">
        <v>11</v>
      </c>
      <c r="B18" s="104">
        <v>30023</v>
      </c>
      <c r="C18" s="76">
        <v>4</v>
      </c>
      <c r="D18" s="76">
        <v>6</v>
      </c>
      <c r="E18" s="76">
        <v>9</v>
      </c>
      <c r="F18" s="76">
        <v>0</v>
      </c>
      <c r="G18" s="76">
        <v>7</v>
      </c>
      <c r="H18" s="76">
        <v>6</v>
      </c>
      <c r="I18" s="13">
        <v>0</v>
      </c>
      <c r="J18" s="33">
        <v>14738269</v>
      </c>
      <c r="K18" s="143" t="s">
        <v>23</v>
      </c>
      <c r="L18" s="34"/>
      <c r="M18" s="18">
        <v>2738920.8</v>
      </c>
      <c r="N18" s="56">
        <v>6</v>
      </c>
      <c r="O18" s="57">
        <v>63</v>
      </c>
      <c r="P18" s="57">
        <v>683</v>
      </c>
      <c r="Q18" s="58">
        <v>6627</v>
      </c>
      <c r="R18" s="59">
        <v>64756</v>
      </c>
      <c r="V18" s="4"/>
    </row>
    <row r="19" spans="1:22" x14ac:dyDescent="0.15">
      <c r="A19" s="120">
        <v>12</v>
      </c>
      <c r="B19" s="104">
        <v>30030</v>
      </c>
      <c r="C19" s="76">
        <v>6</v>
      </c>
      <c r="D19" s="76">
        <v>9</v>
      </c>
      <c r="E19" s="76">
        <v>1</v>
      </c>
      <c r="F19" s="76">
        <v>8</v>
      </c>
      <c r="G19" s="76">
        <v>8</v>
      </c>
      <c r="H19" s="76">
        <v>7</v>
      </c>
      <c r="I19" s="13">
        <v>8</v>
      </c>
      <c r="J19" s="33">
        <v>14400919</v>
      </c>
      <c r="K19" s="143" t="s">
        <v>23</v>
      </c>
      <c r="L19" s="34"/>
      <c r="M19" s="18">
        <v>3858992.3</v>
      </c>
      <c r="N19" s="56">
        <v>8</v>
      </c>
      <c r="O19" s="57">
        <v>71</v>
      </c>
      <c r="P19" s="57">
        <v>679</v>
      </c>
      <c r="Q19" s="58">
        <v>6632</v>
      </c>
      <c r="R19" s="59">
        <v>65440</v>
      </c>
      <c r="V19" s="4"/>
    </row>
    <row r="20" spans="1:22" x14ac:dyDescent="0.15">
      <c r="A20" s="120">
        <v>13</v>
      </c>
      <c r="B20" s="104">
        <v>30037</v>
      </c>
      <c r="C20" s="76">
        <v>1</v>
      </c>
      <c r="D20" s="76">
        <v>2</v>
      </c>
      <c r="E20" s="76">
        <v>7</v>
      </c>
      <c r="F20" s="76">
        <v>9</v>
      </c>
      <c r="G20" s="76">
        <v>5</v>
      </c>
      <c r="H20" s="76">
        <v>1</v>
      </c>
      <c r="I20" s="13">
        <v>0</v>
      </c>
      <c r="J20" s="33">
        <v>14119063</v>
      </c>
      <c r="K20" s="143">
        <v>1</v>
      </c>
      <c r="L20" s="34">
        <v>3555555.4</v>
      </c>
      <c r="M20" s="18">
        <v>1401586.2</v>
      </c>
      <c r="N20" s="56">
        <v>3</v>
      </c>
      <c r="O20" s="57">
        <v>78</v>
      </c>
      <c r="P20" s="57">
        <v>665</v>
      </c>
      <c r="Q20" s="58">
        <v>6242</v>
      </c>
      <c r="R20" s="59">
        <v>62204</v>
      </c>
      <c r="V20" s="4"/>
    </row>
    <row r="21" spans="1:22" x14ac:dyDescent="0.15">
      <c r="A21" s="120">
        <v>14</v>
      </c>
      <c r="B21" s="104">
        <v>30044</v>
      </c>
      <c r="C21" s="76">
        <v>0</v>
      </c>
      <c r="D21" s="76">
        <v>8</v>
      </c>
      <c r="E21" s="76">
        <v>2</v>
      </c>
      <c r="F21" s="76">
        <v>6</v>
      </c>
      <c r="G21" s="76">
        <v>5</v>
      </c>
      <c r="H21" s="76">
        <v>5</v>
      </c>
      <c r="I21" s="13">
        <v>5</v>
      </c>
      <c r="J21" s="33">
        <v>14104079</v>
      </c>
      <c r="K21" s="143">
        <v>1</v>
      </c>
      <c r="L21" s="34">
        <v>2355555.4</v>
      </c>
      <c r="M21" s="18">
        <v>143014.70000000001</v>
      </c>
      <c r="N21" s="56">
        <v>4</v>
      </c>
      <c r="O21" s="57">
        <v>70</v>
      </c>
      <c r="P21" s="57">
        <v>681</v>
      </c>
      <c r="Q21" s="58">
        <v>6423</v>
      </c>
      <c r="R21" s="59">
        <v>64666</v>
      </c>
      <c r="V21" s="4"/>
    </row>
    <row r="22" spans="1:22" x14ac:dyDescent="0.15">
      <c r="A22" s="120">
        <v>15</v>
      </c>
      <c r="B22" s="104">
        <v>30051</v>
      </c>
      <c r="C22" s="76">
        <v>0</v>
      </c>
      <c r="D22" s="76">
        <v>9</v>
      </c>
      <c r="E22" s="76">
        <v>1</v>
      </c>
      <c r="F22" s="76">
        <v>7</v>
      </c>
      <c r="G22" s="76">
        <v>8</v>
      </c>
      <c r="H22" s="76">
        <v>0</v>
      </c>
      <c r="I22" s="13">
        <v>1</v>
      </c>
      <c r="J22" s="33">
        <v>13788915</v>
      </c>
      <c r="K22" s="143">
        <v>1</v>
      </c>
      <c r="L22" s="34">
        <v>1155555.3999999999</v>
      </c>
      <c r="M22" s="18">
        <v>59930.5</v>
      </c>
      <c r="N22" s="56">
        <v>8</v>
      </c>
      <c r="O22" s="57">
        <v>56</v>
      </c>
      <c r="P22" s="57">
        <v>660</v>
      </c>
      <c r="Q22" s="58">
        <v>6132</v>
      </c>
      <c r="R22" s="59">
        <v>58963</v>
      </c>
      <c r="V22" s="4"/>
    </row>
    <row r="23" spans="1:22" x14ac:dyDescent="0.15">
      <c r="A23" s="120">
        <v>16</v>
      </c>
      <c r="B23" s="104">
        <v>30058</v>
      </c>
      <c r="C23" s="76">
        <v>0</v>
      </c>
      <c r="D23" s="76">
        <v>4</v>
      </c>
      <c r="E23" s="76">
        <v>6</v>
      </c>
      <c r="F23" s="76">
        <v>0</v>
      </c>
      <c r="G23" s="76">
        <v>9</v>
      </c>
      <c r="H23" s="76">
        <v>9</v>
      </c>
      <c r="I23" s="13">
        <v>3</v>
      </c>
      <c r="J23" s="33">
        <v>13722305</v>
      </c>
      <c r="K23" s="143" t="s">
        <v>23</v>
      </c>
      <c r="L23" s="34"/>
      <c r="M23" s="18">
        <v>1127220.8999999999</v>
      </c>
      <c r="N23" s="56">
        <v>3</v>
      </c>
      <c r="O23" s="57">
        <v>65</v>
      </c>
      <c r="P23" s="57">
        <v>574</v>
      </c>
      <c r="Q23" s="58">
        <v>6026</v>
      </c>
      <c r="R23" s="59">
        <v>61911</v>
      </c>
      <c r="V23" s="4"/>
    </row>
    <row r="24" spans="1:22" x14ac:dyDescent="0.15">
      <c r="A24" s="120">
        <v>17</v>
      </c>
      <c r="B24" s="104">
        <v>30065</v>
      </c>
      <c r="C24" s="76">
        <v>8</v>
      </c>
      <c r="D24" s="76">
        <v>6</v>
      </c>
      <c r="E24" s="76">
        <v>7</v>
      </c>
      <c r="F24" s="76">
        <v>6</v>
      </c>
      <c r="G24" s="76">
        <v>8</v>
      </c>
      <c r="H24" s="76">
        <v>9</v>
      </c>
      <c r="I24" s="13">
        <v>2</v>
      </c>
      <c r="J24" s="33">
        <v>13094857</v>
      </c>
      <c r="K24" s="143" t="s">
        <v>23</v>
      </c>
      <c r="L24" s="34"/>
      <c r="M24" s="18">
        <v>2145709.7999999998</v>
      </c>
      <c r="N24" s="56">
        <v>9</v>
      </c>
      <c r="O24" s="57">
        <v>55</v>
      </c>
      <c r="P24" s="57">
        <v>578</v>
      </c>
      <c r="Q24" s="58">
        <v>5929</v>
      </c>
      <c r="R24" s="59">
        <v>56693</v>
      </c>
      <c r="V24" s="4"/>
    </row>
    <row r="25" spans="1:22" x14ac:dyDescent="0.15">
      <c r="A25" s="120">
        <v>18</v>
      </c>
      <c r="B25" s="104">
        <v>30072</v>
      </c>
      <c r="C25" s="76">
        <v>5</v>
      </c>
      <c r="D25" s="76">
        <v>8</v>
      </c>
      <c r="E25" s="76">
        <v>6</v>
      </c>
      <c r="F25" s="76">
        <v>8</v>
      </c>
      <c r="G25" s="76">
        <v>9</v>
      </c>
      <c r="H25" s="76">
        <v>1</v>
      </c>
      <c r="I25" s="13">
        <v>9</v>
      </c>
      <c r="J25" s="33">
        <v>12206181</v>
      </c>
      <c r="K25" s="143" t="s">
        <v>23</v>
      </c>
      <c r="L25" s="34"/>
      <c r="M25" s="18">
        <v>3095079.4</v>
      </c>
      <c r="N25" s="56">
        <v>4</v>
      </c>
      <c r="O25" s="57">
        <v>40</v>
      </c>
      <c r="P25" s="57">
        <v>552</v>
      </c>
      <c r="Q25" s="58">
        <v>5676</v>
      </c>
      <c r="R25" s="59">
        <v>56503</v>
      </c>
      <c r="V25" s="4"/>
    </row>
    <row r="26" spans="1:22" x14ac:dyDescent="0.15">
      <c r="A26" s="120">
        <v>19</v>
      </c>
      <c r="B26" s="104">
        <v>30079</v>
      </c>
      <c r="C26" s="76">
        <v>9</v>
      </c>
      <c r="D26" s="76">
        <v>7</v>
      </c>
      <c r="E26" s="76">
        <v>0</v>
      </c>
      <c r="F26" s="76">
        <v>2</v>
      </c>
      <c r="G26" s="76">
        <v>9</v>
      </c>
      <c r="H26" s="76">
        <v>1</v>
      </c>
      <c r="I26" s="13">
        <v>1</v>
      </c>
      <c r="J26" s="33">
        <v>12133259</v>
      </c>
      <c r="K26" s="143" t="s">
        <v>23</v>
      </c>
      <c r="L26" s="34"/>
      <c r="M26" s="34">
        <v>4037833.6</v>
      </c>
      <c r="N26" s="56">
        <v>5</v>
      </c>
      <c r="O26" s="57">
        <v>51</v>
      </c>
      <c r="P26" s="57">
        <v>541</v>
      </c>
      <c r="Q26" s="58">
        <v>5424</v>
      </c>
      <c r="R26" s="59">
        <v>54754</v>
      </c>
      <c r="V26" s="4"/>
    </row>
    <row r="27" spans="1:22" x14ac:dyDescent="0.15">
      <c r="A27" s="120">
        <v>20</v>
      </c>
      <c r="B27" s="104">
        <v>30086</v>
      </c>
      <c r="C27" s="76">
        <v>4</v>
      </c>
      <c r="D27" s="76">
        <v>9</v>
      </c>
      <c r="E27" s="76">
        <v>7</v>
      </c>
      <c r="F27" s="76">
        <v>1</v>
      </c>
      <c r="G27" s="76">
        <v>7</v>
      </c>
      <c r="H27" s="76">
        <v>0</v>
      </c>
      <c r="I27" s="13">
        <v>9</v>
      </c>
      <c r="J27" s="33">
        <v>11908033</v>
      </c>
      <c r="K27" s="143" t="s">
        <v>23</v>
      </c>
      <c r="L27" s="34"/>
      <c r="M27" s="18">
        <v>4963087.8</v>
      </c>
      <c r="N27" s="56">
        <v>8</v>
      </c>
      <c r="O27" s="57">
        <v>45</v>
      </c>
      <c r="P27" s="57">
        <v>548</v>
      </c>
      <c r="Q27" s="58">
        <v>5303</v>
      </c>
      <c r="R27" s="59">
        <v>52434</v>
      </c>
      <c r="V27" s="4"/>
    </row>
    <row r="28" spans="1:22" x14ac:dyDescent="0.15">
      <c r="A28" s="120">
        <v>21</v>
      </c>
      <c r="B28" s="104">
        <v>30093</v>
      </c>
      <c r="C28" s="76">
        <v>1</v>
      </c>
      <c r="D28" s="76">
        <v>8</v>
      </c>
      <c r="E28" s="76">
        <v>5</v>
      </c>
      <c r="F28" s="76">
        <v>1</v>
      </c>
      <c r="G28" s="76">
        <v>9</v>
      </c>
      <c r="H28" s="76">
        <v>6</v>
      </c>
      <c r="I28" s="13">
        <v>2</v>
      </c>
      <c r="J28" s="33">
        <v>11452703</v>
      </c>
      <c r="K28" s="143" t="s">
        <v>23</v>
      </c>
      <c r="L28" s="34"/>
      <c r="M28" s="18">
        <v>5852962.7999999998</v>
      </c>
      <c r="N28" s="56">
        <v>11</v>
      </c>
      <c r="O28" s="57">
        <v>51</v>
      </c>
      <c r="P28" s="57">
        <v>528</v>
      </c>
      <c r="Q28" s="58">
        <v>5350</v>
      </c>
      <c r="R28" s="59">
        <v>51792</v>
      </c>
      <c r="V28" s="4"/>
    </row>
    <row r="29" spans="1:22" x14ac:dyDescent="0.15">
      <c r="A29" s="120">
        <v>22</v>
      </c>
      <c r="B29" s="104">
        <v>30100</v>
      </c>
      <c r="C29" s="76">
        <v>1</v>
      </c>
      <c r="D29" s="76">
        <v>0</v>
      </c>
      <c r="E29" s="76">
        <v>5</v>
      </c>
      <c r="F29" s="76">
        <v>4</v>
      </c>
      <c r="G29" s="76">
        <v>6</v>
      </c>
      <c r="H29" s="76">
        <v>4</v>
      </c>
      <c r="I29" s="13">
        <v>3</v>
      </c>
      <c r="J29" s="33">
        <v>12269483</v>
      </c>
      <c r="K29" s="143">
        <v>1</v>
      </c>
      <c r="L29" s="34">
        <v>3555555.4</v>
      </c>
      <c r="M29" s="34">
        <v>3250746.2</v>
      </c>
      <c r="N29" s="56">
        <v>2</v>
      </c>
      <c r="O29" s="57">
        <v>49</v>
      </c>
      <c r="P29" s="57">
        <v>591</v>
      </c>
      <c r="Q29" s="58">
        <v>5606</v>
      </c>
      <c r="R29" s="59">
        <v>55850</v>
      </c>
      <c r="V29" s="4"/>
    </row>
    <row r="30" spans="1:22" x14ac:dyDescent="0.15">
      <c r="A30" s="120">
        <v>23</v>
      </c>
      <c r="B30" s="104">
        <v>30107</v>
      </c>
      <c r="C30" s="76">
        <v>7</v>
      </c>
      <c r="D30" s="76">
        <v>7</v>
      </c>
      <c r="E30" s="76">
        <v>1</v>
      </c>
      <c r="F30" s="76">
        <v>6</v>
      </c>
      <c r="G30" s="76">
        <v>5</v>
      </c>
      <c r="H30" s="76">
        <v>2</v>
      </c>
      <c r="I30" s="13">
        <v>9</v>
      </c>
      <c r="J30" s="33">
        <v>12966270</v>
      </c>
      <c r="K30" s="143" t="s">
        <v>23</v>
      </c>
      <c r="L30" s="34"/>
      <c r="M30" s="18">
        <v>4258225.4000000004</v>
      </c>
      <c r="N30" s="56">
        <v>5</v>
      </c>
      <c r="O30" s="57">
        <v>48</v>
      </c>
      <c r="P30" s="57">
        <v>626</v>
      </c>
      <c r="Q30" s="58">
        <v>5952</v>
      </c>
      <c r="R30" s="59">
        <v>60070</v>
      </c>
      <c r="V30" s="4"/>
    </row>
    <row r="31" spans="1:22" x14ac:dyDescent="0.15">
      <c r="A31" s="120">
        <v>24</v>
      </c>
      <c r="B31" s="104">
        <v>30114</v>
      </c>
      <c r="C31" s="76">
        <v>5</v>
      </c>
      <c r="D31" s="76">
        <v>0</v>
      </c>
      <c r="E31" s="76">
        <v>1</v>
      </c>
      <c r="F31" s="76">
        <v>5</v>
      </c>
      <c r="G31" s="76">
        <v>3</v>
      </c>
      <c r="H31" s="76">
        <v>9</v>
      </c>
      <c r="I31" s="13">
        <v>9</v>
      </c>
      <c r="J31" s="33">
        <v>11320260</v>
      </c>
      <c r="K31" s="143" t="s">
        <v>23</v>
      </c>
      <c r="L31" s="34"/>
      <c r="M31" s="18">
        <v>5137809.5999999996</v>
      </c>
      <c r="N31" s="56">
        <v>2</v>
      </c>
      <c r="O31" s="57">
        <v>43</v>
      </c>
      <c r="P31" s="57">
        <v>487</v>
      </c>
      <c r="Q31" s="58">
        <v>5033</v>
      </c>
      <c r="R31" s="59">
        <v>50540</v>
      </c>
      <c r="V31" s="4"/>
    </row>
    <row r="32" spans="1:22" x14ac:dyDescent="0.15">
      <c r="A32" s="120">
        <v>25</v>
      </c>
      <c r="B32" s="104">
        <v>30121</v>
      </c>
      <c r="C32" s="76">
        <v>4</v>
      </c>
      <c r="D32" s="76">
        <v>8</v>
      </c>
      <c r="E32" s="76">
        <v>7</v>
      </c>
      <c r="F32" s="76">
        <v>4</v>
      </c>
      <c r="G32" s="76">
        <v>5</v>
      </c>
      <c r="H32" s="76">
        <v>6</v>
      </c>
      <c r="I32" s="13">
        <v>6</v>
      </c>
      <c r="J32" s="33">
        <v>11331452</v>
      </c>
      <c r="K32" s="143">
        <v>1</v>
      </c>
      <c r="L32" s="34">
        <v>3555555.4</v>
      </c>
      <c r="M32" s="18">
        <v>2462708</v>
      </c>
      <c r="N32" s="56">
        <v>4</v>
      </c>
      <c r="O32" s="57">
        <v>57</v>
      </c>
      <c r="P32" s="57">
        <v>539</v>
      </c>
      <c r="Q32" s="58">
        <v>5008</v>
      </c>
      <c r="R32" s="59">
        <v>51613</v>
      </c>
      <c r="V32" s="4"/>
    </row>
    <row r="33" spans="1:22" x14ac:dyDescent="0.15">
      <c r="A33" s="120">
        <v>26</v>
      </c>
      <c r="B33" s="104">
        <v>30128</v>
      </c>
      <c r="C33" s="76">
        <v>3</v>
      </c>
      <c r="D33" s="76">
        <v>4</v>
      </c>
      <c r="E33" s="76">
        <v>0</v>
      </c>
      <c r="F33" s="76">
        <v>1</v>
      </c>
      <c r="G33" s="76">
        <v>3</v>
      </c>
      <c r="H33" s="76">
        <v>4</v>
      </c>
      <c r="I33" s="13">
        <v>5</v>
      </c>
      <c r="J33" s="33">
        <v>11221120</v>
      </c>
      <c r="K33" s="143">
        <v>1</v>
      </c>
      <c r="L33" s="34">
        <v>3155555.4</v>
      </c>
      <c r="M33" s="18">
        <v>179033.60000000001</v>
      </c>
      <c r="N33" s="56">
        <v>3</v>
      </c>
      <c r="O33" s="57">
        <v>49</v>
      </c>
      <c r="P33" s="57">
        <v>517</v>
      </c>
      <c r="Q33" s="58">
        <v>5033</v>
      </c>
      <c r="R33" s="59">
        <v>51322</v>
      </c>
      <c r="V33" s="4"/>
    </row>
    <row r="34" spans="1:22" x14ac:dyDescent="0.15">
      <c r="A34" s="120">
        <v>27</v>
      </c>
      <c r="B34" s="104">
        <v>30135</v>
      </c>
      <c r="C34" s="76">
        <v>3</v>
      </c>
      <c r="D34" s="76">
        <v>7</v>
      </c>
      <c r="E34" s="76">
        <v>4</v>
      </c>
      <c r="F34" s="76">
        <v>2</v>
      </c>
      <c r="G34" s="76">
        <v>7</v>
      </c>
      <c r="H34" s="76">
        <v>2</v>
      </c>
      <c r="I34" s="113">
        <v>2</v>
      </c>
      <c r="J34" s="116">
        <v>11426984</v>
      </c>
      <c r="K34" s="143" t="s">
        <v>23</v>
      </c>
      <c r="L34" s="34"/>
      <c r="M34" s="117">
        <v>1066910.3</v>
      </c>
      <c r="N34" s="80">
        <v>7</v>
      </c>
      <c r="O34" s="118">
        <v>57</v>
      </c>
      <c r="P34" s="118">
        <v>491</v>
      </c>
      <c r="Q34" s="119">
        <v>5065</v>
      </c>
      <c r="R34" s="138">
        <v>50396</v>
      </c>
      <c r="V34" s="4"/>
    </row>
    <row r="35" spans="1:22" x14ac:dyDescent="0.15">
      <c r="A35" s="120">
        <v>28</v>
      </c>
      <c r="B35" s="104">
        <v>30142</v>
      </c>
      <c r="C35" s="76">
        <v>8</v>
      </c>
      <c r="D35" s="76">
        <v>2</v>
      </c>
      <c r="E35" s="76">
        <v>3</v>
      </c>
      <c r="F35" s="76">
        <v>1</v>
      </c>
      <c r="G35" s="76">
        <v>0</v>
      </c>
      <c r="H35" s="76">
        <v>7</v>
      </c>
      <c r="I35" s="13">
        <v>9</v>
      </c>
      <c r="J35" s="33">
        <v>10915702</v>
      </c>
      <c r="K35" s="143" t="s">
        <v>23</v>
      </c>
      <c r="L35" s="34"/>
      <c r="M35" s="18">
        <v>1915060.3</v>
      </c>
      <c r="N35" s="56">
        <v>7</v>
      </c>
      <c r="O35" s="57">
        <v>52</v>
      </c>
      <c r="P35" s="57">
        <v>494</v>
      </c>
      <c r="Q35" s="58">
        <v>4794</v>
      </c>
      <c r="R35" s="59">
        <v>49512</v>
      </c>
      <c r="V35" s="4"/>
    </row>
    <row r="36" spans="1:22" x14ac:dyDescent="0.15">
      <c r="A36" s="120">
        <v>29</v>
      </c>
      <c r="B36" s="104">
        <v>30149</v>
      </c>
      <c r="C36" s="76">
        <v>4</v>
      </c>
      <c r="D36" s="76">
        <v>8</v>
      </c>
      <c r="E36" s="76">
        <v>8</v>
      </c>
      <c r="F36" s="76">
        <v>6</v>
      </c>
      <c r="G36" s="76">
        <v>4</v>
      </c>
      <c r="H36" s="76">
        <v>0</v>
      </c>
      <c r="I36" s="113">
        <v>8</v>
      </c>
      <c r="J36" s="116">
        <v>10841714</v>
      </c>
      <c r="K36" s="143">
        <v>1</v>
      </c>
      <c r="L36" s="34">
        <v>2755555.4</v>
      </c>
      <c r="M36" s="34">
        <v>1906.1</v>
      </c>
      <c r="N36" s="80">
        <v>4</v>
      </c>
      <c r="O36" s="118">
        <v>49</v>
      </c>
      <c r="P36" s="118">
        <v>488</v>
      </c>
      <c r="Q36" s="119">
        <v>4739</v>
      </c>
      <c r="R36" s="138">
        <v>46522</v>
      </c>
      <c r="V36" s="4"/>
    </row>
    <row r="37" spans="1:22" x14ac:dyDescent="0.15">
      <c r="A37" s="120">
        <v>30</v>
      </c>
      <c r="B37" s="104">
        <v>30156</v>
      </c>
      <c r="C37" s="76">
        <v>3</v>
      </c>
      <c r="D37" s="76">
        <v>1</v>
      </c>
      <c r="E37" s="76">
        <v>4</v>
      </c>
      <c r="F37" s="76">
        <v>8</v>
      </c>
      <c r="G37" s="76">
        <v>7</v>
      </c>
      <c r="H37" s="76">
        <v>2</v>
      </c>
      <c r="I37" s="13">
        <v>7</v>
      </c>
      <c r="J37" s="33">
        <v>10816656</v>
      </c>
      <c r="K37" s="143">
        <v>2</v>
      </c>
      <c r="L37" s="34">
        <v>355555.4</v>
      </c>
      <c r="M37" s="18">
        <v>131249.5</v>
      </c>
      <c r="N37" s="56">
        <v>5</v>
      </c>
      <c r="O37" s="57">
        <v>38</v>
      </c>
      <c r="P37" s="57">
        <v>498</v>
      </c>
      <c r="Q37" s="58">
        <v>5055</v>
      </c>
      <c r="R37" s="59">
        <v>49548</v>
      </c>
      <c r="V37" s="4"/>
    </row>
    <row r="38" spans="1:22" x14ac:dyDescent="0.15">
      <c r="A38" s="120">
        <v>31</v>
      </c>
      <c r="B38" s="104">
        <v>30163</v>
      </c>
      <c r="C38" s="76">
        <v>8</v>
      </c>
      <c r="D38" s="76">
        <v>3</v>
      </c>
      <c r="E38" s="76">
        <v>4</v>
      </c>
      <c r="F38" s="76">
        <v>2</v>
      </c>
      <c r="G38" s="76">
        <v>8</v>
      </c>
      <c r="H38" s="76">
        <v>7</v>
      </c>
      <c r="I38" s="13">
        <v>6</v>
      </c>
      <c r="J38" s="33">
        <v>10885834</v>
      </c>
      <c r="K38" s="143" t="s">
        <v>23</v>
      </c>
      <c r="L38" s="34"/>
      <c r="M38" s="18">
        <v>977078.8</v>
      </c>
      <c r="N38" s="56">
        <v>5</v>
      </c>
      <c r="O38" s="57">
        <v>60</v>
      </c>
      <c r="P38" s="57">
        <v>508</v>
      </c>
      <c r="Q38" s="58">
        <v>5249</v>
      </c>
      <c r="R38" s="59">
        <v>49843</v>
      </c>
      <c r="V38" s="4"/>
    </row>
    <row r="39" spans="1:22" x14ac:dyDescent="0.15">
      <c r="A39" s="120">
        <v>32</v>
      </c>
      <c r="B39" s="104">
        <v>30170</v>
      </c>
      <c r="C39" s="76">
        <v>6</v>
      </c>
      <c r="D39" s="76">
        <v>4</v>
      </c>
      <c r="E39" s="76">
        <v>4</v>
      </c>
      <c r="F39" s="76">
        <v>3</v>
      </c>
      <c r="G39" s="76">
        <v>0</v>
      </c>
      <c r="H39" s="76">
        <v>0</v>
      </c>
      <c r="I39" s="13">
        <v>0</v>
      </c>
      <c r="J39" s="33">
        <v>10818740</v>
      </c>
      <c r="K39" s="143" t="s">
        <v>23</v>
      </c>
      <c r="L39" s="34"/>
      <c r="M39" s="18">
        <v>1817694.9</v>
      </c>
      <c r="N39" s="56">
        <v>4</v>
      </c>
      <c r="O39" s="57">
        <v>44</v>
      </c>
      <c r="P39" s="57">
        <v>471</v>
      </c>
      <c r="Q39" s="58">
        <v>4462</v>
      </c>
      <c r="R39" s="59">
        <v>47041</v>
      </c>
      <c r="V39" s="4"/>
    </row>
    <row r="40" spans="1:22" x14ac:dyDescent="0.15">
      <c r="A40" s="120">
        <v>33</v>
      </c>
      <c r="B40" s="104">
        <v>30177</v>
      </c>
      <c r="C40" s="76">
        <v>3</v>
      </c>
      <c r="D40" s="76">
        <v>8</v>
      </c>
      <c r="E40" s="76">
        <v>1</v>
      </c>
      <c r="F40" s="76">
        <v>3</v>
      </c>
      <c r="G40" s="76">
        <v>6</v>
      </c>
      <c r="H40" s="76">
        <v>1</v>
      </c>
      <c r="I40" s="13">
        <v>9</v>
      </c>
      <c r="J40" s="33">
        <v>11137726</v>
      </c>
      <c r="K40" s="143">
        <v>1</v>
      </c>
      <c r="L40" s="34">
        <v>2555555.4</v>
      </c>
      <c r="M40" s="18">
        <v>127540.8</v>
      </c>
      <c r="N40" s="56">
        <v>2</v>
      </c>
      <c r="O40" s="57">
        <v>41</v>
      </c>
      <c r="P40" s="57">
        <v>495</v>
      </c>
      <c r="Q40" s="58">
        <v>5144</v>
      </c>
      <c r="R40" s="59">
        <v>50381</v>
      </c>
      <c r="V40" s="4"/>
    </row>
    <row r="41" spans="1:22" x14ac:dyDescent="0.15">
      <c r="A41" s="120">
        <v>34</v>
      </c>
      <c r="B41" s="104">
        <v>30184</v>
      </c>
      <c r="C41" s="76">
        <v>2</v>
      </c>
      <c r="D41" s="76">
        <v>4</v>
      </c>
      <c r="E41" s="76">
        <v>9</v>
      </c>
      <c r="F41" s="76">
        <v>1</v>
      </c>
      <c r="G41" s="76">
        <v>2</v>
      </c>
      <c r="H41" s="14">
        <v>7</v>
      </c>
      <c r="I41" s="14">
        <v>7</v>
      </c>
      <c r="J41" s="33">
        <v>11279548</v>
      </c>
      <c r="K41" s="143">
        <v>2</v>
      </c>
      <c r="L41" s="34">
        <v>355555.4</v>
      </c>
      <c r="M41" s="18">
        <v>292850.90000000002</v>
      </c>
      <c r="N41" s="56">
        <v>9</v>
      </c>
      <c r="O41" s="57">
        <v>67</v>
      </c>
      <c r="P41" s="57">
        <v>490</v>
      </c>
      <c r="Q41" s="58">
        <v>5151</v>
      </c>
      <c r="R41" s="59">
        <v>52454</v>
      </c>
      <c r="V41" s="4"/>
    </row>
    <row r="42" spans="1:22" s="90" customFormat="1" x14ac:dyDescent="0.15">
      <c r="A42" s="120">
        <v>35</v>
      </c>
      <c r="B42" s="104">
        <v>30191</v>
      </c>
      <c r="C42" s="76">
        <v>0</v>
      </c>
      <c r="D42" s="76">
        <v>7</v>
      </c>
      <c r="E42" s="76">
        <v>4</v>
      </c>
      <c r="F42" s="76">
        <v>1</v>
      </c>
      <c r="G42" s="76">
        <v>6</v>
      </c>
      <c r="H42" s="115">
        <v>2</v>
      </c>
      <c r="I42" s="13">
        <v>8</v>
      </c>
      <c r="J42" s="116">
        <v>11501476</v>
      </c>
      <c r="K42" s="190">
        <v>1</v>
      </c>
      <c r="L42" s="34">
        <v>1155555.3999999999</v>
      </c>
      <c r="M42" s="34">
        <v>30960.2</v>
      </c>
      <c r="N42" s="56">
        <v>12</v>
      </c>
      <c r="O42" s="57">
        <v>73</v>
      </c>
      <c r="P42" s="57">
        <v>504</v>
      </c>
      <c r="Q42" s="58">
        <v>5077</v>
      </c>
      <c r="R42" s="59">
        <v>51006</v>
      </c>
      <c r="S42" s="91"/>
      <c r="V42" s="100"/>
    </row>
    <row r="43" spans="1:22" s="90" customFormat="1" x14ac:dyDescent="0.15">
      <c r="A43" s="120">
        <v>36</v>
      </c>
      <c r="B43" s="104">
        <v>30198</v>
      </c>
      <c r="C43" s="103">
        <v>0</v>
      </c>
      <c r="D43" s="103">
        <v>4</v>
      </c>
      <c r="E43" s="103">
        <v>4</v>
      </c>
      <c r="F43" s="103">
        <v>7</v>
      </c>
      <c r="G43" s="103">
        <v>2</v>
      </c>
      <c r="H43" s="115">
        <v>7</v>
      </c>
      <c r="I43" s="113">
        <v>8</v>
      </c>
      <c r="J43" s="116">
        <v>14828966</v>
      </c>
      <c r="K43" s="191" t="s">
        <v>23</v>
      </c>
      <c r="L43" s="34"/>
      <c r="M43" s="18">
        <v>1183170.8999999999</v>
      </c>
      <c r="N43" s="56">
        <v>5</v>
      </c>
      <c r="O43" s="57">
        <v>77</v>
      </c>
      <c r="P43" s="57">
        <v>675</v>
      </c>
      <c r="Q43" s="58">
        <v>6598</v>
      </c>
      <c r="R43" s="59">
        <v>65841</v>
      </c>
      <c r="S43" s="91"/>
      <c r="V43" s="100"/>
    </row>
    <row r="44" spans="1:22" s="90" customFormat="1" x14ac:dyDescent="0.15">
      <c r="A44" s="120">
        <v>37</v>
      </c>
      <c r="B44" s="104">
        <v>30205</v>
      </c>
      <c r="C44" s="109">
        <v>8</v>
      </c>
      <c r="D44" s="110">
        <v>4</v>
      </c>
      <c r="E44" s="110">
        <v>5</v>
      </c>
      <c r="F44" s="110">
        <v>4</v>
      </c>
      <c r="G44" s="110">
        <v>2</v>
      </c>
      <c r="H44" s="110">
        <v>4</v>
      </c>
      <c r="I44" s="13">
        <v>4</v>
      </c>
      <c r="J44" s="33">
        <v>12785268</v>
      </c>
      <c r="K44" s="190" t="s">
        <v>23</v>
      </c>
      <c r="L44" s="34"/>
      <c r="M44" s="18">
        <v>2176586.2000000002</v>
      </c>
      <c r="N44" s="56">
        <v>7</v>
      </c>
      <c r="O44" s="57">
        <v>55</v>
      </c>
      <c r="P44" s="57">
        <v>565</v>
      </c>
      <c r="Q44" s="58">
        <v>5695</v>
      </c>
      <c r="R44" s="59">
        <v>57870</v>
      </c>
      <c r="S44" s="91"/>
      <c r="V44" s="100"/>
    </row>
    <row r="45" spans="1:22" s="90" customFormat="1" x14ac:dyDescent="0.15">
      <c r="A45" s="120">
        <v>38</v>
      </c>
      <c r="B45" s="104">
        <v>30212</v>
      </c>
      <c r="C45" s="76">
        <v>6</v>
      </c>
      <c r="D45" s="76">
        <v>3</v>
      </c>
      <c r="E45" s="76">
        <v>0</v>
      </c>
      <c r="F45" s="76">
        <v>0</v>
      </c>
      <c r="G45" s="76">
        <v>6</v>
      </c>
      <c r="H45" s="76">
        <v>2</v>
      </c>
      <c r="I45" s="13">
        <v>1</v>
      </c>
      <c r="J45" s="33">
        <v>12708588</v>
      </c>
      <c r="K45" s="190">
        <v>1</v>
      </c>
      <c r="L45" s="34">
        <v>3155555.4</v>
      </c>
      <c r="M45" s="18">
        <v>8488.1</v>
      </c>
      <c r="N45" s="56">
        <v>4</v>
      </c>
      <c r="O45" s="57">
        <v>58</v>
      </c>
      <c r="P45" s="57">
        <v>565</v>
      </c>
      <c r="Q45" s="58">
        <v>5774</v>
      </c>
      <c r="R45" s="59">
        <v>57900</v>
      </c>
      <c r="S45" s="91"/>
      <c r="V45" s="100"/>
    </row>
    <row r="46" spans="1:22" s="90" customFormat="1" x14ac:dyDescent="0.15">
      <c r="A46" s="120">
        <v>39</v>
      </c>
      <c r="B46" s="104">
        <v>30219</v>
      </c>
      <c r="C46" s="76">
        <v>7</v>
      </c>
      <c r="D46" s="76">
        <v>5</v>
      </c>
      <c r="E46" s="76">
        <v>0</v>
      </c>
      <c r="F46" s="76">
        <v>8</v>
      </c>
      <c r="G46" s="76">
        <v>6</v>
      </c>
      <c r="H46" s="76">
        <v>8</v>
      </c>
      <c r="I46" s="13">
        <v>7</v>
      </c>
      <c r="J46" s="33">
        <v>12729418</v>
      </c>
      <c r="K46" s="190" t="s">
        <v>23</v>
      </c>
      <c r="L46" s="34"/>
      <c r="M46" s="18">
        <v>997563.9</v>
      </c>
      <c r="N46" s="56">
        <v>6</v>
      </c>
      <c r="O46" s="57">
        <v>51</v>
      </c>
      <c r="P46" s="57">
        <v>595</v>
      </c>
      <c r="Q46" s="58">
        <v>5766</v>
      </c>
      <c r="R46" s="59">
        <v>58148</v>
      </c>
      <c r="S46" s="91"/>
      <c r="V46" s="100"/>
    </row>
    <row r="47" spans="1:22" s="90" customFormat="1" x14ac:dyDescent="0.15">
      <c r="A47" s="120">
        <v>40</v>
      </c>
      <c r="B47" s="104">
        <v>30226</v>
      </c>
      <c r="C47" s="76">
        <v>6</v>
      </c>
      <c r="D47" s="76">
        <v>9</v>
      </c>
      <c r="E47" s="76">
        <v>0</v>
      </c>
      <c r="F47" s="76">
        <v>0</v>
      </c>
      <c r="G47" s="76">
        <v>1</v>
      </c>
      <c r="H47" s="76">
        <v>9</v>
      </c>
      <c r="I47" s="13">
        <v>2</v>
      </c>
      <c r="J47" s="33">
        <v>12715420</v>
      </c>
      <c r="K47" s="190" t="s">
        <v>23</v>
      </c>
      <c r="L47" s="34"/>
      <c r="M47" s="18">
        <v>1985552</v>
      </c>
      <c r="N47" s="56">
        <v>5</v>
      </c>
      <c r="O47" s="57">
        <v>55</v>
      </c>
      <c r="P47" s="57">
        <v>557</v>
      </c>
      <c r="Q47" s="58">
        <v>5729</v>
      </c>
      <c r="R47" s="59">
        <v>57063</v>
      </c>
      <c r="S47" s="91"/>
      <c r="V47" s="100"/>
    </row>
    <row r="48" spans="1:22" s="90" customFormat="1" x14ac:dyDescent="0.15">
      <c r="A48" s="120">
        <v>41</v>
      </c>
      <c r="B48" s="104">
        <v>30233</v>
      </c>
      <c r="C48" s="76">
        <v>6</v>
      </c>
      <c r="D48" s="76">
        <v>2</v>
      </c>
      <c r="E48" s="76">
        <v>0</v>
      </c>
      <c r="F48" s="76">
        <v>8</v>
      </c>
      <c r="G48" s="76">
        <v>1</v>
      </c>
      <c r="H48" s="76">
        <v>0</v>
      </c>
      <c r="I48" s="13">
        <v>7</v>
      </c>
      <c r="J48" s="33">
        <v>12754886</v>
      </c>
      <c r="K48" s="190" t="s">
        <v>23</v>
      </c>
      <c r="L48" s="34"/>
      <c r="M48" s="18">
        <v>2976606.6</v>
      </c>
      <c r="N48" s="56">
        <v>12</v>
      </c>
      <c r="O48" s="57">
        <v>50</v>
      </c>
      <c r="P48" s="57">
        <v>601</v>
      </c>
      <c r="Q48" s="58">
        <v>5598</v>
      </c>
      <c r="R48" s="59">
        <v>56380</v>
      </c>
      <c r="S48" s="91"/>
      <c r="V48" s="100"/>
    </row>
    <row r="49" spans="1:22" s="90" customFormat="1" x14ac:dyDescent="0.15">
      <c r="A49" s="120">
        <v>42</v>
      </c>
      <c r="B49" s="104">
        <v>30240</v>
      </c>
      <c r="C49" s="76">
        <v>0</v>
      </c>
      <c r="D49" s="76">
        <v>8</v>
      </c>
      <c r="E49" s="76">
        <v>2</v>
      </c>
      <c r="F49" s="76">
        <v>8</v>
      </c>
      <c r="G49" s="76">
        <v>1</v>
      </c>
      <c r="H49" s="76">
        <v>4</v>
      </c>
      <c r="I49" s="13">
        <v>9</v>
      </c>
      <c r="J49" s="33">
        <v>12771730</v>
      </c>
      <c r="K49" s="190">
        <v>1</v>
      </c>
      <c r="L49" s="34">
        <v>3555555.4</v>
      </c>
      <c r="M49" s="18">
        <v>413414.6</v>
      </c>
      <c r="N49" s="56">
        <v>6</v>
      </c>
      <c r="O49" s="57">
        <v>69</v>
      </c>
      <c r="P49" s="57">
        <v>615</v>
      </c>
      <c r="Q49" s="58">
        <v>5795</v>
      </c>
      <c r="R49" s="59">
        <v>58937</v>
      </c>
      <c r="S49" s="91"/>
      <c r="V49" s="100"/>
    </row>
    <row r="50" spans="1:22" s="90" customFormat="1" x14ac:dyDescent="0.15">
      <c r="A50" s="120">
        <v>43</v>
      </c>
      <c r="B50" s="104">
        <v>30247</v>
      </c>
      <c r="C50" s="76">
        <v>5</v>
      </c>
      <c r="D50" s="76">
        <v>6</v>
      </c>
      <c r="E50" s="76">
        <v>7</v>
      </c>
      <c r="F50" s="76">
        <v>0</v>
      </c>
      <c r="G50" s="76">
        <v>1</v>
      </c>
      <c r="H50" s="76">
        <v>9</v>
      </c>
      <c r="I50" s="13">
        <v>0</v>
      </c>
      <c r="J50" s="33">
        <v>13075322</v>
      </c>
      <c r="K50" s="190" t="s">
        <v>23</v>
      </c>
      <c r="L50" s="34"/>
      <c r="M50" s="18">
        <v>1429367.1</v>
      </c>
      <c r="N50" s="56">
        <v>3</v>
      </c>
      <c r="O50" s="57">
        <v>59</v>
      </c>
      <c r="P50" s="57">
        <v>560</v>
      </c>
      <c r="Q50" s="58">
        <v>5582</v>
      </c>
      <c r="R50" s="59">
        <v>56554</v>
      </c>
      <c r="S50" s="91"/>
      <c r="V50" s="100"/>
    </row>
    <row r="51" spans="1:22" s="90" customFormat="1" x14ac:dyDescent="0.15">
      <c r="A51" s="120">
        <v>44</v>
      </c>
      <c r="B51" s="104">
        <v>30254</v>
      </c>
      <c r="C51" s="76">
        <v>8</v>
      </c>
      <c r="D51" s="76">
        <v>3</v>
      </c>
      <c r="E51" s="76">
        <v>2</v>
      </c>
      <c r="F51" s="76">
        <v>2</v>
      </c>
      <c r="G51" s="76">
        <v>6</v>
      </c>
      <c r="H51" s="76">
        <v>6</v>
      </c>
      <c r="I51" s="13">
        <v>9</v>
      </c>
      <c r="J51" s="33">
        <v>13419606</v>
      </c>
      <c r="K51" s="190" t="s">
        <v>23</v>
      </c>
      <c r="L51" s="34"/>
      <c r="M51" s="34">
        <v>2472070.5</v>
      </c>
      <c r="N51" s="56">
        <v>8</v>
      </c>
      <c r="O51" s="57">
        <v>58</v>
      </c>
      <c r="P51" s="57">
        <v>580</v>
      </c>
      <c r="Q51" s="58">
        <v>6159</v>
      </c>
      <c r="R51" s="59">
        <v>61298</v>
      </c>
      <c r="S51" s="91"/>
      <c r="V51" s="100"/>
    </row>
    <row r="52" spans="1:22" s="90" customFormat="1" x14ac:dyDescent="0.15">
      <c r="A52" s="120">
        <v>45</v>
      </c>
      <c r="B52" s="104">
        <v>30261</v>
      </c>
      <c r="C52" s="76">
        <v>4</v>
      </c>
      <c r="D52" s="76">
        <v>6</v>
      </c>
      <c r="E52" s="76">
        <v>6</v>
      </c>
      <c r="F52" s="76">
        <v>3</v>
      </c>
      <c r="G52" s="76">
        <v>1</v>
      </c>
      <c r="H52" s="76">
        <v>4</v>
      </c>
      <c r="I52" s="13">
        <v>7</v>
      </c>
      <c r="J52" s="116">
        <v>13437602</v>
      </c>
      <c r="K52" s="190" t="s">
        <v>23</v>
      </c>
      <c r="L52" s="34"/>
      <c r="M52" s="18">
        <v>3516172.2</v>
      </c>
      <c r="N52" s="56">
        <v>8</v>
      </c>
      <c r="O52" s="57">
        <v>54</v>
      </c>
      <c r="P52" s="57">
        <v>661</v>
      </c>
      <c r="Q52" s="58">
        <v>6131</v>
      </c>
      <c r="R52" s="59">
        <v>61709</v>
      </c>
      <c r="S52" s="91"/>
    </row>
    <row r="53" spans="1:22" s="90" customFormat="1" x14ac:dyDescent="0.15">
      <c r="A53" s="120">
        <v>46</v>
      </c>
      <c r="B53" s="104">
        <v>30268</v>
      </c>
      <c r="C53" s="76">
        <v>0</v>
      </c>
      <c r="D53" s="76">
        <v>4</v>
      </c>
      <c r="E53" s="76">
        <v>6</v>
      </c>
      <c r="F53" s="76">
        <v>9</v>
      </c>
      <c r="G53" s="76">
        <v>9</v>
      </c>
      <c r="H53" s="76">
        <v>1</v>
      </c>
      <c r="I53" s="13">
        <v>1</v>
      </c>
      <c r="J53" s="116">
        <v>13567438</v>
      </c>
      <c r="K53" s="190">
        <v>1</v>
      </c>
      <c r="L53" s="34">
        <v>3555555.4</v>
      </c>
      <c r="M53" s="18">
        <v>1014806.7</v>
      </c>
      <c r="N53" s="56">
        <v>6</v>
      </c>
      <c r="O53" s="57">
        <v>64</v>
      </c>
      <c r="P53" s="57">
        <v>611</v>
      </c>
      <c r="Q53" s="58">
        <v>6191</v>
      </c>
      <c r="R53" s="59">
        <v>61643</v>
      </c>
      <c r="S53" s="91"/>
    </row>
    <row r="54" spans="1:22" s="90" customFormat="1" x14ac:dyDescent="0.15">
      <c r="A54" s="120">
        <v>47</v>
      </c>
      <c r="B54" s="104">
        <v>30275</v>
      </c>
      <c r="C54" s="76">
        <v>5</v>
      </c>
      <c r="D54" s="76">
        <v>5</v>
      </c>
      <c r="E54" s="76">
        <v>0</v>
      </c>
      <c r="F54" s="76">
        <v>2</v>
      </c>
      <c r="G54" s="76">
        <v>9</v>
      </c>
      <c r="H54" s="76">
        <v>1</v>
      </c>
      <c r="I54" s="13">
        <v>6</v>
      </c>
      <c r="J54" s="33">
        <v>13546028</v>
      </c>
      <c r="K54" s="190" t="s">
        <v>23</v>
      </c>
      <c r="L54" s="34"/>
      <c r="M54" s="34">
        <v>2067333.1</v>
      </c>
      <c r="N54" s="56">
        <v>1</v>
      </c>
      <c r="O54" s="57">
        <v>65</v>
      </c>
      <c r="P54" s="57">
        <v>657</v>
      </c>
      <c r="Q54" s="58">
        <v>5964</v>
      </c>
      <c r="R54" s="59">
        <v>60571</v>
      </c>
      <c r="S54" s="91"/>
    </row>
    <row r="55" spans="1:22" s="90" customFormat="1" x14ac:dyDescent="0.15">
      <c r="A55" s="120">
        <v>48</v>
      </c>
      <c r="B55" s="104">
        <v>30282</v>
      </c>
      <c r="C55" s="76">
        <v>8</v>
      </c>
      <c r="D55" s="76">
        <v>7</v>
      </c>
      <c r="E55" s="76">
        <v>0</v>
      </c>
      <c r="F55" s="76">
        <v>0</v>
      </c>
      <c r="G55" s="76">
        <v>4</v>
      </c>
      <c r="H55" s="76">
        <v>1</v>
      </c>
      <c r="I55" s="13">
        <v>8</v>
      </c>
      <c r="J55" s="33">
        <v>13856468</v>
      </c>
      <c r="K55" s="190">
        <v>1</v>
      </c>
      <c r="L55" s="34">
        <v>2955555.4</v>
      </c>
      <c r="M55" s="18">
        <v>188425.3</v>
      </c>
      <c r="N55" s="56">
        <v>5</v>
      </c>
      <c r="O55" s="57">
        <v>76</v>
      </c>
      <c r="P55" s="57">
        <v>607</v>
      </c>
      <c r="Q55" s="58">
        <v>6316</v>
      </c>
      <c r="R55" s="59">
        <v>62534</v>
      </c>
      <c r="S55" s="91"/>
    </row>
    <row r="56" spans="1:22" s="90" customFormat="1" x14ac:dyDescent="0.15">
      <c r="A56" s="120">
        <v>49</v>
      </c>
      <c r="B56" s="104">
        <v>30289</v>
      </c>
      <c r="C56" s="76">
        <v>9</v>
      </c>
      <c r="D56" s="76">
        <v>2</v>
      </c>
      <c r="E56" s="76">
        <v>7</v>
      </c>
      <c r="F56" s="76">
        <v>3</v>
      </c>
      <c r="G56" s="76">
        <v>0</v>
      </c>
      <c r="H56" s="76">
        <v>9</v>
      </c>
      <c r="I56" s="13">
        <v>2</v>
      </c>
      <c r="J56" s="33">
        <v>19414498</v>
      </c>
      <c r="K56" s="190" t="s">
        <v>23</v>
      </c>
      <c r="L56" s="34"/>
      <c r="M56" s="18">
        <v>1696931.8</v>
      </c>
      <c r="N56" s="56">
        <v>4</v>
      </c>
      <c r="O56" s="57">
        <v>70</v>
      </c>
      <c r="P56" s="57">
        <v>893</v>
      </c>
      <c r="Q56" s="58">
        <v>8658</v>
      </c>
      <c r="R56" s="59">
        <v>88453</v>
      </c>
      <c r="S56" s="91"/>
    </row>
    <row r="57" spans="1:22" s="90" customFormat="1" x14ac:dyDescent="0.15">
      <c r="A57" s="120">
        <v>50</v>
      </c>
      <c r="B57" s="104">
        <v>30296</v>
      </c>
      <c r="C57" s="76">
        <v>6</v>
      </c>
      <c r="D57" s="76">
        <v>9</v>
      </c>
      <c r="E57" s="76">
        <v>8</v>
      </c>
      <c r="F57" s="76">
        <v>7</v>
      </c>
      <c r="G57" s="76">
        <v>0</v>
      </c>
      <c r="H57" s="76">
        <v>3</v>
      </c>
      <c r="I57" s="13">
        <v>6</v>
      </c>
      <c r="J57" s="33">
        <v>14836166</v>
      </c>
      <c r="K57" s="190">
        <v>1</v>
      </c>
      <c r="L57" s="34">
        <v>2755555.4</v>
      </c>
      <c r="M57" s="18">
        <v>94146.5</v>
      </c>
      <c r="N57" s="56">
        <v>8</v>
      </c>
      <c r="O57" s="57">
        <v>52</v>
      </c>
      <c r="P57" s="57">
        <v>660</v>
      </c>
      <c r="Q57" s="58">
        <v>6444</v>
      </c>
      <c r="R57" s="59">
        <v>67330</v>
      </c>
      <c r="S57" s="91"/>
    </row>
    <row r="58" spans="1:22" s="90" customFormat="1" x14ac:dyDescent="0.15">
      <c r="A58" s="120">
        <v>51</v>
      </c>
      <c r="B58" s="104">
        <v>30303</v>
      </c>
      <c r="C58" s="76">
        <v>7</v>
      </c>
      <c r="D58" s="76">
        <v>5</v>
      </c>
      <c r="E58" s="76">
        <v>5</v>
      </c>
      <c r="F58" s="76">
        <v>1</v>
      </c>
      <c r="G58" s="76">
        <v>2</v>
      </c>
      <c r="H58" s="76">
        <v>0</v>
      </c>
      <c r="I58" s="13">
        <v>4</v>
      </c>
      <c r="J58" s="33">
        <v>14912284</v>
      </c>
      <c r="K58" s="190">
        <v>1</v>
      </c>
      <c r="L58" s="34">
        <v>1155555.3999999999</v>
      </c>
      <c r="M58" s="34">
        <v>97275.6</v>
      </c>
      <c r="N58" s="56">
        <v>4</v>
      </c>
      <c r="O58" s="57">
        <v>77</v>
      </c>
      <c r="P58" s="57">
        <v>664</v>
      </c>
      <c r="Q58" s="58">
        <v>6531</v>
      </c>
      <c r="R58" s="59">
        <v>64449</v>
      </c>
      <c r="S58" s="91"/>
    </row>
    <row r="59" spans="1:22" s="90" customFormat="1" x14ac:dyDescent="0.15">
      <c r="A59" s="120">
        <v>52</v>
      </c>
      <c r="B59" s="104">
        <v>30310</v>
      </c>
      <c r="C59" s="76">
        <v>9</v>
      </c>
      <c r="D59" s="76">
        <v>8</v>
      </c>
      <c r="E59" s="76">
        <v>8</v>
      </c>
      <c r="F59" s="76">
        <v>2</v>
      </c>
      <c r="G59" s="76">
        <v>3</v>
      </c>
      <c r="H59" s="76">
        <v>0</v>
      </c>
      <c r="I59" s="13">
        <v>8</v>
      </c>
      <c r="J59" s="33">
        <v>11816602</v>
      </c>
      <c r="K59" s="190" t="s">
        <v>23</v>
      </c>
      <c r="L59" s="34"/>
      <c r="M59" s="34">
        <v>1015425.6</v>
      </c>
      <c r="N59" s="56">
        <v>4</v>
      </c>
      <c r="O59" s="57">
        <v>46</v>
      </c>
      <c r="P59" s="57">
        <v>514</v>
      </c>
      <c r="Q59" s="58">
        <v>5103</v>
      </c>
      <c r="R59" s="59">
        <v>51162</v>
      </c>
      <c r="S59" s="91"/>
    </row>
    <row r="60" spans="1:22" s="122" customFormat="1" x14ac:dyDescent="0.15">
      <c r="A60" s="140" t="s">
        <v>39</v>
      </c>
      <c r="B60" s="273">
        <v>30317</v>
      </c>
      <c r="C60" s="141">
        <v>9</v>
      </c>
      <c r="D60" s="141">
        <v>4</v>
      </c>
      <c r="E60" s="141">
        <v>0</v>
      </c>
      <c r="F60" s="141">
        <v>1</v>
      </c>
      <c r="G60" s="141">
        <v>7</v>
      </c>
      <c r="H60" s="123">
        <v>7</v>
      </c>
      <c r="I60" s="123">
        <v>1</v>
      </c>
      <c r="J60" s="40">
        <v>11467514</v>
      </c>
      <c r="K60" s="192" t="s">
        <v>23</v>
      </c>
      <c r="L60" s="124"/>
      <c r="M60" s="42">
        <v>1906451.4</v>
      </c>
      <c r="N60" s="99">
        <v>7</v>
      </c>
      <c r="O60" s="62">
        <v>58</v>
      </c>
      <c r="P60" s="98">
        <v>517</v>
      </c>
      <c r="Q60" s="63">
        <v>5197</v>
      </c>
      <c r="R60" s="142">
        <v>51842</v>
      </c>
      <c r="S60" s="121"/>
    </row>
    <row r="61" spans="1:22" s="90" customFormat="1" x14ac:dyDescent="0.15">
      <c r="A61" s="101"/>
      <c r="B61" s="265"/>
      <c r="C61" s="97"/>
      <c r="D61" s="97"/>
      <c r="E61" s="97"/>
      <c r="F61" s="97"/>
      <c r="G61" s="97"/>
      <c r="H61" s="97" t="s">
        <v>24</v>
      </c>
      <c r="I61" s="97"/>
      <c r="J61" s="97"/>
      <c r="K61" s="262">
        <f>SUM(K8:K60)</f>
        <v>26</v>
      </c>
      <c r="L61" s="262"/>
      <c r="M61" s="262"/>
      <c r="N61" s="262">
        <f>SUM(N8:N60)</f>
        <v>296</v>
      </c>
      <c r="O61" s="262">
        <f>SUM(O8:O60)</f>
        <v>3119</v>
      </c>
      <c r="P61" s="262">
        <f>SUM(P8:P60)</f>
        <v>31679</v>
      </c>
      <c r="Q61" s="262">
        <f>SUM(Q8:Q60)</f>
        <v>312154</v>
      </c>
      <c r="R61" s="268">
        <f>SUM(R8:R60)</f>
        <v>3127228</v>
      </c>
      <c r="S61" s="91"/>
    </row>
    <row r="62" spans="1:22" s="90" customFormat="1" x14ac:dyDescent="0.15">
      <c r="A62" s="81"/>
      <c r="B62" s="82"/>
      <c r="C62" s="76"/>
      <c r="D62" s="76"/>
      <c r="E62" s="76"/>
      <c r="F62" s="76"/>
      <c r="G62" s="76"/>
      <c r="H62" s="76"/>
      <c r="I62" s="76"/>
      <c r="J62" s="83"/>
      <c r="K62" s="77"/>
      <c r="L62" s="8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103"/>
      <c r="D64" s="103"/>
      <c r="E64" s="103"/>
      <c r="F64" s="103"/>
      <c r="G64" s="103"/>
      <c r="H64" s="103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82"/>
      <c r="C65" s="92"/>
      <c r="D65" s="92"/>
      <c r="E65" s="92"/>
      <c r="F65" s="92"/>
      <c r="G65" s="92"/>
      <c r="H65" s="92"/>
      <c r="I65" s="92"/>
      <c r="J65" s="83"/>
      <c r="K65" s="77"/>
      <c r="L65" s="94"/>
      <c r="M65" s="85"/>
      <c r="N65" s="86"/>
      <c r="O65" s="87"/>
      <c r="P65" s="87"/>
      <c r="Q65" s="88"/>
      <c r="R65" s="89"/>
      <c r="S65" s="91"/>
    </row>
    <row r="66" spans="1:22" s="90" customFormat="1" x14ac:dyDescent="0.15">
      <c r="A66" s="81"/>
      <c r="B66" s="92"/>
      <c r="C66" s="92"/>
      <c r="D66" s="92"/>
      <c r="E66" s="92"/>
      <c r="F66" s="92"/>
      <c r="G66" s="92"/>
      <c r="H66" s="92"/>
      <c r="I66" s="92"/>
      <c r="J66" s="92"/>
      <c r="K66" s="93"/>
      <c r="L66" s="93"/>
      <c r="M66" s="93"/>
      <c r="N66" s="93"/>
      <c r="O66" s="93"/>
      <c r="P66" s="93"/>
      <c r="Q66" s="93"/>
      <c r="R66" s="93"/>
      <c r="S66" s="91"/>
      <c r="V66" s="111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  <row r="174" spans="12:12" s="90" customFormat="1" x14ac:dyDescent="0.15">
      <c r="L174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6" orientation="landscape" horizontalDpi="4294967292" vertic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3"/>
  <sheetViews>
    <sheetView workbookViewId="0">
      <pane ySplit="7" topLeftCell="A23" activePane="bottomLeft" state="frozenSplit"/>
      <selection pane="bottomLeft" activeCell="S1" sqref="S1:S65536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40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 t="s">
        <v>19</v>
      </c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1983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31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32</v>
      </c>
      <c r="L6" s="209"/>
      <c r="M6" s="14" t="s">
        <v>14</v>
      </c>
      <c r="N6" s="75" t="s">
        <v>33</v>
      </c>
      <c r="O6" s="75" t="s">
        <v>34</v>
      </c>
      <c r="P6" s="75" t="s">
        <v>35</v>
      </c>
      <c r="Q6" s="75" t="s">
        <v>36</v>
      </c>
      <c r="R6" s="75" t="s">
        <v>37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120">
        <v>1</v>
      </c>
      <c r="B8" s="104">
        <v>30324</v>
      </c>
      <c r="C8" s="76">
        <v>8</v>
      </c>
      <c r="D8" s="76">
        <v>8</v>
      </c>
      <c r="E8" s="76">
        <v>1</v>
      </c>
      <c r="F8" s="76">
        <v>2</v>
      </c>
      <c r="G8" s="76">
        <v>8</v>
      </c>
      <c r="H8" s="76">
        <v>1</v>
      </c>
      <c r="I8" s="13">
        <v>0</v>
      </c>
      <c r="J8" s="33">
        <v>12162340</v>
      </c>
      <c r="K8" s="143">
        <v>2</v>
      </c>
      <c r="L8" s="34">
        <v>1355555.4</v>
      </c>
      <c r="M8" s="18">
        <v>140354.4</v>
      </c>
      <c r="N8" s="56">
        <v>4</v>
      </c>
      <c r="O8" s="57">
        <v>49</v>
      </c>
      <c r="P8" s="57">
        <v>560</v>
      </c>
      <c r="Q8" s="58">
        <v>5346</v>
      </c>
      <c r="R8" s="59">
        <v>53712</v>
      </c>
      <c r="V8" s="4"/>
    </row>
    <row r="9" spans="1:22" x14ac:dyDescent="0.15">
      <c r="A9" s="120">
        <v>2</v>
      </c>
      <c r="B9" s="104">
        <v>30331</v>
      </c>
      <c r="C9" s="76">
        <v>7</v>
      </c>
      <c r="D9" s="76">
        <v>7</v>
      </c>
      <c r="E9" s="76">
        <v>9</v>
      </c>
      <c r="F9" s="76">
        <v>6</v>
      </c>
      <c r="G9" s="76">
        <v>2</v>
      </c>
      <c r="H9" s="76">
        <v>1</v>
      </c>
      <c r="I9" s="13">
        <v>8</v>
      </c>
      <c r="J9" s="33">
        <v>12795432</v>
      </c>
      <c r="K9" s="143">
        <v>1</v>
      </c>
      <c r="L9" s="34">
        <v>955555.4</v>
      </c>
      <c r="M9" s="34">
        <v>179004.1</v>
      </c>
      <c r="N9" s="56">
        <v>2</v>
      </c>
      <c r="O9" s="57">
        <v>65</v>
      </c>
      <c r="P9" s="57">
        <v>585</v>
      </c>
      <c r="Q9" s="58">
        <v>5717</v>
      </c>
      <c r="R9" s="59">
        <v>57508</v>
      </c>
      <c r="V9" s="4"/>
    </row>
    <row r="10" spans="1:22" x14ac:dyDescent="0.15">
      <c r="A10" s="120">
        <v>3</v>
      </c>
      <c r="B10" s="104">
        <v>30338</v>
      </c>
      <c r="C10" s="76">
        <v>2</v>
      </c>
      <c r="D10" s="76">
        <v>4</v>
      </c>
      <c r="E10" s="76">
        <v>1</v>
      </c>
      <c r="F10" s="76">
        <v>8</v>
      </c>
      <c r="G10" s="76">
        <v>9</v>
      </c>
      <c r="H10" s="76">
        <v>6</v>
      </c>
      <c r="I10" s="13">
        <v>2</v>
      </c>
      <c r="J10" s="33">
        <v>12242818</v>
      </c>
      <c r="K10" s="143" t="s">
        <v>23</v>
      </c>
      <c r="L10" s="34"/>
      <c r="M10" s="18">
        <v>1130271.1000000001</v>
      </c>
      <c r="N10" s="56">
        <v>2</v>
      </c>
      <c r="O10" s="57">
        <v>52</v>
      </c>
      <c r="P10" s="57">
        <v>580</v>
      </c>
      <c r="Q10" s="58">
        <v>5496</v>
      </c>
      <c r="R10" s="59">
        <v>54561</v>
      </c>
      <c r="V10" s="4"/>
    </row>
    <row r="11" spans="1:22" x14ac:dyDescent="0.15">
      <c r="A11" s="120">
        <v>4</v>
      </c>
      <c r="B11" s="104">
        <v>30345</v>
      </c>
      <c r="C11" s="76">
        <v>1</v>
      </c>
      <c r="D11" s="76">
        <v>5</v>
      </c>
      <c r="E11" s="76">
        <v>3</v>
      </c>
      <c r="F11" s="76">
        <v>4</v>
      </c>
      <c r="G11" s="76">
        <v>1</v>
      </c>
      <c r="H11" s="76">
        <v>3</v>
      </c>
      <c r="I11" s="13">
        <v>5</v>
      </c>
      <c r="J11" s="33">
        <v>12257998</v>
      </c>
      <c r="K11" s="143">
        <v>2</v>
      </c>
      <c r="L11" s="34">
        <v>955555.4</v>
      </c>
      <c r="M11" s="34">
        <v>171606.7</v>
      </c>
      <c r="N11" s="56">
        <v>7</v>
      </c>
      <c r="O11" s="57">
        <v>58</v>
      </c>
      <c r="P11" s="57">
        <v>537</v>
      </c>
      <c r="Q11" s="58">
        <v>5538</v>
      </c>
      <c r="R11" s="59">
        <v>56198</v>
      </c>
      <c r="V11" s="4"/>
    </row>
    <row r="12" spans="1:22" x14ac:dyDescent="0.15">
      <c r="A12" s="120">
        <v>5</v>
      </c>
      <c r="B12" s="104">
        <v>30352</v>
      </c>
      <c r="C12" s="76">
        <v>9</v>
      </c>
      <c r="D12" s="76">
        <v>0</v>
      </c>
      <c r="E12" s="76">
        <v>9</v>
      </c>
      <c r="F12" s="76">
        <v>8</v>
      </c>
      <c r="G12" s="76">
        <v>0</v>
      </c>
      <c r="H12" s="76">
        <v>5</v>
      </c>
      <c r="I12" s="13">
        <v>4</v>
      </c>
      <c r="J12" s="33">
        <v>12142747</v>
      </c>
      <c r="K12" s="143" t="s">
        <v>23</v>
      </c>
      <c r="L12" s="34"/>
      <c r="M12" s="18">
        <v>1115098.1000000001</v>
      </c>
      <c r="N12" s="56">
        <v>6</v>
      </c>
      <c r="O12" s="57">
        <v>55</v>
      </c>
      <c r="P12" s="57">
        <v>545</v>
      </c>
      <c r="Q12" s="58">
        <v>5243</v>
      </c>
      <c r="R12" s="59">
        <v>55213</v>
      </c>
      <c r="V12" s="4"/>
    </row>
    <row r="13" spans="1:22" x14ac:dyDescent="0.15">
      <c r="A13" s="120">
        <v>6</v>
      </c>
      <c r="B13" s="104">
        <v>30359</v>
      </c>
      <c r="C13" s="76">
        <v>1</v>
      </c>
      <c r="D13" s="76">
        <v>8</v>
      </c>
      <c r="E13" s="76">
        <v>1</v>
      </c>
      <c r="F13" s="76">
        <v>1</v>
      </c>
      <c r="G13" s="76">
        <v>5</v>
      </c>
      <c r="H13" s="76">
        <v>0</v>
      </c>
      <c r="I13" s="13">
        <v>1</v>
      </c>
      <c r="J13" s="33">
        <v>11955277</v>
      </c>
      <c r="K13" s="143">
        <v>1</v>
      </c>
      <c r="L13" s="34">
        <v>1955555.4</v>
      </c>
      <c r="M13" s="34">
        <v>88467.7</v>
      </c>
      <c r="N13" s="56">
        <v>6</v>
      </c>
      <c r="O13" s="57">
        <v>45</v>
      </c>
      <c r="P13" s="57">
        <v>475</v>
      </c>
      <c r="Q13" s="58">
        <v>4449</v>
      </c>
      <c r="R13" s="59">
        <v>50599</v>
      </c>
      <c r="V13" s="4"/>
    </row>
    <row r="14" spans="1:22" x14ac:dyDescent="0.15">
      <c r="A14" s="120">
        <v>7</v>
      </c>
      <c r="B14" s="104">
        <v>30366</v>
      </c>
      <c r="C14" s="76">
        <v>9</v>
      </c>
      <c r="D14" s="76">
        <v>2</v>
      </c>
      <c r="E14" s="76">
        <v>3</v>
      </c>
      <c r="F14" s="76">
        <v>2</v>
      </c>
      <c r="G14" s="76">
        <v>6</v>
      </c>
      <c r="H14" s="76">
        <v>4</v>
      </c>
      <c r="I14" s="13">
        <v>7</v>
      </c>
      <c r="J14" s="33">
        <v>11907121</v>
      </c>
      <c r="K14" s="143">
        <v>1</v>
      </c>
      <c r="L14" s="34">
        <v>955555.4</v>
      </c>
      <c r="M14" s="18">
        <v>58095.6</v>
      </c>
      <c r="N14" s="56">
        <v>5</v>
      </c>
      <c r="O14" s="57">
        <v>59</v>
      </c>
      <c r="P14" s="57">
        <v>530</v>
      </c>
      <c r="Q14" s="58">
        <v>5524</v>
      </c>
      <c r="R14" s="59">
        <v>54793</v>
      </c>
      <c r="V14" s="4"/>
    </row>
    <row r="15" spans="1:22" x14ac:dyDescent="0.15">
      <c r="A15" s="120">
        <v>8</v>
      </c>
      <c r="B15" s="104">
        <v>30373</v>
      </c>
      <c r="C15" s="76">
        <v>0</v>
      </c>
      <c r="D15" s="76">
        <v>2</v>
      </c>
      <c r="E15" s="76">
        <v>6</v>
      </c>
      <c r="F15" s="76">
        <v>6</v>
      </c>
      <c r="G15" s="76">
        <v>1</v>
      </c>
      <c r="H15" s="76">
        <v>2</v>
      </c>
      <c r="I15" s="13">
        <v>5</v>
      </c>
      <c r="J15" s="33">
        <v>11985123</v>
      </c>
      <c r="K15" s="143" t="s">
        <v>23</v>
      </c>
      <c r="L15" s="34"/>
      <c r="M15" s="18">
        <v>989339.7</v>
      </c>
      <c r="N15" s="56">
        <v>6</v>
      </c>
      <c r="O15" s="57">
        <v>52</v>
      </c>
      <c r="P15" s="57">
        <v>572</v>
      </c>
      <c r="Q15" s="58">
        <v>5585</v>
      </c>
      <c r="R15" s="59">
        <v>55326</v>
      </c>
      <c r="V15" s="4"/>
    </row>
    <row r="16" spans="1:22" x14ac:dyDescent="0.15">
      <c r="A16" s="120">
        <v>9</v>
      </c>
      <c r="B16" s="104">
        <v>30380</v>
      </c>
      <c r="C16" s="76">
        <v>8</v>
      </c>
      <c r="D16" s="76">
        <v>8</v>
      </c>
      <c r="E16" s="76">
        <v>8</v>
      </c>
      <c r="F16" s="76">
        <v>7</v>
      </c>
      <c r="G16" s="76">
        <v>0</v>
      </c>
      <c r="H16" s="76">
        <v>6</v>
      </c>
      <c r="I16" s="13">
        <v>8</v>
      </c>
      <c r="J16" s="33">
        <v>16767554</v>
      </c>
      <c r="K16" s="143" t="s">
        <v>23</v>
      </c>
      <c r="L16" s="34"/>
      <c r="M16" s="18">
        <v>2292178.6</v>
      </c>
      <c r="N16" s="56">
        <v>7</v>
      </c>
      <c r="O16" s="57">
        <v>74</v>
      </c>
      <c r="P16" s="57">
        <v>754</v>
      </c>
      <c r="Q16" s="58">
        <v>7614</v>
      </c>
      <c r="R16" s="59">
        <v>77012</v>
      </c>
      <c r="V16" s="4"/>
    </row>
    <row r="17" spans="1:22" x14ac:dyDescent="0.15">
      <c r="A17" s="120">
        <v>10</v>
      </c>
      <c r="B17" s="104">
        <v>30387</v>
      </c>
      <c r="C17" s="76">
        <v>2</v>
      </c>
      <c r="D17" s="76">
        <v>0</v>
      </c>
      <c r="E17" s="76">
        <v>2</v>
      </c>
      <c r="F17" s="76">
        <v>5</v>
      </c>
      <c r="G17" s="76">
        <v>5</v>
      </c>
      <c r="H17" s="76">
        <v>7</v>
      </c>
      <c r="I17" s="13">
        <v>2</v>
      </c>
      <c r="J17" s="33">
        <v>12484282</v>
      </c>
      <c r="K17" s="143">
        <v>1</v>
      </c>
      <c r="L17" s="34">
        <v>3155555.4</v>
      </c>
      <c r="M17" s="18">
        <v>106651.9</v>
      </c>
      <c r="N17" s="56">
        <v>4</v>
      </c>
      <c r="O17" s="57">
        <v>76</v>
      </c>
      <c r="P17" s="57">
        <v>556</v>
      </c>
      <c r="Q17" s="58">
        <v>5628</v>
      </c>
      <c r="R17" s="59">
        <v>56340</v>
      </c>
      <c r="V17" s="4"/>
    </row>
    <row r="18" spans="1:22" x14ac:dyDescent="0.15">
      <c r="A18" s="120">
        <v>11</v>
      </c>
      <c r="B18" s="104">
        <v>30394</v>
      </c>
      <c r="C18" s="76">
        <v>9</v>
      </c>
      <c r="D18" s="76">
        <v>4</v>
      </c>
      <c r="E18" s="76">
        <v>7</v>
      </c>
      <c r="F18" s="76">
        <v>9</v>
      </c>
      <c r="G18" s="76">
        <v>5</v>
      </c>
      <c r="H18" s="76">
        <v>0</v>
      </c>
      <c r="I18" s="13">
        <v>3</v>
      </c>
      <c r="J18" s="33">
        <v>12191320</v>
      </c>
      <c r="K18" s="143">
        <v>1</v>
      </c>
      <c r="L18" s="34">
        <v>955555.4</v>
      </c>
      <c r="M18" s="18">
        <v>98362.1</v>
      </c>
      <c r="N18" s="56">
        <v>7</v>
      </c>
      <c r="O18" s="57">
        <v>47</v>
      </c>
      <c r="P18" s="57">
        <v>500</v>
      </c>
      <c r="Q18" s="58">
        <v>5348</v>
      </c>
      <c r="R18" s="59">
        <v>53730</v>
      </c>
      <c r="V18" s="4"/>
    </row>
    <row r="19" spans="1:22" x14ac:dyDescent="0.15">
      <c r="A19" s="120">
        <v>12</v>
      </c>
      <c r="B19" s="104">
        <v>30401</v>
      </c>
      <c r="C19" s="76">
        <v>9</v>
      </c>
      <c r="D19" s="76">
        <v>4</v>
      </c>
      <c r="E19" s="76">
        <v>0</v>
      </c>
      <c r="F19" s="76">
        <v>7</v>
      </c>
      <c r="G19" s="76">
        <v>5</v>
      </c>
      <c r="H19" s="76">
        <v>5</v>
      </c>
      <c r="I19" s="13">
        <v>1</v>
      </c>
      <c r="J19" s="33">
        <v>12026550</v>
      </c>
      <c r="K19" s="143">
        <v>1</v>
      </c>
      <c r="L19" s="34">
        <v>955555.4</v>
      </c>
      <c r="M19" s="18">
        <v>77269.600000000006</v>
      </c>
      <c r="N19" s="56">
        <v>2</v>
      </c>
      <c r="O19" s="57">
        <v>46</v>
      </c>
      <c r="P19" s="57">
        <v>521</v>
      </c>
      <c r="Q19" s="58">
        <v>5417</v>
      </c>
      <c r="R19" s="59">
        <v>54426</v>
      </c>
      <c r="V19" s="4"/>
    </row>
    <row r="20" spans="1:22" x14ac:dyDescent="0.15">
      <c r="A20" s="120">
        <v>13</v>
      </c>
      <c r="B20" s="104">
        <v>30408</v>
      </c>
      <c r="C20" s="76">
        <v>4</v>
      </c>
      <c r="D20" s="76">
        <v>3</v>
      </c>
      <c r="E20" s="76">
        <v>7</v>
      </c>
      <c r="F20" s="76">
        <v>8</v>
      </c>
      <c r="G20" s="76">
        <v>6</v>
      </c>
      <c r="H20" s="76">
        <v>2</v>
      </c>
      <c r="I20" s="13">
        <v>9</v>
      </c>
      <c r="J20" s="33">
        <v>11526492</v>
      </c>
      <c r="K20" s="143">
        <v>1</v>
      </c>
      <c r="L20" s="34">
        <v>955555.4</v>
      </c>
      <c r="M20" s="18">
        <v>17322.599999999999</v>
      </c>
      <c r="N20" s="56">
        <v>2</v>
      </c>
      <c r="O20" s="57">
        <v>56</v>
      </c>
      <c r="P20" s="57">
        <v>528</v>
      </c>
      <c r="Q20" s="58">
        <v>5161</v>
      </c>
      <c r="R20" s="59">
        <v>52892</v>
      </c>
      <c r="V20" s="4"/>
    </row>
    <row r="21" spans="1:22" x14ac:dyDescent="0.15">
      <c r="A21" s="120">
        <v>14</v>
      </c>
      <c r="B21" s="104">
        <v>30415</v>
      </c>
      <c r="C21" s="76">
        <v>9</v>
      </c>
      <c r="D21" s="76">
        <v>5</v>
      </c>
      <c r="E21" s="76">
        <v>5</v>
      </c>
      <c r="F21" s="76">
        <v>0</v>
      </c>
      <c r="G21" s="76">
        <v>1</v>
      </c>
      <c r="H21" s="76">
        <v>9</v>
      </c>
      <c r="I21" s="13">
        <v>6</v>
      </c>
      <c r="J21" s="33">
        <v>11657412</v>
      </c>
      <c r="K21" s="143" t="s">
        <v>23</v>
      </c>
      <c r="L21" s="34"/>
      <c r="M21" s="18">
        <v>923103.5</v>
      </c>
      <c r="N21" s="56">
        <v>4</v>
      </c>
      <c r="O21" s="57">
        <v>50</v>
      </c>
      <c r="P21" s="57">
        <v>511</v>
      </c>
      <c r="Q21" s="58">
        <v>5232</v>
      </c>
      <c r="R21" s="59">
        <v>52393</v>
      </c>
      <c r="V21" s="4"/>
    </row>
    <row r="22" spans="1:22" x14ac:dyDescent="0.15">
      <c r="A22" s="120">
        <v>15</v>
      </c>
      <c r="B22" s="104">
        <v>30422</v>
      </c>
      <c r="C22" s="76">
        <v>1</v>
      </c>
      <c r="D22" s="76">
        <v>9</v>
      </c>
      <c r="E22" s="76">
        <v>4</v>
      </c>
      <c r="F22" s="76">
        <v>0</v>
      </c>
      <c r="G22" s="76">
        <v>4</v>
      </c>
      <c r="H22" s="76">
        <v>6</v>
      </c>
      <c r="I22" s="13">
        <v>6</v>
      </c>
      <c r="J22" s="33">
        <v>12098104</v>
      </c>
      <c r="K22" s="143">
        <v>1</v>
      </c>
      <c r="L22" s="34">
        <v>1755555.4</v>
      </c>
      <c r="M22" s="18">
        <v>107570.8</v>
      </c>
      <c r="N22" s="56">
        <v>7</v>
      </c>
      <c r="O22" s="57">
        <v>46</v>
      </c>
      <c r="P22" s="57">
        <v>490</v>
      </c>
      <c r="Q22" s="58">
        <v>5145</v>
      </c>
      <c r="R22" s="59">
        <v>52033</v>
      </c>
      <c r="V22" s="4"/>
    </row>
    <row r="23" spans="1:22" x14ac:dyDescent="0.15">
      <c r="A23" s="120">
        <v>16</v>
      </c>
      <c r="B23" s="104">
        <v>30429</v>
      </c>
      <c r="C23" s="76">
        <v>1</v>
      </c>
      <c r="D23" s="76">
        <v>5</v>
      </c>
      <c r="E23" s="76">
        <v>4</v>
      </c>
      <c r="F23" s="76">
        <v>0</v>
      </c>
      <c r="G23" s="76">
        <v>5</v>
      </c>
      <c r="H23" s="76">
        <v>4</v>
      </c>
      <c r="I23" s="13">
        <v>9</v>
      </c>
      <c r="J23" s="33">
        <v>11530740</v>
      </c>
      <c r="K23" s="143" t="s">
        <v>23</v>
      </c>
      <c r="L23" s="34"/>
      <c r="M23" s="18">
        <v>1003509.3</v>
      </c>
      <c r="N23" s="56">
        <v>9</v>
      </c>
      <c r="O23" s="57">
        <v>53</v>
      </c>
      <c r="P23" s="57">
        <v>532</v>
      </c>
      <c r="Q23" s="58">
        <v>5275</v>
      </c>
      <c r="R23" s="59">
        <v>53138</v>
      </c>
      <c r="V23" s="4"/>
    </row>
    <row r="24" spans="1:22" x14ac:dyDescent="0.15">
      <c r="A24" s="120">
        <v>17</v>
      </c>
      <c r="B24" s="104">
        <v>30436</v>
      </c>
      <c r="C24" s="76">
        <v>1</v>
      </c>
      <c r="D24" s="76">
        <v>3</v>
      </c>
      <c r="E24" s="76">
        <v>8</v>
      </c>
      <c r="F24" s="76">
        <v>7</v>
      </c>
      <c r="G24" s="76">
        <v>9</v>
      </c>
      <c r="H24" s="76">
        <v>7</v>
      </c>
      <c r="I24" s="13">
        <v>5</v>
      </c>
      <c r="J24" s="33">
        <v>11667862</v>
      </c>
      <c r="K24" s="143" t="s">
        <v>23</v>
      </c>
      <c r="L24" s="34"/>
      <c r="M24" s="18">
        <v>1910102.2</v>
      </c>
      <c r="N24" s="56">
        <v>6</v>
      </c>
      <c r="O24" s="57">
        <v>52</v>
      </c>
      <c r="P24" s="57">
        <v>488</v>
      </c>
      <c r="Q24" s="58">
        <v>5363</v>
      </c>
      <c r="R24" s="59">
        <v>53188</v>
      </c>
      <c r="V24" s="4"/>
    </row>
    <row r="25" spans="1:22" x14ac:dyDescent="0.15">
      <c r="A25" s="120">
        <v>18</v>
      </c>
      <c r="B25" s="104">
        <v>30443</v>
      </c>
      <c r="C25" s="76">
        <v>9</v>
      </c>
      <c r="D25" s="76">
        <v>9</v>
      </c>
      <c r="E25" s="76">
        <v>5</v>
      </c>
      <c r="F25" s="76">
        <v>3</v>
      </c>
      <c r="G25" s="76">
        <v>8</v>
      </c>
      <c r="H25" s="76">
        <v>0</v>
      </c>
      <c r="I25" s="13">
        <v>8</v>
      </c>
      <c r="J25" s="33">
        <v>11554548</v>
      </c>
      <c r="K25" s="143">
        <v>1</v>
      </c>
      <c r="L25" s="34">
        <v>2755555.4</v>
      </c>
      <c r="M25" s="18">
        <v>52335.199999999997</v>
      </c>
      <c r="N25" s="56">
        <v>3</v>
      </c>
      <c r="O25" s="57">
        <v>43</v>
      </c>
      <c r="P25" s="57">
        <v>544</v>
      </c>
      <c r="Q25" s="58">
        <v>5068</v>
      </c>
      <c r="R25" s="59">
        <v>50704</v>
      </c>
      <c r="V25" s="4"/>
    </row>
    <row r="26" spans="1:22" x14ac:dyDescent="0.15">
      <c r="A26" s="120">
        <v>19</v>
      </c>
      <c r="B26" s="104">
        <v>30450</v>
      </c>
      <c r="C26" s="76">
        <v>2</v>
      </c>
      <c r="D26" s="76">
        <v>1</v>
      </c>
      <c r="E26" s="76">
        <v>2</v>
      </c>
      <c r="F26" s="76">
        <v>3</v>
      </c>
      <c r="G26" s="76">
        <v>9</v>
      </c>
      <c r="H26" s="76">
        <v>4</v>
      </c>
      <c r="I26" s="13">
        <v>1</v>
      </c>
      <c r="J26" s="33">
        <v>11402982</v>
      </c>
      <c r="K26" s="143" t="s">
        <v>23</v>
      </c>
      <c r="L26" s="34"/>
      <c r="M26" s="34">
        <v>938346.9</v>
      </c>
      <c r="N26" s="56">
        <v>7</v>
      </c>
      <c r="O26" s="57">
        <v>47</v>
      </c>
      <c r="P26" s="57">
        <v>535</v>
      </c>
      <c r="Q26" s="58">
        <v>5272</v>
      </c>
      <c r="R26" s="59">
        <v>51471</v>
      </c>
      <c r="V26" s="4"/>
    </row>
    <row r="27" spans="1:22" x14ac:dyDescent="0.15">
      <c r="A27" s="120">
        <v>20</v>
      </c>
      <c r="B27" s="104">
        <v>30457</v>
      </c>
      <c r="C27" s="76">
        <v>2</v>
      </c>
      <c r="D27" s="76">
        <v>2</v>
      </c>
      <c r="E27" s="76">
        <v>3</v>
      </c>
      <c r="F27" s="76">
        <v>8</v>
      </c>
      <c r="G27" s="76">
        <v>3</v>
      </c>
      <c r="H27" s="76">
        <v>5</v>
      </c>
      <c r="I27" s="13">
        <v>0</v>
      </c>
      <c r="J27" s="33">
        <v>11342112</v>
      </c>
      <c r="K27" s="143">
        <v>1</v>
      </c>
      <c r="L27" s="34">
        <v>1755555.4</v>
      </c>
      <c r="M27" s="18">
        <v>64073.599999999999</v>
      </c>
      <c r="N27" s="56">
        <v>5</v>
      </c>
      <c r="O27" s="57">
        <v>47</v>
      </c>
      <c r="P27" s="57">
        <v>487</v>
      </c>
      <c r="Q27" s="58">
        <v>5132</v>
      </c>
      <c r="R27" s="59">
        <v>50259</v>
      </c>
      <c r="V27" s="4"/>
    </row>
    <row r="28" spans="1:22" x14ac:dyDescent="0.15">
      <c r="A28" s="120">
        <v>21</v>
      </c>
      <c r="B28" s="104">
        <v>30464</v>
      </c>
      <c r="C28" s="76">
        <v>2</v>
      </c>
      <c r="D28" s="76">
        <v>9</v>
      </c>
      <c r="E28" s="76">
        <v>8</v>
      </c>
      <c r="F28" s="76">
        <v>6</v>
      </c>
      <c r="G28" s="76">
        <v>3</v>
      </c>
      <c r="H28" s="76">
        <v>0</v>
      </c>
      <c r="I28" s="13">
        <v>9</v>
      </c>
      <c r="J28" s="33">
        <v>11378492</v>
      </c>
      <c r="K28" s="143">
        <v>2</v>
      </c>
      <c r="L28" s="34">
        <v>355555.4</v>
      </c>
      <c r="M28" s="18">
        <v>237071.6</v>
      </c>
      <c r="N28" s="56">
        <v>3</v>
      </c>
      <c r="O28" s="57">
        <v>53</v>
      </c>
      <c r="P28" s="57">
        <v>521</v>
      </c>
      <c r="Q28" s="58">
        <v>5144</v>
      </c>
      <c r="R28" s="59">
        <v>51840</v>
      </c>
      <c r="V28" s="4"/>
    </row>
    <row r="29" spans="1:22" x14ac:dyDescent="0.15">
      <c r="A29" s="120">
        <v>22</v>
      </c>
      <c r="B29" s="104">
        <v>30471</v>
      </c>
      <c r="C29" s="76">
        <v>1</v>
      </c>
      <c r="D29" s="76">
        <v>1</v>
      </c>
      <c r="E29" s="76">
        <v>0</v>
      </c>
      <c r="F29" s="76">
        <v>4</v>
      </c>
      <c r="G29" s="76">
        <v>7</v>
      </c>
      <c r="H29" s="76">
        <v>2</v>
      </c>
      <c r="I29" s="13">
        <v>2</v>
      </c>
      <c r="J29" s="33">
        <v>10934414</v>
      </c>
      <c r="K29" s="143" t="s">
        <v>23</v>
      </c>
      <c r="L29" s="34"/>
      <c r="M29" s="34">
        <v>1086675.6000000001</v>
      </c>
      <c r="N29" s="56">
        <v>4</v>
      </c>
      <c r="O29" s="57">
        <v>43</v>
      </c>
      <c r="P29" s="57">
        <v>455</v>
      </c>
      <c r="Q29" s="58">
        <v>4947</v>
      </c>
      <c r="R29" s="59">
        <v>49651</v>
      </c>
      <c r="V29" s="4"/>
    </row>
    <row r="30" spans="1:22" x14ac:dyDescent="0.15">
      <c r="A30" s="120">
        <v>23</v>
      </c>
      <c r="B30" s="104">
        <v>30478</v>
      </c>
      <c r="C30" s="76">
        <v>3</v>
      </c>
      <c r="D30" s="76">
        <v>9</v>
      </c>
      <c r="E30" s="76">
        <v>7</v>
      </c>
      <c r="F30" s="76">
        <v>5</v>
      </c>
      <c r="G30" s="76">
        <v>9</v>
      </c>
      <c r="H30" s="76">
        <v>0</v>
      </c>
      <c r="I30" s="13">
        <v>5</v>
      </c>
      <c r="J30" s="33">
        <v>10891882</v>
      </c>
      <c r="K30" s="143" t="s">
        <v>23</v>
      </c>
      <c r="L30" s="34"/>
      <c r="M30" s="18">
        <v>1932974.8</v>
      </c>
      <c r="N30" s="56">
        <v>5</v>
      </c>
      <c r="O30" s="57">
        <v>52</v>
      </c>
      <c r="P30" s="57">
        <v>507</v>
      </c>
      <c r="Q30" s="58">
        <v>4739</v>
      </c>
      <c r="R30" s="59">
        <v>47770</v>
      </c>
      <c r="V30" s="4"/>
    </row>
    <row r="31" spans="1:22" x14ac:dyDescent="0.15">
      <c r="A31" s="120">
        <v>24</v>
      </c>
      <c r="B31" s="104">
        <v>30485</v>
      </c>
      <c r="C31" s="76">
        <v>5</v>
      </c>
      <c r="D31" s="76">
        <v>0</v>
      </c>
      <c r="E31" s="76">
        <v>8</v>
      </c>
      <c r="F31" s="76">
        <v>3</v>
      </c>
      <c r="G31" s="76">
        <v>6</v>
      </c>
      <c r="H31" s="76">
        <v>7</v>
      </c>
      <c r="I31" s="13">
        <v>4</v>
      </c>
      <c r="J31" s="33">
        <v>10410730</v>
      </c>
      <c r="K31" s="143" t="s">
        <v>23</v>
      </c>
      <c r="L31" s="34"/>
      <c r="M31" s="18">
        <v>2741888.5</v>
      </c>
      <c r="N31" s="56">
        <v>2</v>
      </c>
      <c r="O31" s="57">
        <v>45</v>
      </c>
      <c r="P31" s="57">
        <v>461</v>
      </c>
      <c r="Q31" s="58">
        <v>4728</v>
      </c>
      <c r="R31" s="59">
        <v>47091</v>
      </c>
      <c r="V31" s="4"/>
    </row>
    <row r="32" spans="1:22" x14ac:dyDescent="0.15">
      <c r="A32" s="120">
        <v>25</v>
      </c>
      <c r="B32" s="104">
        <v>30492</v>
      </c>
      <c r="C32" s="76">
        <v>6</v>
      </c>
      <c r="D32" s="76">
        <v>9</v>
      </c>
      <c r="E32" s="76">
        <v>0</v>
      </c>
      <c r="F32" s="76">
        <v>1</v>
      </c>
      <c r="G32" s="76">
        <v>2</v>
      </c>
      <c r="H32" s="76">
        <v>0</v>
      </c>
      <c r="I32" s="13">
        <v>3</v>
      </c>
      <c r="J32" s="33">
        <v>10596010</v>
      </c>
      <c r="K32" s="143" t="s">
        <v>23</v>
      </c>
      <c r="L32" s="34"/>
      <c r="M32" s="18">
        <v>3565198.5</v>
      </c>
      <c r="N32" s="56">
        <v>6</v>
      </c>
      <c r="O32" s="57">
        <v>54</v>
      </c>
      <c r="P32" s="57">
        <v>467</v>
      </c>
      <c r="Q32" s="58">
        <v>4700</v>
      </c>
      <c r="R32" s="59">
        <v>46316</v>
      </c>
      <c r="V32" s="4"/>
    </row>
    <row r="33" spans="1:22" x14ac:dyDescent="0.15">
      <c r="A33" s="120">
        <v>26</v>
      </c>
      <c r="B33" s="104">
        <v>30499</v>
      </c>
      <c r="C33" s="76">
        <v>1</v>
      </c>
      <c r="D33" s="76">
        <v>5</v>
      </c>
      <c r="E33" s="76">
        <v>1</v>
      </c>
      <c r="F33" s="76">
        <v>3</v>
      </c>
      <c r="G33" s="76">
        <v>8</v>
      </c>
      <c r="H33" s="76">
        <v>6</v>
      </c>
      <c r="I33" s="13">
        <v>4</v>
      </c>
      <c r="J33" s="33">
        <v>10971520</v>
      </c>
      <c r="K33" s="143" t="s">
        <v>23</v>
      </c>
      <c r="L33" s="34"/>
      <c r="M33" s="18">
        <v>4417685.5999999996</v>
      </c>
      <c r="N33" s="56">
        <v>3</v>
      </c>
      <c r="O33" s="57">
        <v>56</v>
      </c>
      <c r="P33" s="57">
        <v>479</v>
      </c>
      <c r="Q33" s="58">
        <v>4903</v>
      </c>
      <c r="R33" s="59">
        <v>50075</v>
      </c>
      <c r="V33" s="4"/>
    </row>
    <row r="34" spans="1:22" x14ac:dyDescent="0.15">
      <c r="A34" s="120">
        <v>27</v>
      </c>
      <c r="B34" s="104">
        <v>30506</v>
      </c>
      <c r="C34" s="76">
        <v>9</v>
      </c>
      <c r="D34" s="76">
        <v>0</v>
      </c>
      <c r="E34" s="76">
        <v>7</v>
      </c>
      <c r="F34" s="76">
        <v>8</v>
      </c>
      <c r="G34" s="76">
        <v>7</v>
      </c>
      <c r="H34" s="76">
        <v>0</v>
      </c>
      <c r="I34" s="113">
        <v>5</v>
      </c>
      <c r="J34" s="116">
        <v>10922114</v>
      </c>
      <c r="K34" s="143" t="s">
        <v>23</v>
      </c>
      <c r="L34" s="34"/>
      <c r="M34" s="117">
        <v>5266333.9000000004</v>
      </c>
      <c r="N34" s="80">
        <v>8</v>
      </c>
      <c r="O34" s="118">
        <v>53</v>
      </c>
      <c r="P34" s="118">
        <v>487</v>
      </c>
      <c r="Q34" s="119">
        <v>4715</v>
      </c>
      <c r="R34" s="138">
        <v>47067</v>
      </c>
      <c r="V34" s="4"/>
    </row>
    <row r="35" spans="1:22" x14ac:dyDescent="0.15">
      <c r="A35" s="120">
        <v>28</v>
      </c>
      <c r="B35" s="104">
        <v>30513</v>
      </c>
      <c r="C35" s="76">
        <v>1</v>
      </c>
      <c r="D35" s="76">
        <v>6</v>
      </c>
      <c r="E35" s="76">
        <v>6</v>
      </c>
      <c r="F35" s="76">
        <v>0</v>
      </c>
      <c r="G35" s="76">
        <v>6</v>
      </c>
      <c r="H35" s="76">
        <v>8</v>
      </c>
      <c r="I35" s="13">
        <v>1</v>
      </c>
      <c r="J35" s="33">
        <v>10738210</v>
      </c>
      <c r="K35" s="143" t="s">
        <v>23</v>
      </c>
      <c r="L35" s="34"/>
      <c r="M35" s="18">
        <v>6100692.7999999998</v>
      </c>
      <c r="N35" s="56">
        <v>6</v>
      </c>
      <c r="O35" s="57">
        <v>63</v>
      </c>
      <c r="P35" s="57">
        <v>462</v>
      </c>
      <c r="Q35" s="58">
        <v>4771</v>
      </c>
      <c r="R35" s="59">
        <v>47573</v>
      </c>
      <c r="V35" s="4"/>
    </row>
    <row r="36" spans="1:22" x14ac:dyDescent="0.15">
      <c r="A36" s="120">
        <v>29</v>
      </c>
      <c r="B36" s="104">
        <v>30520</v>
      </c>
      <c r="C36" s="76">
        <v>1</v>
      </c>
      <c r="D36" s="76">
        <v>1</v>
      </c>
      <c r="E36" s="76">
        <v>4</v>
      </c>
      <c r="F36" s="76">
        <v>2</v>
      </c>
      <c r="G36" s="76">
        <v>7</v>
      </c>
      <c r="H36" s="76">
        <v>7</v>
      </c>
      <c r="I36" s="113">
        <v>7</v>
      </c>
      <c r="J36" s="116">
        <v>12249286</v>
      </c>
      <c r="K36" s="143" t="s">
        <v>23</v>
      </c>
      <c r="L36" s="34"/>
      <c r="M36" s="34">
        <v>7052462.2999999998</v>
      </c>
      <c r="N36" s="80">
        <v>6</v>
      </c>
      <c r="O36" s="118">
        <v>45</v>
      </c>
      <c r="P36" s="118">
        <v>589</v>
      </c>
      <c r="Q36" s="119">
        <v>5832</v>
      </c>
      <c r="R36" s="138">
        <v>55590</v>
      </c>
      <c r="V36" s="4"/>
    </row>
    <row r="37" spans="1:22" x14ac:dyDescent="0.15">
      <c r="A37" s="120">
        <v>30</v>
      </c>
      <c r="B37" s="104">
        <v>30527</v>
      </c>
      <c r="C37" s="76">
        <v>2</v>
      </c>
      <c r="D37" s="76">
        <v>0</v>
      </c>
      <c r="E37" s="76">
        <v>8</v>
      </c>
      <c r="F37" s="76">
        <v>2</v>
      </c>
      <c r="G37" s="76">
        <v>6</v>
      </c>
      <c r="H37" s="76">
        <v>0</v>
      </c>
      <c r="I37" s="13">
        <v>5</v>
      </c>
      <c r="J37" s="33">
        <v>12786370</v>
      </c>
      <c r="K37" s="143">
        <v>2</v>
      </c>
      <c r="L37" s="34">
        <v>3555555.4</v>
      </c>
      <c r="M37" s="18">
        <v>934852.4</v>
      </c>
      <c r="N37" s="80">
        <v>6</v>
      </c>
      <c r="O37" s="118">
        <v>68</v>
      </c>
      <c r="P37" s="118">
        <v>582</v>
      </c>
      <c r="Q37" s="119">
        <v>5570</v>
      </c>
      <c r="R37" s="138">
        <v>55229</v>
      </c>
      <c r="V37" s="4"/>
    </row>
    <row r="38" spans="1:22" x14ac:dyDescent="0.15">
      <c r="A38" s="120">
        <v>31</v>
      </c>
      <c r="B38" s="104">
        <v>30534</v>
      </c>
      <c r="C38" s="76">
        <v>2</v>
      </c>
      <c r="D38" s="76">
        <v>5</v>
      </c>
      <c r="E38" s="76">
        <v>6</v>
      </c>
      <c r="F38" s="76">
        <v>4</v>
      </c>
      <c r="G38" s="76">
        <v>0</v>
      </c>
      <c r="H38" s="76">
        <v>2</v>
      </c>
      <c r="I38" s="13">
        <v>9</v>
      </c>
      <c r="J38" s="33">
        <v>11453430</v>
      </c>
      <c r="K38" s="143">
        <v>1</v>
      </c>
      <c r="L38" s="34">
        <v>1755555.4</v>
      </c>
      <c r="M38" s="18">
        <v>69228.5</v>
      </c>
      <c r="N38" s="80">
        <v>6</v>
      </c>
      <c r="O38" s="118">
        <v>59</v>
      </c>
      <c r="P38" s="118">
        <v>522</v>
      </c>
      <c r="Q38" s="119">
        <v>5131</v>
      </c>
      <c r="R38" s="138">
        <v>52649</v>
      </c>
      <c r="V38" s="4"/>
    </row>
    <row r="39" spans="1:22" x14ac:dyDescent="0.15">
      <c r="A39" s="120">
        <v>32</v>
      </c>
      <c r="B39" s="104">
        <v>30541</v>
      </c>
      <c r="C39" s="76">
        <v>7</v>
      </c>
      <c r="D39" s="76">
        <v>6</v>
      </c>
      <c r="E39" s="76">
        <v>3</v>
      </c>
      <c r="F39" s="76">
        <v>2</v>
      </c>
      <c r="G39" s="76">
        <v>8</v>
      </c>
      <c r="H39" s="76">
        <v>4</v>
      </c>
      <c r="I39" s="13">
        <v>1</v>
      </c>
      <c r="J39" s="33">
        <v>11407534</v>
      </c>
      <c r="K39" s="143">
        <v>1</v>
      </c>
      <c r="L39" s="34">
        <v>955555.4</v>
      </c>
      <c r="M39" s="18">
        <v>38.5</v>
      </c>
      <c r="N39" s="80">
        <v>3</v>
      </c>
      <c r="O39" s="118">
        <v>44</v>
      </c>
      <c r="P39" s="118">
        <v>484</v>
      </c>
      <c r="Q39" s="119">
        <v>5287</v>
      </c>
      <c r="R39" s="138">
        <v>53213</v>
      </c>
      <c r="V39" s="4"/>
    </row>
    <row r="40" spans="1:22" x14ac:dyDescent="0.15">
      <c r="A40" s="120">
        <v>33</v>
      </c>
      <c r="B40" s="104">
        <v>30548</v>
      </c>
      <c r="C40" s="76">
        <v>8</v>
      </c>
      <c r="D40" s="76">
        <v>4</v>
      </c>
      <c r="E40" s="76">
        <v>9</v>
      </c>
      <c r="F40" s="76">
        <v>7</v>
      </c>
      <c r="G40" s="76">
        <v>1</v>
      </c>
      <c r="H40" s="76">
        <v>5</v>
      </c>
      <c r="I40" s="13">
        <v>1</v>
      </c>
      <c r="J40" s="33">
        <v>11195344</v>
      </c>
      <c r="K40" s="143" t="s">
        <v>23</v>
      </c>
      <c r="L40" s="34"/>
      <c r="M40" s="18">
        <v>869916.7</v>
      </c>
      <c r="N40" s="80">
        <v>2</v>
      </c>
      <c r="O40" s="118">
        <v>56</v>
      </c>
      <c r="P40" s="118">
        <v>520</v>
      </c>
      <c r="Q40" s="119">
        <v>5033</v>
      </c>
      <c r="R40" s="138">
        <v>49954</v>
      </c>
      <c r="V40" s="4"/>
    </row>
    <row r="41" spans="1:22" x14ac:dyDescent="0.15">
      <c r="A41" s="120">
        <v>34</v>
      </c>
      <c r="B41" s="104">
        <v>30555</v>
      </c>
      <c r="C41" s="76">
        <v>0</v>
      </c>
      <c r="D41" s="76">
        <v>6</v>
      </c>
      <c r="E41" s="76">
        <v>3</v>
      </c>
      <c r="F41" s="76">
        <v>0</v>
      </c>
      <c r="G41" s="76">
        <v>5</v>
      </c>
      <c r="H41" s="14">
        <v>1</v>
      </c>
      <c r="I41" s="14">
        <v>7</v>
      </c>
      <c r="J41" s="33">
        <v>11218398</v>
      </c>
      <c r="K41" s="143" t="s">
        <v>23</v>
      </c>
      <c r="L41" s="34"/>
      <c r="M41" s="18">
        <v>1741586.2</v>
      </c>
      <c r="N41" s="80">
        <v>7</v>
      </c>
      <c r="O41" s="118">
        <v>60</v>
      </c>
      <c r="P41" s="118">
        <v>497</v>
      </c>
      <c r="Q41" s="119">
        <v>5237</v>
      </c>
      <c r="R41" s="138">
        <v>51301</v>
      </c>
      <c r="V41" s="4"/>
    </row>
    <row r="42" spans="1:22" s="90" customFormat="1" x14ac:dyDescent="0.15">
      <c r="A42" s="120">
        <v>35</v>
      </c>
      <c r="B42" s="104">
        <v>30562</v>
      </c>
      <c r="C42" s="76">
        <v>2</v>
      </c>
      <c r="D42" s="76">
        <v>6</v>
      </c>
      <c r="E42" s="76">
        <v>0</v>
      </c>
      <c r="F42" s="76">
        <v>3</v>
      </c>
      <c r="G42" s="76">
        <v>2</v>
      </c>
      <c r="H42" s="115">
        <v>5</v>
      </c>
      <c r="I42" s="13">
        <v>7</v>
      </c>
      <c r="J42" s="116">
        <v>16548242</v>
      </c>
      <c r="K42" s="190" t="s">
        <v>23</v>
      </c>
      <c r="L42" s="34"/>
      <c r="M42" s="34">
        <v>3027384.6</v>
      </c>
      <c r="N42" s="80">
        <v>12</v>
      </c>
      <c r="O42" s="118">
        <v>58</v>
      </c>
      <c r="P42" s="118">
        <v>743</v>
      </c>
      <c r="Q42" s="119">
        <v>7335</v>
      </c>
      <c r="R42" s="138">
        <v>72738</v>
      </c>
      <c r="S42" s="91"/>
      <c r="V42" s="100"/>
    </row>
    <row r="43" spans="1:22" s="90" customFormat="1" x14ac:dyDescent="0.15">
      <c r="A43" s="120">
        <v>36</v>
      </c>
      <c r="B43" s="104">
        <v>30569</v>
      </c>
      <c r="C43" s="103">
        <v>0</v>
      </c>
      <c r="D43" s="103">
        <v>8</v>
      </c>
      <c r="E43" s="103">
        <v>8</v>
      </c>
      <c r="F43" s="103">
        <v>7</v>
      </c>
      <c r="G43" s="103">
        <v>4</v>
      </c>
      <c r="H43" s="115">
        <v>3</v>
      </c>
      <c r="I43" s="113">
        <v>8</v>
      </c>
      <c r="J43" s="116">
        <v>14295502</v>
      </c>
      <c r="K43" s="191" t="s">
        <v>23</v>
      </c>
      <c r="L43" s="34"/>
      <c r="M43" s="18">
        <v>4138145.1</v>
      </c>
      <c r="N43" s="80">
        <v>4</v>
      </c>
      <c r="O43" s="118">
        <v>56</v>
      </c>
      <c r="P43" s="118">
        <v>656</v>
      </c>
      <c r="Q43" s="119">
        <v>6773</v>
      </c>
      <c r="R43" s="138">
        <v>66712</v>
      </c>
      <c r="S43" s="91"/>
      <c r="V43" s="100"/>
    </row>
    <row r="44" spans="1:22" s="90" customFormat="1" x14ac:dyDescent="0.15">
      <c r="A44" s="120">
        <v>37</v>
      </c>
      <c r="B44" s="104">
        <v>30576</v>
      </c>
      <c r="C44" s="109">
        <v>3</v>
      </c>
      <c r="D44" s="110">
        <v>2</v>
      </c>
      <c r="E44" s="110">
        <v>5</v>
      </c>
      <c r="F44" s="110">
        <v>3</v>
      </c>
      <c r="G44" s="110">
        <v>1</v>
      </c>
      <c r="H44" s="110">
        <v>9</v>
      </c>
      <c r="I44" s="13">
        <v>3</v>
      </c>
      <c r="J44" s="33">
        <v>14758750</v>
      </c>
      <c r="K44" s="190" t="s">
        <v>23</v>
      </c>
      <c r="L44" s="34"/>
      <c r="M44" s="18">
        <v>5284900</v>
      </c>
      <c r="N44" s="80">
        <v>5</v>
      </c>
      <c r="O44" s="118">
        <v>74</v>
      </c>
      <c r="P44" s="118">
        <v>661</v>
      </c>
      <c r="Q44" s="119">
        <v>6646</v>
      </c>
      <c r="R44" s="138">
        <v>66325</v>
      </c>
      <c r="S44" s="91"/>
      <c r="V44" s="100"/>
    </row>
    <row r="45" spans="1:22" s="90" customFormat="1" x14ac:dyDescent="0.15">
      <c r="A45" s="120">
        <v>38</v>
      </c>
      <c r="B45" s="104">
        <v>30583</v>
      </c>
      <c r="C45" s="76">
        <v>1</v>
      </c>
      <c r="D45" s="76">
        <v>1</v>
      </c>
      <c r="E45" s="76">
        <v>1</v>
      </c>
      <c r="F45" s="76">
        <v>8</v>
      </c>
      <c r="G45" s="76">
        <v>8</v>
      </c>
      <c r="H45" s="76">
        <v>8</v>
      </c>
      <c r="I45" s="13">
        <v>2</v>
      </c>
      <c r="J45" s="33">
        <v>14688486</v>
      </c>
      <c r="K45" s="190">
        <v>1</v>
      </c>
      <c r="L45" s="34">
        <v>3555555.4</v>
      </c>
      <c r="M45" s="18">
        <v>2870640</v>
      </c>
      <c r="N45" s="80">
        <v>6</v>
      </c>
      <c r="O45" s="118">
        <v>60</v>
      </c>
      <c r="P45" s="118">
        <v>666</v>
      </c>
      <c r="Q45" s="119">
        <v>6431</v>
      </c>
      <c r="R45" s="138">
        <v>66390</v>
      </c>
      <c r="S45" s="91"/>
      <c r="V45" s="100"/>
    </row>
    <row r="46" spans="1:22" s="90" customFormat="1" x14ac:dyDescent="0.15">
      <c r="A46" s="120">
        <v>39</v>
      </c>
      <c r="B46" s="104">
        <v>30590</v>
      </c>
      <c r="C46" s="76">
        <v>6</v>
      </c>
      <c r="D46" s="76">
        <v>2</v>
      </c>
      <c r="E46" s="76">
        <v>0</v>
      </c>
      <c r="F46" s="76">
        <v>8</v>
      </c>
      <c r="G46" s="76">
        <v>7</v>
      </c>
      <c r="H46" s="76">
        <v>8</v>
      </c>
      <c r="I46" s="13">
        <v>9</v>
      </c>
      <c r="J46" s="33">
        <v>14100726</v>
      </c>
      <c r="K46" s="190">
        <v>1</v>
      </c>
      <c r="L46" s="34">
        <v>3555555.4</v>
      </c>
      <c r="M46" s="18">
        <v>410711</v>
      </c>
      <c r="N46" s="80">
        <v>4</v>
      </c>
      <c r="O46" s="118">
        <v>54</v>
      </c>
      <c r="P46" s="118">
        <v>576</v>
      </c>
      <c r="Q46" s="119">
        <v>6318</v>
      </c>
      <c r="R46" s="138">
        <v>61973</v>
      </c>
      <c r="S46" s="91"/>
      <c r="V46" s="100"/>
    </row>
    <row r="47" spans="1:22" s="90" customFormat="1" x14ac:dyDescent="0.15">
      <c r="A47" s="120">
        <v>40</v>
      </c>
      <c r="B47" s="104">
        <v>30597</v>
      </c>
      <c r="C47" s="76">
        <v>9</v>
      </c>
      <c r="D47" s="76">
        <v>2</v>
      </c>
      <c r="E47" s="76">
        <v>2</v>
      </c>
      <c r="F47" s="76">
        <v>8</v>
      </c>
      <c r="G47" s="76">
        <v>9</v>
      </c>
      <c r="H47" s="76">
        <v>2</v>
      </c>
      <c r="I47" s="13">
        <v>8</v>
      </c>
      <c r="J47" s="33">
        <v>14059800</v>
      </c>
      <c r="K47" s="190" t="s">
        <v>23</v>
      </c>
      <c r="L47" s="34"/>
      <c r="M47" s="18">
        <v>1503157.5</v>
      </c>
      <c r="N47" s="80">
        <v>10</v>
      </c>
      <c r="O47" s="118">
        <v>59</v>
      </c>
      <c r="P47" s="118">
        <v>643</v>
      </c>
      <c r="Q47" s="119">
        <v>6635</v>
      </c>
      <c r="R47" s="138">
        <v>64485</v>
      </c>
      <c r="S47" s="91"/>
      <c r="V47" s="100"/>
    </row>
    <row r="48" spans="1:22" s="90" customFormat="1" x14ac:dyDescent="0.15">
      <c r="A48" s="120">
        <v>41</v>
      </c>
      <c r="B48" s="104">
        <v>30604</v>
      </c>
      <c r="C48" s="76">
        <v>8</v>
      </c>
      <c r="D48" s="76">
        <v>0</v>
      </c>
      <c r="E48" s="76">
        <v>4</v>
      </c>
      <c r="F48" s="76">
        <v>4</v>
      </c>
      <c r="G48" s="76">
        <v>6</v>
      </c>
      <c r="H48" s="76">
        <v>8</v>
      </c>
      <c r="I48" s="13">
        <v>0</v>
      </c>
      <c r="J48" s="33">
        <v>14195652</v>
      </c>
      <c r="K48" s="190" t="s">
        <v>23</v>
      </c>
      <c r="L48" s="34"/>
      <c r="M48" s="18">
        <v>2606159.7000000002</v>
      </c>
      <c r="N48" s="80">
        <v>6</v>
      </c>
      <c r="O48" s="118">
        <v>64</v>
      </c>
      <c r="P48" s="118">
        <v>593</v>
      </c>
      <c r="Q48" s="119">
        <v>6248</v>
      </c>
      <c r="R48" s="138">
        <v>61355</v>
      </c>
      <c r="S48" s="91"/>
      <c r="V48" s="100"/>
    </row>
    <row r="49" spans="1:22" s="90" customFormat="1" x14ac:dyDescent="0.15">
      <c r="A49" s="120">
        <v>42</v>
      </c>
      <c r="B49" s="104">
        <v>30611</v>
      </c>
      <c r="C49" s="76">
        <v>0</v>
      </c>
      <c r="D49" s="76">
        <v>6</v>
      </c>
      <c r="E49" s="76">
        <v>3</v>
      </c>
      <c r="F49" s="76">
        <v>8</v>
      </c>
      <c r="G49" s="76">
        <v>2</v>
      </c>
      <c r="H49" s="76">
        <v>4</v>
      </c>
      <c r="I49" s="13">
        <v>6</v>
      </c>
      <c r="J49" s="33">
        <v>13626838</v>
      </c>
      <c r="K49" s="190" t="s">
        <v>23</v>
      </c>
      <c r="L49" s="34"/>
      <c r="M49" s="18">
        <v>3664965</v>
      </c>
      <c r="N49" s="80">
        <v>4</v>
      </c>
      <c r="O49" s="118">
        <v>69</v>
      </c>
      <c r="P49" s="118">
        <v>603</v>
      </c>
      <c r="Q49" s="119">
        <v>6204</v>
      </c>
      <c r="R49" s="138">
        <v>61955</v>
      </c>
      <c r="S49" s="91"/>
      <c r="V49" s="100"/>
    </row>
    <row r="50" spans="1:22" s="90" customFormat="1" x14ac:dyDescent="0.15">
      <c r="A50" s="120">
        <v>43</v>
      </c>
      <c r="B50" s="104">
        <v>30618</v>
      </c>
      <c r="C50" s="76">
        <v>1</v>
      </c>
      <c r="D50" s="76">
        <v>0</v>
      </c>
      <c r="E50" s="76">
        <v>8</v>
      </c>
      <c r="F50" s="76">
        <v>4</v>
      </c>
      <c r="G50" s="76">
        <v>9</v>
      </c>
      <c r="H50" s="76">
        <v>8</v>
      </c>
      <c r="I50" s="13">
        <v>2</v>
      </c>
      <c r="J50" s="33">
        <v>13412542</v>
      </c>
      <c r="K50" s="190" t="s">
        <v>23</v>
      </c>
      <c r="L50" s="34"/>
      <c r="M50" s="18">
        <v>4707119.5</v>
      </c>
      <c r="N50" s="80">
        <v>2</v>
      </c>
      <c r="O50" s="118">
        <v>47</v>
      </c>
      <c r="P50" s="118">
        <v>630</v>
      </c>
      <c r="Q50" s="119">
        <v>6121</v>
      </c>
      <c r="R50" s="138">
        <v>59523</v>
      </c>
      <c r="S50" s="91"/>
      <c r="V50" s="100"/>
    </row>
    <row r="51" spans="1:22" s="90" customFormat="1" x14ac:dyDescent="0.15">
      <c r="A51" s="120">
        <v>44</v>
      </c>
      <c r="B51" s="104">
        <v>30625</v>
      </c>
      <c r="C51" s="76">
        <v>4</v>
      </c>
      <c r="D51" s="76">
        <v>2</v>
      </c>
      <c r="E51" s="76">
        <v>6</v>
      </c>
      <c r="F51" s="76">
        <v>1</v>
      </c>
      <c r="G51" s="76">
        <v>3</v>
      </c>
      <c r="H51" s="76">
        <v>3</v>
      </c>
      <c r="I51" s="13">
        <v>0</v>
      </c>
      <c r="J51" s="33">
        <v>13089068</v>
      </c>
      <c r="K51" s="190" t="s">
        <v>23</v>
      </c>
      <c r="L51" s="34"/>
      <c r="M51" s="34">
        <v>5724140.0999999996</v>
      </c>
      <c r="N51" s="80">
        <v>8</v>
      </c>
      <c r="O51" s="118">
        <v>73</v>
      </c>
      <c r="P51" s="118">
        <v>577</v>
      </c>
      <c r="Q51" s="119">
        <v>5817</v>
      </c>
      <c r="R51" s="138">
        <v>57059</v>
      </c>
      <c r="S51" s="91"/>
      <c r="V51" s="100"/>
    </row>
    <row r="52" spans="1:22" s="90" customFormat="1" x14ac:dyDescent="0.15">
      <c r="A52" s="120">
        <v>45</v>
      </c>
      <c r="B52" s="104">
        <v>30632</v>
      </c>
      <c r="C52" s="76">
        <v>4</v>
      </c>
      <c r="D52" s="76">
        <v>5</v>
      </c>
      <c r="E52" s="76">
        <v>3</v>
      </c>
      <c r="F52" s="76">
        <v>3</v>
      </c>
      <c r="G52" s="76">
        <v>7</v>
      </c>
      <c r="H52" s="76">
        <v>9</v>
      </c>
      <c r="I52" s="13">
        <v>1</v>
      </c>
      <c r="J52" s="116">
        <v>15369274</v>
      </c>
      <c r="K52" s="190">
        <v>1</v>
      </c>
      <c r="L52" s="34">
        <v>3555555.4</v>
      </c>
      <c r="M52" s="18">
        <v>3362777.3</v>
      </c>
      <c r="N52" s="80">
        <v>6</v>
      </c>
      <c r="O52" s="118">
        <v>77</v>
      </c>
      <c r="P52" s="118">
        <v>707</v>
      </c>
      <c r="Q52" s="119">
        <v>6980</v>
      </c>
      <c r="R52" s="138">
        <v>68523</v>
      </c>
      <c r="S52" s="91"/>
    </row>
    <row r="53" spans="1:22" s="90" customFormat="1" x14ac:dyDescent="0.15">
      <c r="A53" s="120">
        <v>46</v>
      </c>
      <c r="B53" s="104">
        <v>30639</v>
      </c>
      <c r="C53" s="76">
        <v>9</v>
      </c>
      <c r="D53" s="76">
        <v>4</v>
      </c>
      <c r="E53" s="76">
        <v>7</v>
      </c>
      <c r="F53" s="76">
        <v>4</v>
      </c>
      <c r="G53" s="76">
        <v>4</v>
      </c>
      <c r="H53" s="76">
        <v>8</v>
      </c>
      <c r="I53" s="13">
        <v>4</v>
      </c>
      <c r="J53" s="116">
        <v>13337996</v>
      </c>
      <c r="K53" s="190" t="s">
        <v>23</v>
      </c>
      <c r="L53" s="34"/>
      <c r="M53" s="18">
        <v>4399139.5999999996</v>
      </c>
      <c r="N53" s="80">
        <v>6</v>
      </c>
      <c r="O53" s="118">
        <v>58</v>
      </c>
      <c r="P53" s="118">
        <v>554</v>
      </c>
      <c r="Q53" s="119">
        <v>6019</v>
      </c>
      <c r="R53" s="138">
        <v>60851</v>
      </c>
      <c r="S53" s="91"/>
    </row>
    <row r="54" spans="1:22" s="90" customFormat="1" x14ac:dyDescent="0.15">
      <c r="A54" s="120">
        <v>47</v>
      </c>
      <c r="B54" s="104">
        <v>30646</v>
      </c>
      <c r="C54" s="76">
        <v>1</v>
      </c>
      <c r="D54" s="76">
        <v>3</v>
      </c>
      <c r="E54" s="76">
        <v>3</v>
      </c>
      <c r="F54" s="76">
        <v>1</v>
      </c>
      <c r="G54" s="76">
        <v>7</v>
      </c>
      <c r="H54" s="76">
        <v>4</v>
      </c>
      <c r="I54" s="13">
        <v>1</v>
      </c>
      <c r="J54" s="33">
        <v>13611638</v>
      </c>
      <c r="K54" s="190" t="s">
        <v>23</v>
      </c>
      <c r="L54" s="34"/>
      <c r="M54" s="18">
        <v>5456763.9000000004</v>
      </c>
      <c r="N54" s="80">
        <v>6</v>
      </c>
      <c r="O54" s="118">
        <v>62</v>
      </c>
      <c r="P54" s="118">
        <v>691</v>
      </c>
      <c r="Q54" s="119">
        <v>6146</v>
      </c>
      <c r="R54" s="138">
        <v>60749</v>
      </c>
      <c r="S54" s="91"/>
    </row>
    <row r="55" spans="1:22" s="90" customFormat="1" x14ac:dyDescent="0.15">
      <c r="A55" s="120">
        <v>48</v>
      </c>
      <c r="B55" s="104">
        <v>30653</v>
      </c>
      <c r="C55" s="76">
        <v>8</v>
      </c>
      <c r="D55" s="76">
        <v>3</v>
      </c>
      <c r="E55" s="76">
        <v>6</v>
      </c>
      <c r="F55" s="76">
        <v>5</v>
      </c>
      <c r="G55" s="76">
        <v>8</v>
      </c>
      <c r="H55" s="76">
        <v>8</v>
      </c>
      <c r="I55" s="13">
        <v>8</v>
      </c>
      <c r="J55" s="33">
        <v>18734176</v>
      </c>
      <c r="K55" s="190" t="s">
        <v>23</v>
      </c>
      <c r="L55" s="34"/>
      <c r="M55" s="18">
        <v>6912409.4000000004</v>
      </c>
      <c r="N55" s="80">
        <v>12</v>
      </c>
      <c r="O55" s="118">
        <v>86</v>
      </c>
      <c r="P55" s="118">
        <v>852</v>
      </c>
      <c r="Q55" s="119">
        <v>8634</v>
      </c>
      <c r="R55" s="138">
        <v>83103</v>
      </c>
      <c r="S55" s="91"/>
    </row>
    <row r="56" spans="1:22" s="90" customFormat="1" x14ac:dyDescent="0.15">
      <c r="A56" s="120">
        <v>49</v>
      </c>
      <c r="B56" s="104">
        <v>30660</v>
      </c>
      <c r="C56" s="76">
        <v>4</v>
      </c>
      <c r="D56" s="76">
        <v>0</v>
      </c>
      <c r="E56" s="76">
        <v>3</v>
      </c>
      <c r="F56" s="76">
        <v>7</v>
      </c>
      <c r="G56" s="76">
        <v>6</v>
      </c>
      <c r="H56" s="76">
        <v>8</v>
      </c>
      <c r="I56" s="13">
        <v>0</v>
      </c>
      <c r="J56" s="33">
        <v>14946236</v>
      </c>
      <c r="K56" s="190">
        <v>1</v>
      </c>
      <c r="L56" s="34">
        <v>3555555.4</v>
      </c>
      <c r="M56" s="18">
        <v>4518176.5</v>
      </c>
      <c r="N56" s="80">
        <v>8</v>
      </c>
      <c r="O56" s="118">
        <v>55</v>
      </c>
      <c r="P56" s="118">
        <v>639</v>
      </c>
      <c r="Q56" s="119">
        <v>6283</v>
      </c>
      <c r="R56" s="138">
        <v>64381</v>
      </c>
      <c r="S56" s="91"/>
    </row>
    <row r="57" spans="1:22" s="90" customFormat="1" x14ac:dyDescent="0.15">
      <c r="A57" s="120">
        <v>50</v>
      </c>
      <c r="B57" s="104">
        <v>30667</v>
      </c>
      <c r="C57" s="76">
        <v>9</v>
      </c>
      <c r="D57" s="76">
        <v>5</v>
      </c>
      <c r="E57" s="76">
        <v>7</v>
      </c>
      <c r="F57" s="76">
        <v>6</v>
      </c>
      <c r="G57" s="76">
        <v>8</v>
      </c>
      <c r="H57" s="76">
        <v>6</v>
      </c>
      <c r="I57" s="13">
        <v>0</v>
      </c>
      <c r="J57" s="33">
        <v>15624584</v>
      </c>
      <c r="K57" s="190">
        <v>2</v>
      </c>
      <c r="L57" s="34">
        <v>2755555.4</v>
      </c>
      <c r="M57" s="18">
        <v>221095.9</v>
      </c>
      <c r="N57" s="80">
        <v>11</v>
      </c>
      <c r="O57" s="118">
        <v>61</v>
      </c>
      <c r="P57" s="118">
        <v>658</v>
      </c>
      <c r="Q57" s="119">
        <v>6665</v>
      </c>
      <c r="R57" s="138">
        <v>67144</v>
      </c>
      <c r="S57" s="91"/>
    </row>
    <row r="58" spans="1:22" s="90" customFormat="1" x14ac:dyDescent="0.15">
      <c r="A58" s="120">
        <v>51</v>
      </c>
      <c r="B58" s="104">
        <v>30674</v>
      </c>
      <c r="C58" s="76">
        <v>1</v>
      </c>
      <c r="D58" s="76">
        <v>3</v>
      </c>
      <c r="E58" s="76">
        <v>3</v>
      </c>
      <c r="F58" s="76">
        <v>3</v>
      </c>
      <c r="G58" s="76">
        <v>4</v>
      </c>
      <c r="H58" s="76">
        <v>4</v>
      </c>
      <c r="I58" s="13">
        <v>4</v>
      </c>
      <c r="J58" s="33">
        <v>13070310</v>
      </c>
      <c r="K58" s="190" t="s">
        <v>23</v>
      </c>
      <c r="L58" s="34"/>
      <c r="M58" s="34">
        <v>1236659</v>
      </c>
      <c r="N58" s="80">
        <v>5</v>
      </c>
      <c r="O58" s="118">
        <v>68</v>
      </c>
      <c r="P58" s="118">
        <v>621</v>
      </c>
      <c r="Q58" s="119">
        <v>6086</v>
      </c>
      <c r="R58" s="138">
        <v>59677</v>
      </c>
      <c r="S58" s="91"/>
    </row>
    <row r="59" spans="1:22" s="90" customFormat="1" x14ac:dyDescent="0.15">
      <c r="A59" s="120">
        <v>52</v>
      </c>
      <c r="B59" s="104">
        <v>30681</v>
      </c>
      <c r="C59" s="76">
        <v>3</v>
      </c>
      <c r="D59" s="76">
        <v>8</v>
      </c>
      <c r="E59" s="76">
        <v>4</v>
      </c>
      <c r="F59" s="76">
        <v>5</v>
      </c>
      <c r="G59" s="76">
        <v>3</v>
      </c>
      <c r="H59" s="76">
        <v>3</v>
      </c>
      <c r="I59" s="13">
        <v>7</v>
      </c>
      <c r="J59" s="33">
        <v>12341168</v>
      </c>
      <c r="K59" s="190" t="s">
        <v>23</v>
      </c>
      <c r="L59" s="34"/>
      <c r="M59" s="34">
        <v>2195567.7999999998</v>
      </c>
      <c r="N59" s="218">
        <v>6</v>
      </c>
      <c r="O59" s="57">
        <v>55</v>
      </c>
      <c r="P59" s="219">
        <v>529</v>
      </c>
      <c r="Q59" s="58">
        <v>5634</v>
      </c>
      <c r="R59" s="139">
        <v>56653</v>
      </c>
      <c r="S59" s="91"/>
    </row>
    <row r="60" spans="1:22" s="90" customFormat="1" x14ac:dyDescent="0.15">
      <c r="A60" s="101"/>
      <c r="B60" s="265"/>
      <c r="C60" s="97"/>
      <c r="D60" s="97"/>
      <c r="E60" s="97"/>
      <c r="F60" s="97"/>
      <c r="G60" s="97"/>
      <c r="H60" s="97" t="s">
        <v>24</v>
      </c>
      <c r="I60" s="97"/>
      <c r="J60" s="97"/>
      <c r="K60" s="262">
        <f>SUM(K8:K59)</f>
        <v>26</v>
      </c>
      <c r="L60" s="262"/>
      <c r="M60" s="262"/>
      <c r="N60" s="262">
        <f>SUM(N8:N59)</f>
        <v>289</v>
      </c>
      <c r="O60" s="262">
        <f>SUM(O8:O59)</f>
        <v>2959</v>
      </c>
      <c r="P60" s="262">
        <f>SUM(P8:P59)</f>
        <v>29462</v>
      </c>
      <c r="Q60" s="262">
        <f>SUM(Q8:Q59)</f>
        <v>296265</v>
      </c>
      <c r="R60" s="268">
        <f>SUM(R8:R59)</f>
        <v>2960411</v>
      </c>
      <c r="S60" s="91"/>
    </row>
    <row r="61" spans="1:22" s="90" customFormat="1" x14ac:dyDescent="0.15">
      <c r="A61" s="81"/>
      <c r="B61" s="82"/>
      <c r="C61" s="76"/>
      <c r="D61" s="76"/>
      <c r="E61" s="76"/>
      <c r="F61" s="76"/>
      <c r="G61" s="76"/>
      <c r="H61" s="76"/>
      <c r="I61" s="76"/>
      <c r="J61" s="83"/>
      <c r="K61" s="77"/>
      <c r="L61" s="84"/>
      <c r="M61" s="85"/>
      <c r="N61" s="86"/>
      <c r="O61" s="87"/>
      <c r="P61" s="87"/>
      <c r="Q61" s="88"/>
      <c r="R61" s="89"/>
      <c r="S61" s="91"/>
    </row>
    <row r="62" spans="1:22" s="90" customFormat="1" x14ac:dyDescent="0.15">
      <c r="A62" s="81"/>
      <c r="B62" s="82"/>
      <c r="C62" s="103"/>
      <c r="D62" s="103"/>
      <c r="E62" s="103"/>
      <c r="F62" s="103"/>
      <c r="G62" s="103"/>
      <c r="H62" s="103"/>
      <c r="I62" s="92"/>
      <c r="J62" s="83"/>
      <c r="K62" s="77"/>
      <c r="L62" s="9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92"/>
      <c r="D64" s="92"/>
      <c r="E64" s="92"/>
      <c r="F64" s="92"/>
      <c r="G64" s="92"/>
      <c r="H64" s="92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92"/>
      <c r="C65" s="92"/>
      <c r="D65" s="92"/>
      <c r="E65" s="92"/>
      <c r="F65" s="92"/>
      <c r="G65" s="92"/>
      <c r="H65" s="92"/>
      <c r="I65" s="92"/>
      <c r="J65" s="92"/>
      <c r="K65" s="93"/>
      <c r="L65" s="93"/>
      <c r="M65" s="93"/>
      <c r="N65" s="93"/>
      <c r="O65" s="93"/>
      <c r="P65" s="93"/>
      <c r="Q65" s="93"/>
      <c r="R65" s="93"/>
      <c r="S65" s="91"/>
      <c r="V65" s="111"/>
    </row>
    <row r="66" spans="1:22" s="90" customFormat="1" x14ac:dyDescent="0.15">
      <c r="L66" s="85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3"/>
  <sheetViews>
    <sheetView workbookViewId="0">
      <pane ySplit="7" topLeftCell="A17" activePane="bottomLeft" state="frozenSplit"/>
      <selection pane="bottomLeft" activeCell="T48" sqref="T48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41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 t="s">
        <v>19</v>
      </c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1984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31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32</v>
      </c>
      <c r="L6" s="209"/>
      <c r="M6" s="14" t="s">
        <v>14</v>
      </c>
      <c r="N6" s="75" t="s">
        <v>33</v>
      </c>
      <c r="O6" s="75" t="s">
        <v>34</v>
      </c>
      <c r="P6" s="75" t="s">
        <v>35</v>
      </c>
      <c r="Q6" s="75" t="s">
        <v>36</v>
      </c>
      <c r="R6" s="75" t="s">
        <v>37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32">
        <v>1</v>
      </c>
      <c r="B8" s="104">
        <v>30688</v>
      </c>
      <c r="C8" s="76">
        <v>1</v>
      </c>
      <c r="D8" s="76">
        <v>6</v>
      </c>
      <c r="E8" s="76">
        <v>8</v>
      </c>
      <c r="F8" s="76">
        <v>1</v>
      </c>
      <c r="G8" s="76">
        <v>7</v>
      </c>
      <c r="H8" s="76">
        <v>8</v>
      </c>
      <c r="I8" s="13">
        <v>8</v>
      </c>
      <c r="J8" s="33">
        <v>11547682</v>
      </c>
      <c r="K8" s="143" t="s">
        <v>23</v>
      </c>
      <c r="L8" s="34"/>
      <c r="M8" s="18">
        <v>3092822.7</v>
      </c>
      <c r="N8" s="56">
        <v>5</v>
      </c>
      <c r="O8" s="57">
        <v>63</v>
      </c>
      <c r="P8" s="57">
        <v>539</v>
      </c>
      <c r="Q8" s="58">
        <v>5416</v>
      </c>
      <c r="R8" s="59">
        <v>53008</v>
      </c>
      <c r="V8" s="4"/>
    </row>
    <row r="9" spans="1:22" x14ac:dyDescent="0.15">
      <c r="A9" s="32">
        <v>2</v>
      </c>
      <c r="B9" s="104">
        <v>30695</v>
      </c>
      <c r="C9" s="76">
        <v>3</v>
      </c>
      <c r="D9" s="76">
        <v>9</v>
      </c>
      <c r="E9" s="76">
        <v>3</v>
      </c>
      <c r="F9" s="76">
        <v>0</v>
      </c>
      <c r="G9" s="76">
        <v>1</v>
      </c>
      <c r="H9" s="76">
        <v>9</v>
      </c>
      <c r="I9" s="13">
        <v>2</v>
      </c>
      <c r="J9" s="33">
        <v>12616166</v>
      </c>
      <c r="K9" s="143">
        <v>1</v>
      </c>
      <c r="L9" s="34">
        <v>3555555.4</v>
      </c>
      <c r="M9" s="34">
        <v>517543.4</v>
      </c>
      <c r="N9" s="56">
        <v>2</v>
      </c>
      <c r="O9" s="57">
        <v>64</v>
      </c>
      <c r="P9" s="57">
        <v>600</v>
      </c>
      <c r="Q9" s="58">
        <v>5965</v>
      </c>
      <c r="R9" s="59">
        <v>57753</v>
      </c>
      <c r="V9" s="4"/>
    </row>
    <row r="10" spans="1:22" x14ac:dyDescent="0.15">
      <c r="A10" s="32">
        <v>3</v>
      </c>
      <c r="B10" s="104">
        <v>30702</v>
      </c>
      <c r="C10" s="76">
        <v>0</v>
      </c>
      <c r="D10" s="76">
        <v>1</v>
      </c>
      <c r="E10" s="76">
        <v>8</v>
      </c>
      <c r="F10" s="76">
        <v>2</v>
      </c>
      <c r="G10" s="76">
        <v>1</v>
      </c>
      <c r="H10" s="76">
        <v>6</v>
      </c>
      <c r="I10" s="13">
        <v>0</v>
      </c>
      <c r="J10" s="33">
        <v>12391884</v>
      </c>
      <c r="K10" s="143">
        <v>1</v>
      </c>
      <c r="L10" s="34">
        <v>1355555.4</v>
      </c>
      <c r="M10" s="18">
        <v>124837.4</v>
      </c>
      <c r="N10" s="56">
        <v>6</v>
      </c>
      <c r="O10" s="57">
        <v>61</v>
      </c>
      <c r="P10" s="57">
        <v>569</v>
      </c>
      <c r="Q10" s="58">
        <v>5422</v>
      </c>
      <c r="R10" s="59">
        <v>54738</v>
      </c>
      <c r="V10" s="4"/>
    </row>
    <row r="11" spans="1:22" x14ac:dyDescent="0.15">
      <c r="A11" s="32">
        <v>4</v>
      </c>
      <c r="B11" s="104">
        <v>30709</v>
      </c>
      <c r="C11" s="76">
        <v>9</v>
      </c>
      <c r="D11" s="76">
        <v>1</v>
      </c>
      <c r="E11" s="76">
        <v>8</v>
      </c>
      <c r="F11" s="76">
        <v>3</v>
      </c>
      <c r="G11" s="76">
        <v>4</v>
      </c>
      <c r="H11" s="76">
        <v>2</v>
      </c>
      <c r="I11" s="13">
        <v>7</v>
      </c>
      <c r="J11" s="33">
        <v>12371596</v>
      </c>
      <c r="K11" s="143">
        <v>1</v>
      </c>
      <c r="L11" s="34">
        <v>955555.4</v>
      </c>
      <c r="M11" s="34">
        <v>130555</v>
      </c>
      <c r="N11" s="56">
        <v>5</v>
      </c>
      <c r="O11" s="57">
        <v>48</v>
      </c>
      <c r="P11" s="57">
        <v>551</v>
      </c>
      <c r="Q11" s="58">
        <v>5356</v>
      </c>
      <c r="R11" s="59">
        <v>54452</v>
      </c>
      <c r="V11" s="4"/>
    </row>
    <row r="12" spans="1:22" x14ac:dyDescent="0.15">
      <c r="A12" s="32">
        <v>5</v>
      </c>
      <c r="B12" s="104">
        <v>30716</v>
      </c>
      <c r="C12" s="76">
        <v>8</v>
      </c>
      <c r="D12" s="76">
        <v>2</v>
      </c>
      <c r="E12" s="76">
        <v>3</v>
      </c>
      <c r="F12" s="76">
        <v>1</v>
      </c>
      <c r="G12" s="76">
        <v>7</v>
      </c>
      <c r="H12" s="76">
        <v>4</v>
      </c>
      <c r="I12" s="13">
        <v>5</v>
      </c>
      <c r="J12" s="33">
        <v>12382576</v>
      </c>
      <c r="K12" s="143">
        <v>2</v>
      </c>
      <c r="L12" s="34">
        <v>355555.4</v>
      </c>
      <c r="M12" s="18">
        <v>381570.4</v>
      </c>
      <c r="N12" s="56">
        <v>3</v>
      </c>
      <c r="O12" s="57">
        <v>50</v>
      </c>
      <c r="P12" s="57">
        <v>603</v>
      </c>
      <c r="Q12" s="58">
        <v>5459</v>
      </c>
      <c r="R12" s="59">
        <v>54837</v>
      </c>
      <c r="V12" s="4"/>
    </row>
    <row r="13" spans="1:22" x14ac:dyDescent="0.15">
      <c r="A13" s="32">
        <v>6</v>
      </c>
      <c r="B13" s="104">
        <v>30723</v>
      </c>
      <c r="C13" s="76">
        <v>6</v>
      </c>
      <c r="D13" s="76">
        <v>4</v>
      </c>
      <c r="E13" s="76">
        <v>6</v>
      </c>
      <c r="F13" s="76">
        <v>4</v>
      </c>
      <c r="G13" s="76">
        <v>7</v>
      </c>
      <c r="H13" s="76">
        <v>3</v>
      </c>
      <c r="I13" s="13">
        <v>0</v>
      </c>
      <c r="J13" s="33">
        <v>12346638</v>
      </c>
      <c r="K13" s="143" t="s">
        <v>23</v>
      </c>
      <c r="L13" s="34"/>
      <c r="M13" s="34">
        <v>1340904.2</v>
      </c>
      <c r="N13" s="56">
        <v>14</v>
      </c>
      <c r="O13" s="57">
        <v>66</v>
      </c>
      <c r="P13" s="57">
        <v>558</v>
      </c>
      <c r="Q13" s="58">
        <v>5430</v>
      </c>
      <c r="R13" s="59">
        <v>55173</v>
      </c>
      <c r="V13" s="4"/>
    </row>
    <row r="14" spans="1:22" x14ac:dyDescent="0.15">
      <c r="A14" s="32">
        <v>7</v>
      </c>
      <c r="B14" s="104">
        <v>30730</v>
      </c>
      <c r="C14" s="76">
        <v>0</v>
      </c>
      <c r="D14" s="76">
        <v>0</v>
      </c>
      <c r="E14" s="76">
        <v>7</v>
      </c>
      <c r="F14" s="76">
        <v>9</v>
      </c>
      <c r="G14" s="76">
        <v>8</v>
      </c>
      <c r="H14" s="76">
        <v>7</v>
      </c>
      <c r="I14" s="13">
        <v>5</v>
      </c>
      <c r="J14" s="33">
        <v>12102048</v>
      </c>
      <c r="K14" s="143" t="s">
        <v>23</v>
      </c>
      <c r="L14" s="34"/>
      <c r="M14" s="18">
        <v>2281233.2999999998</v>
      </c>
      <c r="N14" s="56">
        <v>4</v>
      </c>
      <c r="O14" s="57">
        <v>44</v>
      </c>
      <c r="P14" s="57">
        <v>545</v>
      </c>
      <c r="Q14" s="58">
        <v>5364</v>
      </c>
      <c r="R14" s="59">
        <v>53475</v>
      </c>
      <c r="V14" s="4"/>
    </row>
    <row r="15" spans="1:22" x14ac:dyDescent="0.15">
      <c r="A15" s="32">
        <v>8</v>
      </c>
      <c r="B15" s="104">
        <v>30737</v>
      </c>
      <c r="C15" s="76">
        <v>7</v>
      </c>
      <c r="D15" s="76">
        <v>0</v>
      </c>
      <c r="E15" s="76">
        <v>5</v>
      </c>
      <c r="F15" s="76">
        <v>2</v>
      </c>
      <c r="G15" s="76">
        <v>0</v>
      </c>
      <c r="H15" s="76">
        <v>2</v>
      </c>
      <c r="I15" s="13">
        <v>6</v>
      </c>
      <c r="J15" s="33">
        <v>12076538</v>
      </c>
      <c r="K15" s="143" t="s">
        <v>23</v>
      </c>
      <c r="L15" s="34"/>
      <c r="M15" s="18">
        <v>3219580.3</v>
      </c>
      <c r="N15" s="56">
        <v>8</v>
      </c>
      <c r="O15" s="57">
        <v>41</v>
      </c>
      <c r="P15" s="57">
        <v>592</v>
      </c>
      <c r="Q15" s="58">
        <v>5436</v>
      </c>
      <c r="R15" s="59">
        <v>55968</v>
      </c>
      <c r="V15" s="4"/>
    </row>
    <row r="16" spans="1:22" x14ac:dyDescent="0.15">
      <c r="A16" s="32">
        <v>9</v>
      </c>
      <c r="B16" s="104">
        <v>30744</v>
      </c>
      <c r="C16" s="76">
        <v>0</v>
      </c>
      <c r="D16" s="76">
        <v>8</v>
      </c>
      <c r="E16" s="76">
        <v>5</v>
      </c>
      <c r="F16" s="76">
        <v>3</v>
      </c>
      <c r="G16" s="76">
        <v>7</v>
      </c>
      <c r="H16" s="76">
        <v>0</v>
      </c>
      <c r="I16" s="13">
        <v>7</v>
      </c>
      <c r="J16" s="33">
        <v>13420552</v>
      </c>
      <c r="K16" s="143">
        <v>1</v>
      </c>
      <c r="L16" s="34">
        <v>3555555.4</v>
      </c>
      <c r="M16" s="18">
        <v>706801.8</v>
      </c>
      <c r="N16" s="56">
        <v>7</v>
      </c>
      <c r="O16" s="57">
        <v>61</v>
      </c>
      <c r="P16" s="57">
        <v>587</v>
      </c>
      <c r="Q16" s="58">
        <v>5968</v>
      </c>
      <c r="R16" s="59">
        <v>57924</v>
      </c>
      <c r="V16" s="4"/>
    </row>
    <row r="17" spans="1:22" x14ac:dyDescent="0.15">
      <c r="A17" s="32">
        <v>10</v>
      </c>
      <c r="B17" s="104">
        <v>30751</v>
      </c>
      <c r="C17" s="76">
        <v>4</v>
      </c>
      <c r="D17" s="76">
        <v>3</v>
      </c>
      <c r="E17" s="76">
        <v>7</v>
      </c>
      <c r="F17" s="76">
        <v>6</v>
      </c>
      <c r="G17" s="76">
        <v>0</v>
      </c>
      <c r="H17" s="76">
        <v>5</v>
      </c>
      <c r="I17" s="13">
        <v>4</v>
      </c>
      <c r="J17" s="33">
        <v>12526700</v>
      </c>
      <c r="K17" s="143" t="s">
        <v>23</v>
      </c>
      <c r="L17" s="34"/>
      <c r="M17" s="18">
        <v>1680126.4</v>
      </c>
      <c r="N17" s="56">
        <v>7</v>
      </c>
      <c r="O17" s="57">
        <v>57</v>
      </c>
      <c r="P17" s="57">
        <v>537</v>
      </c>
      <c r="Q17" s="58">
        <v>5565</v>
      </c>
      <c r="R17" s="59">
        <v>55721</v>
      </c>
      <c r="V17" s="4"/>
    </row>
    <row r="18" spans="1:22" x14ac:dyDescent="0.15">
      <c r="A18" s="32">
        <v>11</v>
      </c>
      <c r="B18" s="104">
        <v>30758</v>
      </c>
      <c r="C18" s="76">
        <v>6</v>
      </c>
      <c r="D18" s="76">
        <v>1</v>
      </c>
      <c r="E18" s="76">
        <v>8</v>
      </c>
      <c r="F18" s="76">
        <v>2</v>
      </c>
      <c r="G18" s="76">
        <v>2</v>
      </c>
      <c r="H18" s="76">
        <v>3</v>
      </c>
      <c r="I18" s="13">
        <v>9</v>
      </c>
      <c r="J18" s="33">
        <v>12015418</v>
      </c>
      <c r="K18" s="143">
        <v>1</v>
      </c>
      <c r="L18" s="34">
        <v>2555555.4</v>
      </c>
      <c r="M18" s="18">
        <v>58169</v>
      </c>
      <c r="N18" s="56">
        <v>7</v>
      </c>
      <c r="O18" s="57">
        <v>41</v>
      </c>
      <c r="P18" s="57">
        <v>531</v>
      </c>
      <c r="Q18" s="58">
        <v>5509</v>
      </c>
      <c r="R18" s="59">
        <v>54399</v>
      </c>
      <c r="V18" s="4"/>
    </row>
    <row r="19" spans="1:22" x14ac:dyDescent="0.15">
      <c r="A19" s="32">
        <v>12</v>
      </c>
      <c r="B19" s="104">
        <v>30765</v>
      </c>
      <c r="C19" s="76">
        <v>0</v>
      </c>
      <c r="D19" s="76">
        <v>3</v>
      </c>
      <c r="E19" s="76">
        <v>0</v>
      </c>
      <c r="F19" s="76">
        <v>0</v>
      </c>
      <c r="G19" s="76">
        <v>9</v>
      </c>
      <c r="H19" s="76">
        <v>0</v>
      </c>
      <c r="I19" s="13">
        <v>3</v>
      </c>
      <c r="J19" s="33">
        <v>11835926</v>
      </c>
      <c r="K19" s="143">
        <v>1</v>
      </c>
      <c r="L19" s="34">
        <v>955555.4</v>
      </c>
      <c r="M19" s="18">
        <v>22265.1</v>
      </c>
      <c r="N19" s="56">
        <v>6</v>
      </c>
      <c r="O19" s="57">
        <v>58</v>
      </c>
      <c r="P19" s="57">
        <v>515</v>
      </c>
      <c r="Q19" s="58">
        <v>5230</v>
      </c>
      <c r="R19" s="59">
        <v>51298</v>
      </c>
      <c r="V19" s="4"/>
    </row>
    <row r="20" spans="1:22" x14ac:dyDescent="0.15">
      <c r="A20" s="32">
        <v>13</v>
      </c>
      <c r="B20" s="104">
        <v>30772</v>
      </c>
      <c r="C20" s="76">
        <v>2</v>
      </c>
      <c r="D20" s="76">
        <v>9</v>
      </c>
      <c r="E20" s="76">
        <v>7</v>
      </c>
      <c r="F20" s="76">
        <v>1</v>
      </c>
      <c r="G20" s="76">
        <v>1</v>
      </c>
      <c r="H20" s="76">
        <v>5</v>
      </c>
      <c r="I20" s="13">
        <v>6</v>
      </c>
      <c r="J20" s="33">
        <v>12140362</v>
      </c>
      <c r="K20" s="143">
        <v>1</v>
      </c>
      <c r="L20" s="34">
        <v>955555.4</v>
      </c>
      <c r="M20" s="18">
        <v>10015.799999999999</v>
      </c>
      <c r="N20" s="56">
        <v>8</v>
      </c>
      <c r="O20" s="57">
        <v>60</v>
      </c>
      <c r="P20" s="57">
        <v>526</v>
      </c>
      <c r="Q20" s="58">
        <v>5461</v>
      </c>
      <c r="R20" s="59">
        <v>55373</v>
      </c>
      <c r="V20" s="4"/>
    </row>
    <row r="21" spans="1:22" x14ac:dyDescent="0.15">
      <c r="A21" s="32">
        <v>14</v>
      </c>
      <c r="B21" s="104">
        <v>30779</v>
      </c>
      <c r="C21" s="76">
        <v>2</v>
      </c>
      <c r="D21" s="76">
        <v>6</v>
      </c>
      <c r="E21" s="76">
        <v>4</v>
      </c>
      <c r="F21" s="76">
        <v>3</v>
      </c>
      <c r="G21" s="76">
        <v>8</v>
      </c>
      <c r="H21" s="76">
        <v>7</v>
      </c>
      <c r="I21" s="13">
        <v>2</v>
      </c>
      <c r="J21" s="33">
        <v>13579342</v>
      </c>
      <c r="K21" s="143" t="s">
        <v>23</v>
      </c>
      <c r="L21" s="34"/>
      <c r="M21" s="18">
        <v>1065130.7</v>
      </c>
      <c r="N21" s="56">
        <v>8</v>
      </c>
      <c r="O21" s="57">
        <v>75</v>
      </c>
      <c r="P21" s="57">
        <v>608</v>
      </c>
      <c r="Q21" s="58">
        <v>6066</v>
      </c>
      <c r="R21" s="59">
        <v>60646</v>
      </c>
      <c r="V21" s="4"/>
    </row>
    <row r="22" spans="1:22" x14ac:dyDescent="0.15">
      <c r="A22" s="32">
        <v>15</v>
      </c>
      <c r="B22" s="104">
        <v>30786</v>
      </c>
      <c r="C22" s="76">
        <v>8</v>
      </c>
      <c r="D22" s="76">
        <v>1</v>
      </c>
      <c r="E22" s="76">
        <v>9</v>
      </c>
      <c r="F22" s="76">
        <v>8</v>
      </c>
      <c r="G22" s="76">
        <v>4</v>
      </c>
      <c r="H22" s="76">
        <v>0</v>
      </c>
      <c r="I22" s="13">
        <v>6</v>
      </c>
      <c r="J22" s="33">
        <v>12036710</v>
      </c>
      <c r="K22" s="143" t="s">
        <v>23</v>
      </c>
      <c r="L22" s="34"/>
      <c r="M22" s="18">
        <v>2000383.1</v>
      </c>
      <c r="N22" s="56">
        <v>6</v>
      </c>
      <c r="O22" s="57">
        <v>47</v>
      </c>
      <c r="P22" s="57">
        <v>516</v>
      </c>
      <c r="Q22" s="58">
        <v>5290</v>
      </c>
      <c r="R22" s="59">
        <v>51972</v>
      </c>
      <c r="V22" s="4"/>
    </row>
    <row r="23" spans="1:22" x14ac:dyDescent="0.15">
      <c r="A23" s="32">
        <v>16</v>
      </c>
      <c r="B23" s="104">
        <v>30793</v>
      </c>
      <c r="C23" s="76">
        <v>2</v>
      </c>
      <c r="D23" s="76">
        <v>7</v>
      </c>
      <c r="E23" s="76">
        <v>8</v>
      </c>
      <c r="F23" s="76">
        <v>2</v>
      </c>
      <c r="G23" s="76">
        <v>0</v>
      </c>
      <c r="H23" s="76">
        <v>0</v>
      </c>
      <c r="I23" s="13">
        <v>5</v>
      </c>
      <c r="J23" s="33">
        <v>11310658</v>
      </c>
      <c r="K23" s="143">
        <v>1</v>
      </c>
      <c r="L23" s="34">
        <v>2755555.4</v>
      </c>
      <c r="M23" s="18">
        <v>123665.8</v>
      </c>
      <c r="N23" s="56">
        <v>8</v>
      </c>
      <c r="O23" s="57">
        <v>39</v>
      </c>
      <c r="P23" s="57">
        <v>442</v>
      </c>
      <c r="Q23" s="58">
        <v>4634</v>
      </c>
      <c r="R23" s="59">
        <v>48934</v>
      </c>
      <c r="V23" s="4"/>
    </row>
    <row r="24" spans="1:22" x14ac:dyDescent="0.15">
      <c r="A24" s="32">
        <v>17</v>
      </c>
      <c r="B24" s="104">
        <v>30800</v>
      </c>
      <c r="C24" s="76">
        <v>6</v>
      </c>
      <c r="D24" s="76">
        <v>6</v>
      </c>
      <c r="E24" s="76">
        <v>4</v>
      </c>
      <c r="F24" s="76">
        <v>9</v>
      </c>
      <c r="G24" s="76">
        <v>6</v>
      </c>
      <c r="H24" s="76">
        <v>1</v>
      </c>
      <c r="I24" s="13">
        <v>6</v>
      </c>
      <c r="J24" s="33">
        <v>11324858</v>
      </c>
      <c r="K24" s="143" t="s">
        <v>23</v>
      </c>
      <c r="L24" s="34"/>
      <c r="M24" s="18">
        <v>1003607.3</v>
      </c>
      <c r="N24" s="56">
        <v>6</v>
      </c>
      <c r="O24" s="57">
        <v>59</v>
      </c>
      <c r="P24" s="57">
        <v>528</v>
      </c>
      <c r="Q24" s="58">
        <v>5136</v>
      </c>
      <c r="R24" s="59">
        <v>50968</v>
      </c>
      <c r="V24" s="4"/>
    </row>
    <row r="25" spans="1:22" x14ac:dyDescent="0.15">
      <c r="A25" s="32">
        <v>18</v>
      </c>
      <c r="B25" s="104">
        <v>30807</v>
      </c>
      <c r="C25" s="76">
        <v>3</v>
      </c>
      <c r="D25" s="76">
        <v>0</v>
      </c>
      <c r="E25" s="76">
        <v>8</v>
      </c>
      <c r="F25" s="76">
        <v>2</v>
      </c>
      <c r="G25" s="76">
        <v>8</v>
      </c>
      <c r="H25" s="76">
        <v>5</v>
      </c>
      <c r="I25" s="13">
        <v>8</v>
      </c>
      <c r="J25" s="33">
        <v>11531228</v>
      </c>
      <c r="K25" s="143" t="s">
        <v>23</v>
      </c>
      <c r="L25" s="34"/>
      <c r="M25" s="18">
        <v>1899583.7</v>
      </c>
      <c r="N25" s="56">
        <v>4</v>
      </c>
      <c r="O25" s="57">
        <v>69</v>
      </c>
      <c r="P25" s="57">
        <v>529</v>
      </c>
      <c r="Q25" s="58">
        <v>5273</v>
      </c>
      <c r="R25" s="59">
        <v>52220</v>
      </c>
      <c r="V25" s="4"/>
    </row>
    <row r="26" spans="1:22" x14ac:dyDescent="0.15">
      <c r="A26" s="32">
        <v>19</v>
      </c>
      <c r="B26" s="104">
        <v>30814</v>
      </c>
      <c r="C26" s="76">
        <v>7</v>
      </c>
      <c r="D26" s="76">
        <v>6</v>
      </c>
      <c r="E26" s="76">
        <v>6</v>
      </c>
      <c r="F26" s="76">
        <v>9</v>
      </c>
      <c r="G26" s="76">
        <v>8</v>
      </c>
      <c r="H26" s="76">
        <v>3</v>
      </c>
      <c r="I26" s="13">
        <v>8</v>
      </c>
      <c r="J26" s="33">
        <v>11746430</v>
      </c>
      <c r="K26" s="143" t="s">
        <v>23</v>
      </c>
      <c r="L26" s="34"/>
      <c r="M26" s="34">
        <v>2812281.3</v>
      </c>
      <c r="N26" s="56">
        <v>3</v>
      </c>
      <c r="O26" s="57">
        <v>55</v>
      </c>
      <c r="P26" s="57">
        <v>514</v>
      </c>
      <c r="Q26" s="58">
        <v>5195</v>
      </c>
      <c r="R26" s="59">
        <v>52997</v>
      </c>
      <c r="V26" s="4"/>
    </row>
    <row r="27" spans="1:22" x14ac:dyDescent="0.15">
      <c r="A27" s="32">
        <v>20</v>
      </c>
      <c r="B27" s="104">
        <v>30821</v>
      </c>
      <c r="C27" s="76">
        <v>4</v>
      </c>
      <c r="D27" s="76">
        <v>0</v>
      </c>
      <c r="E27" s="76">
        <v>5</v>
      </c>
      <c r="F27" s="76">
        <v>0</v>
      </c>
      <c r="G27" s="76">
        <v>8</v>
      </c>
      <c r="H27" s="76">
        <v>3</v>
      </c>
      <c r="I27" s="13">
        <v>1</v>
      </c>
      <c r="J27" s="33">
        <v>11673064</v>
      </c>
      <c r="K27" s="143" t="s">
        <v>23</v>
      </c>
      <c r="L27" s="34"/>
      <c r="M27" s="18">
        <v>3719278.4</v>
      </c>
      <c r="N27" s="56">
        <v>3</v>
      </c>
      <c r="O27" s="57">
        <v>46</v>
      </c>
      <c r="P27" s="57">
        <v>493</v>
      </c>
      <c r="Q27" s="58">
        <v>5367</v>
      </c>
      <c r="R27" s="59">
        <v>52621</v>
      </c>
      <c r="V27" s="4"/>
    </row>
    <row r="28" spans="1:22" x14ac:dyDescent="0.15">
      <c r="A28" s="32">
        <v>21</v>
      </c>
      <c r="B28" s="104">
        <v>30828</v>
      </c>
      <c r="C28" s="76">
        <v>5</v>
      </c>
      <c r="D28" s="76">
        <v>0</v>
      </c>
      <c r="E28" s="76">
        <v>1</v>
      </c>
      <c r="F28" s="76">
        <v>8</v>
      </c>
      <c r="G28" s="76">
        <v>8</v>
      </c>
      <c r="H28" s="76">
        <v>8</v>
      </c>
      <c r="I28" s="13">
        <v>4</v>
      </c>
      <c r="J28" s="33">
        <v>11463266</v>
      </c>
      <c r="K28" s="143" t="s">
        <v>23</v>
      </c>
      <c r="L28" s="34"/>
      <c r="M28" s="18">
        <v>4609974.2</v>
      </c>
      <c r="N28" s="56">
        <v>9</v>
      </c>
      <c r="O28" s="57">
        <v>51</v>
      </c>
      <c r="P28" s="57">
        <v>474</v>
      </c>
      <c r="Q28" s="58">
        <v>5105</v>
      </c>
      <c r="R28" s="59">
        <v>51960</v>
      </c>
      <c r="V28" s="4"/>
    </row>
    <row r="29" spans="1:22" x14ac:dyDescent="0.15">
      <c r="A29" s="32">
        <v>22</v>
      </c>
      <c r="B29" s="104">
        <v>30835</v>
      </c>
      <c r="C29" s="76">
        <v>1</v>
      </c>
      <c r="D29" s="76">
        <v>9</v>
      </c>
      <c r="E29" s="76">
        <v>7</v>
      </c>
      <c r="F29" s="76">
        <v>4</v>
      </c>
      <c r="G29" s="76">
        <v>0</v>
      </c>
      <c r="H29" s="76">
        <v>9</v>
      </c>
      <c r="I29" s="13">
        <v>1</v>
      </c>
      <c r="J29" s="33">
        <v>11045318</v>
      </c>
      <c r="K29" s="143" t="s">
        <v>23</v>
      </c>
      <c r="L29" s="34"/>
      <c r="M29" s="34">
        <v>5468194.5</v>
      </c>
      <c r="N29" s="56">
        <v>4</v>
      </c>
      <c r="O29" s="57">
        <v>54</v>
      </c>
      <c r="P29" s="57">
        <v>482</v>
      </c>
      <c r="Q29" s="58">
        <v>4682</v>
      </c>
      <c r="R29" s="59">
        <v>49545</v>
      </c>
      <c r="V29" s="4"/>
    </row>
    <row r="30" spans="1:22" x14ac:dyDescent="0.15">
      <c r="A30" s="32">
        <v>23</v>
      </c>
      <c r="B30" s="104">
        <v>30842</v>
      </c>
      <c r="C30" s="76">
        <v>3</v>
      </c>
      <c r="D30" s="76">
        <v>1</v>
      </c>
      <c r="E30" s="76">
        <v>9</v>
      </c>
      <c r="F30" s="76">
        <v>5</v>
      </c>
      <c r="G30" s="76">
        <v>4</v>
      </c>
      <c r="H30" s="76">
        <v>0</v>
      </c>
      <c r="I30" s="13">
        <v>2</v>
      </c>
      <c r="J30" s="33">
        <v>11730526</v>
      </c>
      <c r="K30" s="143" t="s">
        <v>23</v>
      </c>
      <c r="L30" s="34"/>
      <c r="M30" s="18">
        <v>6379657.2999999998</v>
      </c>
      <c r="N30" s="56">
        <v>6</v>
      </c>
      <c r="O30" s="57">
        <v>46</v>
      </c>
      <c r="P30" s="57">
        <v>511</v>
      </c>
      <c r="Q30" s="58">
        <v>5469</v>
      </c>
      <c r="R30" s="59">
        <v>53535</v>
      </c>
      <c r="V30" s="4"/>
    </row>
    <row r="31" spans="1:22" x14ac:dyDescent="0.15">
      <c r="A31" s="32">
        <v>24</v>
      </c>
      <c r="B31" s="104">
        <v>30849</v>
      </c>
      <c r="C31" s="76">
        <v>1</v>
      </c>
      <c r="D31" s="76">
        <v>9</v>
      </c>
      <c r="E31" s="76">
        <v>7</v>
      </c>
      <c r="F31" s="76">
        <v>8</v>
      </c>
      <c r="G31" s="76">
        <v>7</v>
      </c>
      <c r="H31" s="76">
        <v>7</v>
      </c>
      <c r="I31" s="13">
        <v>4</v>
      </c>
      <c r="J31" s="33">
        <v>11218224</v>
      </c>
      <c r="K31" s="143">
        <v>1</v>
      </c>
      <c r="L31" s="34">
        <v>3555555.4</v>
      </c>
      <c r="M31" s="18">
        <v>3695757.9</v>
      </c>
      <c r="N31" s="56">
        <v>4</v>
      </c>
      <c r="O31" s="57">
        <v>53</v>
      </c>
      <c r="P31" s="57">
        <v>515</v>
      </c>
      <c r="Q31" s="58">
        <v>5138</v>
      </c>
      <c r="R31" s="59">
        <v>50131</v>
      </c>
      <c r="V31" s="4"/>
    </row>
    <row r="32" spans="1:22" x14ac:dyDescent="0.15">
      <c r="A32" s="32">
        <v>25</v>
      </c>
      <c r="B32" s="104">
        <v>30856</v>
      </c>
      <c r="C32" s="76">
        <v>0</v>
      </c>
      <c r="D32" s="76">
        <v>7</v>
      </c>
      <c r="E32" s="76">
        <v>9</v>
      </c>
      <c r="F32" s="76">
        <v>7</v>
      </c>
      <c r="G32" s="76">
        <v>5</v>
      </c>
      <c r="H32" s="76">
        <v>0</v>
      </c>
      <c r="I32" s="13">
        <v>5</v>
      </c>
      <c r="J32" s="33">
        <v>10794868</v>
      </c>
      <c r="K32" s="143">
        <v>3</v>
      </c>
      <c r="L32" s="34">
        <v>1355555.4</v>
      </c>
      <c r="M32" s="18">
        <v>467852.9</v>
      </c>
      <c r="N32" s="56">
        <v>2</v>
      </c>
      <c r="O32" s="57">
        <v>31</v>
      </c>
      <c r="P32" s="57">
        <v>491</v>
      </c>
      <c r="Q32" s="58">
        <v>4712</v>
      </c>
      <c r="R32" s="59">
        <v>47298</v>
      </c>
      <c r="V32" s="4"/>
    </row>
    <row r="33" spans="1:22" x14ac:dyDescent="0.15">
      <c r="A33" s="32">
        <v>26</v>
      </c>
      <c r="B33" s="104">
        <v>30863</v>
      </c>
      <c r="C33" s="76">
        <v>0</v>
      </c>
      <c r="D33" s="76">
        <v>6</v>
      </c>
      <c r="E33" s="76">
        <v>8</v>
      </c>
      <c r="F33" s="76">
        <v>0</v>
      </c>
      <c r="G33" s="76">
        <v>3</v>
      </c>
      <c r="H33" s="76">
        <v>2</v>
      </c>
      <c r="I33" s="13">
        <v>0</v>
      </c>
      <c r="J33" s="33">
        <v>11115136</v>
      </c>
      <c r="K33" s="143">
        <v>2</v>
      </c>
      <c r="L33" s="34">
        <v>555555.4</v>
      </c>
      <c r="M33" s="18">
        <v>220388.2</v>
      </c>
      <c r="N33" s="56">
        <v>8</v>
      </c>
      <c r="O33" s="57">
        <v>36</v>
      </c>
      <c r="P33" s="57">
        <v>495</v>
      </c>
      <c r="Q33" s="58">
        <v>4923</v>
      </c>
      <c r="R33" s="59">
        <v>49003</v>
      </c>
      <c r="V33" s="4"/>
    </row>
    <row r="34" spans="1:22" x14ac:dyDescent="0.15">
      <c r="A34" s="32">
        <v>27</v>
      </c>
      <c r="B34" s="104">
        <v>30870</v>
      </c>
      <c r="C34" s="76">
        <v>2</v>
      </c>
      <c r="D34" s="76">
        <v>1</v>
      </c>
      <c r="E34" s="76">
        <v>7</v>
      </c>
      <c r="F34" s="76">
        <v>0</v>
      </c>
      <c r="G34" s="76">
        <v>4</v>
      </c>
      <c r="H34" s="76">
        <v>4</v>
      </c>
      <c r="I34" s="113">
        <v>8</v>
      </c>
      <c r="J34" s="116">
        <v>11263474</v>
      </c>
      <c r="K34" s="143" t="s">
        <v>23</v>
      </c>
      <c r="L34" s="34"/>
      <c r="M34" s="117">
        <v>1095560.1000000001</v>
      </c>
      <c r="N34" s="56">
        <v>9</v>
      </c>
      <c r="O34" s="57">
        <v>41</v>
      </c>
      <c r="P34" s="57">
        <v>544</v>
      </c>
      <c r="Q34" s="58">
        <v>5017</v>
      </c>
      <c r="R34" s="59">
        <v>51826</v>
      </c>
      <c r="V34" s="4"/>
    </row>
    <row r="35" spans="1:22" x14ac:dyDescent="0.15">
      <c r="A35" s="32">
        <v>28</v>
      </c>
      <c r="B35" s="104">
        <v>30877</v>
      </c>
      <c r="C35" s="76">
        <v>7</v>
      </c>
      <c r="D35" s="76">
        <v>4</v>
      </c>
      <c r="E35" s="76">
        <v>7</v>
      </c>
      <c r="F35" s="76">
        <v>8</v>
      </c>
      <c r="G35" s="76">
        <v>5</v>
      </c>
      <c r="H35" s="76">
        <v>6</v>
      </c>
      <c r="I35" s="13">
        <v>4</v>
      </c>
      <c r="J35" s="33">
        <v>10964512</v>
      </c>
      <c r="K35" s="143">
        <v>1</v>
      </c>
      <c r="L35" s="34">
        <v>1755555.4</v>
      </c>
      <c r="M35" s="18">
        <v>191947.3</v>
      </c>
      <c r="N35" s="56">
        <v>7</v>
      </c>
      <c r="O35" s="57">
        <v>58</v>
      </c>
      <c r="P35" s="57">
        <v>481</v>
      </c>
      <c r="Q35" s="58">
        <v>4935</v>
      </c>
      <c r="R35" s="59">
        <v>49184</v>
      </c>
      <c r="V35" s="4"/>
    </row>
    <row r="36" spans="1:22" x14ac:dyDescent="0.15">
      <c r="A36" s="32">
        <v>29</v>
      </c>
      <c r="B36" s="104">
        <v>30884</v>
      </c>
      <c r="C36" s="76">
        <v>9</v>
      </c>
      <c r="D36" s="76">
        <v>6</v>
      </c>
      <c r="E36" s="76">
        <v>1</v>
      </c>
      <c r="F36" s="76">
        <v>3</v>
      </c>
      <c r="G36" s="76">
        <v>3</v>
      </c>
      <c r="H36" s="76">
        <v>0</v>
      </c>
      <c r="I36" s="113">
        <v>0</v>
      </c>
      <c r="J36" s="116">
        <v>10969442</v>
      </c>
      <c r="K36" s="143" t="s">
        <v>23</v>
      </c>
      <c r="L36" s="34"/>
      <c r="M36" s="34">
        <v>1044272.9</v>
      </c>
      <c r="N36" s="56">
        <v>8</v>
      </c>
      <c r="O36" s="57">
        <v>42</v>
      </c>
      <c r="P36" s="57">
        <v>480</v>
      </c>
      <c r="Q36" s="58">
        <v>4920</v>
      </c>
      <c r="R36" s="59">
        <v>48281</v>
      </c>
      <c r="V36" s="4"/>
    </row>
    <row r="37" spans="1:22" x14ac:dyDescent="0.15">
      <c r="A37" s="32">
        <v>30</v>
      </c>
      <c r="B37" s="104">
        <v>30891</v>
      </c>
      <c r="C37" s="76">
        <v>2</v>
      </c>
      <c r="D37" s="76">
        <v>6</v>
      </c>
      <c r="E37" s="76">
        <v>3</v>
      </c>
      <c r="F37" s="76">
        <v>4</v>
      </c>
      <c r="G37" s="76">
        <v>8</v>
      </c>
      <c r="H37" s="76">
        <v>1</v>
      </c>
      <c r="I37" s="13">
        <v>8</v>
      </c>
      <c r="J37" s="33">
        <v>11160986</v>
      </c>
      <c r="K37" s="143" t="s">
        <v>23</v>
      </c>
      <c r="L37" s="34"/>
      <c r="M37" s="18">
        <v>1911481.5</v>
      </c>
      <c r="N37" s="56">
        <v>7</v>
      </c>
      <c r="O37" s="57">
        <v>48</v>
      </c>
      <c r="P37" s="57">
        <v>500</v>
      </c>
      <c r="Q37" s="58">
        <v>5123</v>
      </c>
      <c r="R37" s="59">
        <v>50777</v>
      </c>
      <c r="V37" s="4"/>
    </row>
    <row r="38" spans="1:22" x14ac:dyDescent="0.15">
      <c r="A38" s="32">
        <v>31</v>
      </c>
      <c r="B38" s="104">
        <v>30898</v>
      </c>
      <c r="C38" s="76">
        <v>1</v>
      </c>
      <c r="D38" s="76">
        <v>8</v>
      </c>
      <c r="E38" s="76">
        <v>2</v>
      </c>
      <c r="F38" s="76">
        <v>2</v>
      </c>
      <c r="G38" s="76">
        <v>7</v>
      </c>
      <c r="H38" s="76">
        <v>4</v>
      </c>
      <c r="I38" s="13">
        <v>6</v>
      </c>
      <c r="J38" s="33">
        <v>10917546</v>
      </c>
      <c r="K38" s="143" t="s">
        <v>23</v>
      </c>
      <c r="L38" s="34"/>
      <c r="M38" s="18">
        <v>2759774.8</v>
      </c>
      <c r="N38" s="56">
        <v>5</v>
      </c>
      <c r="O38" s="57">
        <v>57</v>
      </c>
      <c r="P38" s="57">
        <v>458</v>
      </c>
      <c r="Q38" s="58">
        <v>5022</v>
      </c>
      <c r="R38" s="59">
        <v>48841</v>
      </c>
      <c r="V38" s="4"/>
    </row>
    <row r="39" spans="1:22" x14ac:dyDescent="0.15">
      <c r="A39" s="32">
        <v>32</v>
      </c>
      <c r="B39" s="104">
        <v>30905</v>
      </c>
      <c r="C39" s="76">
        <v>6</v>
      </c>
      <c r="D39" s="76">
        <v>7</v>
      </c>
      <c r="E39" s="76">
        <v>4</v>
      </c>
      <c r="F39" s="76">
        <v>7</v>
      </c>
      <c r="G39" s="76">
        <v>4</v>
      </c>
      <c r="H39" s="76">
        <v>3</v>
      </c>
      <c r="I39" s="13">
        <v>9</v>
      </c>
      <c r="J39" s="33">
        <v>10918224</v>
      </c>
      <c r="K39" s="143">
        <v>1</v>
      </c>
      <c r="L39" s="34">
        <v>3555555.4</v>
      </c>
      <c r="M39" s="18">
        <v>52565.4</v>
      </c>
      <c r="N39" s="56">
        <v>4</v>
      </c>
      <c r="O39" s="57">
        <v>40</v>
      </c>
      <c r="P39" s="57">
        <v>473</v>
      </c>
      <c r="Q39" s="58">
        <v>5146</v>
      </c>
      <c r="R39" s="59">
        <v>49638</v>
      </c>
      <c r="V39" s="4"/>
    </row>
    <row r="40" spans="1:22" x14ac:dyDescent="0.15">
      <c r="A40" s="32">
        <v>33</v>
      </c>
      <c r="B40" s="104">
        <v>30912</v>
      </c>
      <c r="C40" s="76">
        <v>7</v>
      </c>
      <c r="D40" s="76">
        <v>8</v>
      </c>
      <c r="E40" s="76">
        <v>9</v>
      </c>
      <c r="F40" s="76">
        <v>7</v>
      </c>
      <c r="G40" s="76">
        <v>7</v>
      </c>
      <c r="H40" s="76">
        <v>5</v>
      </c>
      <c r="I40" s="13">
        <v>9</v>
      </c>
      <c r="J40" s="33">
        <v>11020434</v>
      </c>
      <c r="K40" s="143">
        <v>3</v>
      </c>
      <c r="L40" s="34">
        <v>355555.4</v>
      </c>
      <c r="M40" s="18">
        <v>0</v>
      </c>
      <c r="N40" s="56">
        <v>8</v>
      </c>
      <c r="O40" s="57">
        <v>55</v>
      </c>
      <c r="P40" s="57">
        <v>478</v>
      </c>
      <c r="Q40" s="58">
        <v>5017</v>
      </c>
      <c r="R40" s="59">
        <v>49437</v>
      </c>
      <c r="V40" s="4"/>
    </row>
    <row r="41" spans="1:22" x14ac:dyDescent="0.15">
      <c r="A41" s="32">
        <v>34</v>
      </c>
      <c r="B41" s="104">
        <v>30919</v>
      </c>
      <c r="C41" s="76">
        <v>2</v>
      </c>
      <c r="D41" s="76">
        <v>6</v>
      </c>
      <c r="E41" s="76">
        <v>3</v>
      </c>
      <c r="F41" s="76">
        <v>6</v>
      </c>
      <c r="G41" s="76">
        <v>7</v>
      </c>
      <c r="H41" s="14">
        <v>7</v>
      </c>
      <c r="I41" s="14">
        <v>7</v>
      </c>
      <c r="J41" s="33">
        <v>11069194</v>
      </c>
      <c r="K41" s="143" t="s">
        <v>23</v>
      </c>
      <c r="L41" s="34"/>
      <c r="M41" s="18">
        <v>860076.4</v>
      </c>
      <c r="N41" s="56">
        <v>5</v>
      </c>
      <c r="O41" s="57">
        <v>59</v>
      </c>
      <c r="P41" s="57">
        <v>530</v>
      </c>
      <c r="Q41" s="58">
        <v>5171</v>
      </c>
      <c r="R41" s="59">
        <v>50923</v>
      </c>
      <c r="V41" s="4"/>
    </row>
    <row r="42" spans="1:22" s="90" customFormat="1" x14ac:dyDescent="0.15">
      <c r="A42" s="32">
        <v>35</v>
      </c>
      <c r="B42" s="104">
        <v>30926</v>
      </c>
      <c r="C42" s="76">
        <v>7</v>
      </c>
      <c r="D42" s="76">
        <v>0</v>
      </c>
      <c r="E42" s="76">
        <v>1</v>
      </c>
      <c r="F42" s="76">
        <v>7</v>
      </c>
      <c r="G42" s="76">
        <v>4</v>
      </c>
      <c r="H42" s="115">
        <v>1</v>
      </c>
      <c r="I42" s="13">
        <v>5</v>
      </c>
      <c r="J42" s="116">
        <v>14649726</v>
      </c>
      <c r="K42" s="190" t="s">
        <v>23</v>
      </c>
      <c r="L42" s="34"/>
      <c r="M42" s="34">
        <v>1998360.1</v>
      </c>
      <c r="N42" s="56">
        <v>8</v>
      </c>
      <c r="O42" s="57">
        <v>62</v>
      </c>
      <c r="P42" s="57">
        <v>700</v>
      </c>
      <c r="Q42" s="58">
        <v>6487</v>
      </c>
      <c r="R42" s="59">
        <v>65075</v>
      </c>
      <c r="S42" s="91"/>
      <c r="V42" s="100"/>
    </row>
    <row r="43" spans="1:22" s="90" customFormat="1" x14ac:dyDescent="0.15">
      <c r="A43" s="32">
        <v>36</v>
      </c>
      <c r="B43" s="104">
        <v>30933</v>
      </c>
      <c r="C43" s="103">
        <v>9</v>
      </c>
      <c r="D43" s="103">
        <v>7</v>
      </c>
      <c r="E43" s="103">
        <v>4</v>
      </c>
      <c r="F43" s="103">
        <v>2</v>
      </c>
      <c r="G43" s="103">
        <v>2</v>
      </c>
      <c r="H43" s="115">
        <v>6</v>
      </c>
      <c r="I43" s="113">
        <v>8</v>
      </c>
      <c r="J43" s="116">
        <v>13788028</v>
      </c>
      <c r="K43" s="191" t="s">
        <v>23</v>
      </c>
      <c r="L43" s="34"/>
      <c r="M43" s="18">
        <v>3069689.9</v>
      </c>
      <c r="N43" s="56">
        <v>13</v>
      </c>
      <c r="O43" s="57">
        <v>48</v>
      </c>
      <c r="P43" s="57">
        <v>619</v>
      </c>
      <c r="Q43" s="58">
        <v>6345</v>
      </c>
      <c r="R43" s="59">
        <v>63085</v>
      </c>
      <c r="S43" s="91"/>
      <c r="V43" s="100"/>
    </row>
    <row r="44" spans="1:22" s="90" customFormat="1" x14ac:dyDescent="0.15">
      <c r="A44" s="32">
        <v>37</v>
      </c>
      <c r="B44" s="104">
        <v>30940</v>
      </c>
      <c r="C44" s="109">
        <v>9</v>
      </c>
      <c r="D44" s="110">
        <v>8</v>
      </c>
      <c r="E44" s="110">
        <v>1</v>
      </c>
      <c r="F44" s="110">
        <v>4</v>
      </c>
      <c r="G44" s="110">
        <v>8</v>
      </c>
      <c r="H44" s="110">
        <v>3</v>
      </c>
      <c r="I44" s="13">
        <v>0</v>
      </c>
      <c r="J44" s="33">
        <v>13815108</v>
      </c>
      <c r="K44" s="190">
        <v>2</v>
      </c>
      <c r="L44" s="34">
        <v>1955555.4</v>
      </c>
      <c r="M44" s="18">
        <v>232013</v>
      </c>
      <c r="N44" s="56">
        <v>10</v>
      </c>
      <c r="O44" s="57">
        <v>63</v>
      </c>
      <c r="P44" s="57">
        <v>585</v>
      </c>
      <c r="Q44" s="58">
        <v>6052</v>
      </c>
      <c r="R44" s="59">
        <v>60791</v>
      </c>
      <c r="S44" s="91"/>
      <c r="V44" s="100"/>
    </row>
    <row r="45" spans="1:22" s="90" customFormat="1" x14ac:dyDescent="0.15">
      <c r="A45" s="32">
        <v>38</v>
      </c>
      <c r="B45" s="104">
        <v>30947</v>
      </c>
      <c r="C45" s="76">
        <v>9</v>
      </c>
      <c r="D45" s="76">
        <v>3</v>
      </c>
      <c r="E45" s="76">
        <v>6</v>
      </c>
      <c r="F45" s="76">
        <v>6</v>
      </c>
      <c r="G45" s="76">
        <v>8</v>
      </c>
      <c r="H45" s="76">
        <v>0</v>
      </c>
      <c r="I45" s="13">
        <v>7</v>
      </c>
      <c r="J45" s="33">
        <v>13952672</v>
      </c>
      <c r="K45" s="190" t="s">
        <v>23</v>
      </c>
      <c r="L45" s="34"/>
      <c r="M45" s="18">
        <v>1316135.6000000001</v>
      </c>
      <c r="N45" s="56">
        <v>3</v>
      </c>
      <c r="O45" s="57">
        <v>59</v>
      </c>
      <c r="P45" s="57">
        <v>584</v>
      </c>
      <c r="Q45" s="58">
        <v>6060</v>
      </c>
      <c r="R45" s="59">
        <v>61280</v>
      </c>
      <c r="S45" s="91"/>
      <c r="V45" s="100"/>
    </row>
    <row r="46" spans="1:22" s="90" customFormat="1" x14ac:dyDescent="0.15">
      <c r="A46" s="32">
        <v>39</v>
      </c>
      <c r="B46" s="104">
        <v>30954</v>
      </c>
      <c r="C46" s="76">
        <v>9</v>
      </c>
      <c r="D46" s="76">
        <v>4</v>
      </c>
      <c r="E46" s="76">
        <v>9</v>
      </c>
      <c r="F46" s="76">
        <v>8</v>
      </c>
      <c r="G46" s="76">
        <v>9</v>
      </c>
      <c r="H46" s="76">
        <v>4</v>
      </c>
      <c r="I46" s="13">
        <v>6</v>
      </c>
      <c r="J46" s="33">
        <v>13990070</v>
      </c>
      <c r="K46" s="190">
        <v>2</v>
      </c>
      <c r="L46" s="34">
        <v>1155555.3999999999</v>
      </c>
      <c r="M46" s="18">
        <v>92053.2</v>
      </c>
      <c r="N46" s="56">
        <v>8</v>
      </c>
      <c r="O46" s="57">
        <v>68</v>
      </c>
      <c r="P46" s="57">
        <v>700</v>
      </c>
      <c r="Q46" s="58">
        <v>6606</v>
      </c>
      <c r="R46" s="59">
        <v>63952</v>
      </c>
      <c r="S46" s="91"/>
      <c r="V46" s="100"/>
    </row>
    <row r="47" spans="1:22" s="90" customFormat="1" x14ac:dyDescent="0.15">
      <c r="A47" s="32">
        <v>40</v>
      </c>
      <c r="B47" s="104">
        <v>30961</v>
      </c>
      <c r="C47" s="76">
        <v>6</v>
      </c>
      <c r="D47" s="76">
        <v>1</v>
      </c>
      <c r="E47" s="76">
        <v>0</v>
      </c>
      <c r="F47" s="76">
        <v>7</v>
      </c>
      <c r="G47" s="76">
        <v>6</v>
      </c>
      <c r="H47" s="76">
        <v>8</v>
      </c>
      <c r="I47" s="13">
        <v>6</v>
      </c>
      <c r="J47" s="33">
        <v>13790010</v>
      </c>
      <c r="K47" s="190">
        <v>1</v>
      </c>
      <c r="L47" s="34">
        <v>1155555.3999999999</v>
      </c>
      <c r="M47" s="18">
        <v>7981.6</v>
      </c>
      <c r="N47" s="56">
        <v>2</v>
      </c>
      <c r="O47" s="57">
        <v>68</v>
      </c>
      <c r="P47" s="57">
        <v>625</v>
      </c>
      <c r="Q47" s="58">
        <v>6267</v>
      </c>
      <c r="R47" s="59">
        <v>62252</v>
      </c>
      <c r="S47" s="91"/>
      <c r="V47" s="100"/>
    </row>
    <row r="48" spans="1:22" s="90" customFormat="1" x14ac:dyDescent="0.15">
      <c r="A48" s="32">
        <v>41</v>
      </c>
      <c r="B48" s="104">
        <v>30968</v>
      </c>
      <c r="C48" s="76">
        <v>4</v>
      </c>
      <c r="D48" s="76">
        <v>5</v>
      </c>
      <c r="E48" s="76">
        <v>9</v>
      </c>
      <c r="F48" s="76">
        <v>8</v>
      </c>
      <c r="G48" s="76">
        <v>7</v>
      </c>
      <c r="H48" s="76">
        <v>6</v>
      </c>
      <c r="I48" s="13">
        <v>8</v>
      </c>
      <c r="J48" s="33">
        <v>13461226</v>
      </c>
      <c r="K48" s="190">
        <v>1</v>
      </c>
      <c r="L48" s="34">
        <v>955555.4</v>
      </c>
      <c r="M48" s="18">
        <v>98363.5</v>
      </c>
      <c r="N48" s="56">
        <v>3</v>
      </c>
      <c r="O48" s="57">
        <v>64</v>
      </c>
      <c r="P48" s="57">
        <v>628</v>
      </c>
      <c r="Q48" s="58">
        <v>6024</v>
      </c>
      <c r="R48" s="59">
        <v>60857</v>
      </c>
      <c r="S48" s="91"/>
      <c r="V48" s="100"/>
    </row>
    <row r="49" spans="1:22" s="90" customFormat="1" x14ac:dyDescent="0.15">
      <c r="A49" s="32">
        <v>42</v>
      </c>
      <c r="B49" s="104">
        <v>30975</v>
      </c>
      <c r="C49" s="76">
        <v>5</v>
      </c>
      <c r="D49" s="76">
        <v>8</v>
      </c>
      <c r="E49" s="76">
        <v>0</v>
      </c>
      <c r="F49" s="76">
        <v>5</v>
      </c>
      <c r="G49" s="76">
        <v>3</v>
      </c>
      <c r="H49" s="76">
        <v>2</v>
      </c>
      <c r="I49" s="13">
        <v>9</v>
      </c>
      <c r="J49" s="33">
        <v>13338068</v>
      </c>
      <c r="K49" s="190">
        <v>1</v>
      </c>
      <c r="L49" s="34">
        <v>955555.4</v>
      </c>
      <c r="M49" s="18">
        <v>179176</v>
      </c>
      <c r="N49" s="56">
        <v>4</v>
      </c>
      <c r="O49" s="57">
        <v>58</v>
      </c>
      <c r="P49" s="57">
        <v>614</v>
      </c>
      <c r="Q49" s="58">
        <v>6057</v>
      </c>
      <c r="R49" s="59">
        <v>60856</v>
      </c>
      <c r="S49" s="91"/>
      <c r="V49" s="100"/>
    </row>
    <row r="50" spans="1:22" s="90" customFormat="1" x14ac:dyDescent="0.15">
      <c r="A50" s="32">
        <v>43</v>
      </c>
      <c r="B50" s="104">
        <v>30982</v>
      </c>
      <c r="C50" s="76">
        <v>8</v>
      </c>
      <c r="D50" s="76">
        <v>1</v>
      </c>
      <c r="E50" s="76">
        <v>4</v>
      </c>
      <c r="F50" s="76">
        <v>0</v>
      </c>
      <c r="G50" s="76">
        <v>6</v>
      </c>
      <c r="H50" s="76">
        <v>8</v>
      </c>
      <c r="I50" s="13">
        <v>6</v>
      </c>
      <c r="J50" s="33">
        <v>13348992</v>
      </c>
      <c r="K50" s="190" t="s">
        <v>23</v>
      </c>
      <c r="L50" s="34"/>
      <c r="M50" s="18">
        <v>1216392.7</v>
      </c>
      <c r="N50" s="56">
        <v>6</v>
      </c>
      <c r="O50" s="57">
        <v>80</v>
      </c>
      <c r="P50" s="57">
        <v>607</v>
      </c>
      <c r="Q50" s="58">
        <v>6018</v>
      </c>
      <c r="R50" s="59">
        <v>60558</v>
      </c>
      <c r="S50" s="91"/>
      <c r="V50" s="100"/>
    </row>
    <row r="51" spans="1:22" s="90" customFormat="1" x14ac:dyDescent="0.15">
      <c r="A51" s="32">
        <v>44</v>
      </c>
      <c r="B51" s="104">
        <v>30989</v>
      </c>
      <c r="C51" s="76">
        <v>8</v>
      </c>
      <c r="D51" s="76">
        <v>9</v>
      </c>
      <c r="E51" s="76">
        <v>5</v>
      </c>
      <c r="F51" s="76">
        <v>4</v>
      </c>
      <c r="G51" s="76">
        <v>2</v>
      </c>
      <c r="H51" s="76">
        <v>0</v>
      </c>
      <c r="I51" s="13">
        <v>7</v>
      </c>
      <c r="J51" s="33">
        <v>13014068</v>
      </c>
      <c r="K51" s="190" t="s">
        <v>23</v>
      </c>
      <c r="L51" s="34"/>
      <c r="M51" s="34">
        <v>2227585.7999999998</v>
      </c>
      <c r="N51" s="56">
        <v>5</v>
      </c>
      <c r="O51" s="57">
        <v>64</v>
      </c>
      <c r="P51" s="57">
        <v>555</v>
      </c>
      <c r="Q51" s="58">
        <v>5766</v>
      </c>
      <c r="R51" s="59">
        <v>57168</v>
      </c>
      <c r="S51" s="91"/>
      <c r="V51" s="100"/>
    </row>
    <row r="52" spans="1:22" s="90" customFormat="1" x14ac:dyDescent="0.15">
      <c r="A52" s="32">
        <v>45</v>
      </c>
      <c r="B52" s="104">
        <v>30996</v>
      </c>
      <c r="C52" s="76">
        <v>7</v>
      </c>
      <c r="D52" s="76">
        <v>8</v>
      </c>
      <c r="E52" s="76">
        <v>7</v>
      </c>
      <c r="F52" s="76">
        <v>6</v>
      </c>
      <c r="G52" s="76">
        <v>4</v>
      </c>
      <c r="H52" s="76">
        <v>9</v>
      </c>
      <c r="I52" s="13">
        <v>5</v>
      </c>
      <c r="J52" s="116">
        <v>13295018</v>
      </c>
      <c r="K52" s="190" t="s">
        <v>23</v>
      </c>
      <c r="L52" s="34"/>
      <c r="M52" s="18">
        <v>3260608.7</v>
      </c>
      <c r="N52" s="56">
        <v>7</v>
      </c>
      <c r="O52" s="57">
        <v>56</v>
      </c>
      <c r="P52" s="57">
        <v>614</v>
      </c>
      <c r="Q52" s="58">
        <v>5813</v>
      </c>
      <c r="R52" s="59">
        <v>59223</v>
      </c>
      <c r="S52" s="91"/>
    </row>
    <row r="53" spans="1:22" s="90" customFormat="1" x14ac:dyDescent="0.15">
      <c r="A53" s="32">
        <v>46</v>
      </c>
      <c r="B53" s="104">
        <v>31003</v>
      </c>
      <c r="C53" s="76">
        <v>0</v>
      </c>
      <c r="D53" s="76">
        <v>3</v>
      </c>
      <c r="E53" s="76">
        <v>5</v>
      </c>
      <c r="F53" s="76">
        <v>2</v>
      </c>
      <c r="G53" s="76">
        <v>0</v>
      </c>
      <c r="H53" s="76">
        <v>6</v>
      </c>
      <c r="I53" s="13">
        <v>7</v>
      </c>
      <c r="J53" s="116">
        <v>13443062</v>
      </c>
      <c r="K53" s="190" t="s">
        <v>23</v>
      </c>
      <c r="L53" s="34"/>
      <c r="M53" s="18">
        <v>4305134.5999999996</v>
      </c>
      <c r="N53" s="56">
        <v>3</v>
      </c>
      <c r="O53" s="57">
        <v>55</v>
      </c>
      <c r="P53" s="57">
        <v>600</v>
      </c>
      <c r="Q53" s="58">
        <v>5970</v>
      </c>
      <c r="R53" s="59">
        <v>61415</v>
      </c>
      <c r="S53" s="91"/>
    </row>
    <row r="54" spans="1:22" s="90" customFormat="1" x14ac:dyDescent="0.15">
      <c r="A54" s="32">
        <v>47</v>
      </c>
      <c r="B54" s="104">
        <v>31010</v>
      </c>
      <c r="C54" s="76">
        <v>1</v>
      </c>
      <c r="D54" s="76">
        <v>2</v>
      </c>
      <c r="E54" s="76">
        <v>5</v>
      </c>
      <c r="F54" s="76">
        <v>0</v>
      </c>
      <c r="G54" s="76">
        <v>0</v>
      </c>
      <c r="H54" s="76">
        <v>2</v>
      </c>
      <c r="I54" s="13">
        <v>5</v>
      </c>
      <c r="J54" s="33">
        <v>13409622</v>
      </c>
      <c r="K54" s="190">
        <v>1</v>
      </c>
      <c r="L54" s="34">
        <v>3555555.4</v>
      </c>
      <c r="M54" s="18">
        <v>1791506.8</v>
      </c>
      <c r="N54" s="56">
        <v>5</v>
      </c>
      <c r="O54" s="57">
        <v>56</v>
      </c>
      <c r="P54" s="57">
        <v>573</v>
      </c>
      <c r="Q54" s="58">
        <v>6000</v>
      </c>
      <c r="R54" s="59">
        <v>61595</v>
      </c>
      <c r="S54" s="91"/>
    </row>
    <row r="55" spans="1:22" s="90" customFormat="1" x14ac:dyDescent="0.15">
      <c r="A55" s="32">
        <v>48</v>
      </c>
      <c r="B55" s="104">
        <v>31017</v>
      </c>
      <c r="C55" s="76">
        <v>8</v>
      </c>
      <c r="D55" s="76">
        <v>1</v>
      </c>
      <c r="E55" s="76">
        <v>4</v>
      </c>
      <c r="F55" s="76">
        <v>6</v>
      </c>
      <c r="G55" s="76">
        <v>1</v>
      </c>
      <c r="H55" s="76">
        <v>0</v>
      </c>
      <c r="I55" s="13">
        <v>8</v>
      </c>
      <c r="J55" s="33">
        <v>18923910</v>
      </c>
      <c r="K55" s="190">
        <v>1</v>
      </c>
      <c r="L55" s="34">
        <v>3155555.4</v>
      </c>
      <c r="M55" s="18">
        <v>106339.2</v>
      </c>
      <c r="N55" s="56">
        <v>10</v>
      </c>
      <c r="O55" s="57">
        <v>72</v>
      </c>
      <c r="P55" s="57">
        <v>801</v>
      </c>
      <c r="Q55" s="58">
        <v>8212</v>
      </c>
      <c r="R55" s="59">
        <v>82839</v>
      </c>
      <c r="S55" s="91"/>
    </row>
    <row r="56" spans="1:22" s="90" customFormat="1" x14ac:dyDescent="0.15">
      <c r="A56" s="32">
        <v>49</v>
      </c>
      <c r="B56" s="104">
        <v>31024</v>
      </c>
      <c r="C56" s="76">
        <v>7</v>
      </c>
      <c r="D56" s="76">
        <v>2</v>
      </c>
      <c r="E56" s="76">
        <v>0</v>
      </c>
      <c r="F56" s="76">
        <v>0</v>
      </c>
      <c r="G56" s="76">
        <v>9</v>
      </c>
      <c r="H56" s="76">
        <v>1</v>
      </c>
      <c r="I56" s="13">
        <v>2</v>
      </c>
      <c r="J56" s="33">
        <v>14876346</v>
      </c>
      <c r="K56" s="190" t="s">
        <v>23</v>
      </c>
      <c r="L56" s="34"/>
      <c r="M56" s="18">
        <v>1262231.3</v>
      </c>
      <c r="N56" s="56">
        <v>9</v>
      </c>
      <c r="O56" s="57">
        <v>65</v>
      </c>
      <c r="P56" s="57">
        <v>702</v>
      </c>
      <c r="Q56" s="58">
        <v>6836</v>
      </c>
      <c r="R56" s="59">
        <v>68298</v>
      </c>
      <c r="S56" s="91"/>
    </row>
    <row r="57" spans="1:22" s="90" customFormat="1" x14ac:dyDescent="0.15">
      <c r="A57" s="32">
        <v>50</v>
      </c>
      <c r="B57" s="104">
        <v>31031</v>
      </c>
      <c r="C57" s="76">
        <v>0</v>
      </c>
      <c r="D57" s="76">
        <v>9</v>
      </c>
      <c r="E57" s="76">
        <v>8</v>
      </c>
      <c r="F57" s="76">
        <v>8</v>
      </c>
      <c r="G57" s="76">
        <v>8</v>
      </c>
      <c r="H57" s="76">
        <v>9</v>
      </c>
      <c r="I57" s="13">
        <v>7</v>
      </c>
      <c r="J57" s="33">
        <v>15120636</v>
      </c>
      <c r="K57" s="190" t="s">
        <v>23</v>
      </c>
      <c r="L57" s="34"/>
      <c r="M57" s="18">
        <v>2437104.7000000002</v>
      </c>
      <c r="N57" s="56">
        <v>7</v>
      </c>
      <c r="O57" s="57">
        <v>67</v>
      </c>
      <c r="P57" s="57">
        <v>653</v>
      </c>
      <c r="Q57" s="58">
        <v>6833</v>
      </c>
      <c r="R57" s="59">
        <v>67642</v>
      </c>
      <c r="S57" s="91"/>
    </row>
    <row r="58" spans="1:22" s="90" customFormat="1" x14ac:dyDescent="0.15">
      <c r="A58" s="32">
        <v>51</v>
      </c>
      <c r="B58" s="104">
        <v>31038</v>
      </c>
      <c r="C58" s="76">
        <v>5</v>
      </c>
      <c r="D58" s="76">
        <v>7</v>
      </c>
      <c r="E58" s="76">
        <v>8</v>
      </c>
      <c r="F58" s="76">
        <v>5</v>
      </c>
      <c r="G58" s="76">
        <v>5</v>
      </c>
      <c r="H58" s="76">
        <v>6</v>
      </c>
      <c r="I58" s="13">
        <v>1</v>
      </c>
      <c r="J58" s="33">
        <v>13689432</v>
      </c>
      <c r="K58" s="190" t="s">
        <v>23</v>
      </c>
      <c r="L58" s="34"/>
      <c r="M58" s="18">
        <v>3500773.6</v>
      </c>
      <c r="N58" s="56">
        <v>4</v>
      </c>
      <c r="O58" s="57">
        <v>53</v>
      </c>
      <c r="P58" s="57">
        <v>608</v>
      </c>
      <c r="Q58" s="58">
        <v>6100</v>
      </c>
      <c r="R58" s="59">
        <v>59737</v>
      </c>
      <c r="S58" s="91"/>
    </row>
    <row r="59" spans="1:22" s="90" customFormat="1" x14ac:dyDescent="0.15">
      <c r="A59" s="32">
        <v>52</v>
      </c>
      <c r="B59" s="104">
        <v>31045</v>
      </c>
      <c r="C59" s="76">
        <v>7</v>
      </c>
      <c r="D59" s="76">
        <v>9</v>
      </c>
      <c r="E59" s="76">
        <v>4</v>
      </c>
      <c r="F59" s="76">
        <v>2</v>
      </c>
      <c r="G59" s="76">
        <v>3</v>
      </c>
      <c r="H59" s="14">
        <v>0</v>
      </c>
      <c r="I59" s="13">
        <v>6</v>
      </c>
      <c r="J59" s="33">
        <v>12240972</v>
      </c>
      <c r="K59" s="190">
        <v>1</v>
      </c>
      <c r="L59" s="34">
        <v>3555555.4</v>
      </c>
      <c r="M59" s="85">
        <v>896341.7</v>
      </c>
      <c r="N59" s="218">
        <v>8</v>
      </c>
      <c r="O59" s="57">
        <v>54</v>
      </c>
      <c r="P59" s="219">
        <v>559</v>
      </c>
      <c r="Q59" s="58">
        <v>5257</v>
      </c>
      <c r="R59" s="139">
        <v>53991</v>
      </c>
      <c r="S59" s="91"/>
    </row>
    <row r="60" spans="1:22" s="90" customFormat="1" x14ac:dyDescent="0.15">
      <c r="A60" s="101"/>
      <c r="B60" s="265"/>
      <c r="C60" s="97"/>
      <c r="D60" s="97"/>
      <c r="E60" s="97"/>
      <c r="F60" s="97"/>
      <c r="G60" s="97"/>
      <c r="H60" s="97" t="s">
        <v>24</v>
      </c>
      <c r="I60" s="97"/>
      <c r="J60" s="97"/>
      <c r="K60" s="262">
        <f>SUM(K8:K59)</f>
        <v>31</v>
      </c>
      <c r="L60" s="262"/>
      <c r="M60" s="262"/>
      <c r="N60" s="262">
        <f>SUM(N8:N59)</f>
        <v>321</v>
      </c>
      <c r="O60" s="262">
        <f>SUM(O8:O59)</f>
        <v>2887</v>
      </c>
      <c r="P60" s="262">
        <f>SUM(P8:P59)</f>
        <v>29122</v>
      </c>
      <c r="Q60" s="262">
        <f>SUM(Q8:Q59)</f>
        <v>291625</v>
      </c>
      <c r="R60" s="268">
        <f>SUM(R8:R59)</f>
        <v>2915470</v>
      </c>
      <c r="S60" s="91"/>
    </row>
    <row r="61" spans="1:22" s="90" customFormat="1" x14ac:dyDescent="0.15">
      <c r="A61" s="81"/>
      <c r="B61" s="82"/>
      <c r="C61" s="76"/>
      <c r="D61" s="76"/>
      <c r="E61" s="76"/>
      <c r="F61" s="76"/>
      <c r="G61" s="76"/>
      <c r="H61" s="76"/>
      <c r="I61" s="76"/>
      <c r="J61" s="83"/>
      <c r="K61" s="77"/>
      <c r="L61" s="84"/>
      <c r="M61" s="85"/>
      <c r="N61" s="86"/>
      <c r="O61" s="87"/>
      <c r="P61" s="87"/>
      <c r="Q61" s="88"/>
      <c r="R61" s="89"/>
      <c r="S61" s="91"/>
    </row>
    <row r="62" spans="1:22" s="90" customFormat="1" x14ac:dyDescent="0.15">
      <c r="A62" s="81"/>
      <c r="B62" s="82"/>
      <c r="C62" s="103"/>
      <c r="D62" s="103"/>
      <c r="E62" s="103"/>
      <c r="F62" s="103"/>
      <c r="G62" s="103"/>
      <c r="H62" s="103"/>
      <c r="I62" s="92"/>
      <c r="J62" s="83"/>
      <c r="K62" s="77"/>
      <c r="L62" s="9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92"/>
      <c r="D64" s="92"/>
      <c r="E64" s="92"/>
      <c r="F64" s="92"/>
      <c r="G64" s="92"/>
      <c r="H64" s="92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92"/>
      <c r="C65" s="92"/>
      <c r="D65" s="92"/>
      <c r="E65" s="92"/>
      <c r="F65" s="92"/>
      <c r="G65" s="92"/>
      <c r="H65" s="92"/>
      <c r="I65" s="92"/>
      <c r="J65" s="92"/>
      <c r="K65" s="93"/>
      <c r="L65" s="93"/>
      <c r="M65" s="93"/>
      <c r="N65" s="93"/>
      <c r="O65" s="93"/>
      <c r="P65" s="93"/>
      <c r="Q65" s="93"/>
      <c r="R65" s="93"/>
      <c r="S65" s="91"/>
      <c r="V65" s="111"/>
    </row>
    <row r="66" spans="1:22" s="90" customFormat="1" x14ac:dyDescent="0.15">
      <c r="L66" s="85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8"/>
  <sheetViews>
    <sheetView workbookViewId="0">
      <pane ySplit="7" topLeftCell="A47" activePane="bottomLeft" state="frozenSplit"/>
      <selection activeCell="A62" sqref="A62:IV62"/>
      <selection pane="bottomLeft" activeCell="Q49" sqref="Q49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42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 t="s">
        <v>19</v>
      </c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1985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31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32</v>
      </c>
      <c r="L6" s="209"/>
      <c r="M6" s="14" t="s">
        <v>14</v>
      </c>
      <c r="N6" s="75" t="s">
        <v>33</v>
      </c>
      <c r="O6" s="75" t="s">
        <v>34</v>
      </c>
      <c r="P6" s="75" t="s">
        <v>35</v>
      </c>
      <c r="Q6" s="75" t="s">
        <v>36</v>
      </c>
      <c r="R6" s="75" t="s">
        <v>37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32">
        <v>1</v>
      </c>
      <c r="B8" s="26">
        <v>31052</v>
      </c>
      <c r="C8" s="76">
        <v>0</v>
      </c>
      <c r="D8" s="76">
        <v>2</v>
      </c>
      <c r="E8" s="76">
        <v>0</v>
      </c>
      <c r="F8" s="76">
        <v>6</v>
      </c>
      <c r="G8" s="76">
        <v>7</v>
      </c>
      <c r="H8" s="76">
        <v>8</v>
      </c>
      <c r="I8" s="13">
        <v>5</v>
      </c>
      <c r="J8" s="33">
        <v>11570178</v>
      </c>
      <c r="K8" s="143" t="s">
        <v>23</v>
      </c>
      <c r="L8" s="34"/>
      <c r="M8" s="18">
        <v>1795344.5</v>
      </c>
      <c r="N8" s="56">
        <v>6</v>
      </c>
      <c r="O8" s="57">
        <v>50</v>
      </c>
      <c r="P8" s="57">
        <v>541</v>
      </c>
      <c r="Q8" s="58">
        <v>5425</v>
      </c>
      <c r="R8" s="59">
        <v>53847</v>
      </c>
      <c r="V8" s="4"/>
    </row>
    <row r="9" spans="1:22" x14ac:dyDescent="0.15">
      <c r="A9" s="32">
        <v>2</v>
      </c>
      <c r="B9" s="26">
        <v>31059</v>
      </c>
      <c r="C9" s="76">
        <v>2</v>
      </c>
      <c r="D9" s="76">
        <v>5</v>
      </c>
      <c r="E9" s="76">
        <v>3</v>
      </c>
      <c r="F9" s="76">
        <v>0</v>
      </c>
      <c r="G9" s="76">
        <v>6</v>
      </c>
      <c r="H9" s="76">
        <v>2</v>
      </c>
      <c r="I9" s="13">
        <v>4</v>
      </c>
      <c r="J9" s="33">
        <v>12344076</v>
      </c>
      <c r="K9" s="143" t="s">
        <v>23</v>
      </c>
      <c r="L9" s="34"/>
      <c r="M9" s="34">
        <v>2754479.2</v>
      </c>
      <c r="N9" s="56">
        <v>7</v>
      </c>
      <c r="O9" s="57">
        <v>53</v>
      </c>
      <c r="P9" s="57">
        <v>549</v>
      </c>
      <c r="Q9" s="58">
        <v>5884</v>
      </c>
      <c r="R9" s="59">
        <v>56823</v>
      </c>
      <c r="V9" s="4"/>
    </row>
    <row r="10" spans="1:22" x14ac:dyDescent="0.15">
      <c r="A10" s="32">
        <v>3</v>
      </c>
      <c r="B10" s="26">
        <v>31066</v>
      </c>
      <c r="C10" s="76">
        <v>6</v>
      </c>
      <c r="D10" s="76">
        <v>9</v>
      </c>
      <c r="E10" s="76">
        <v>8</v>
      </c>
      <c r="F10" s="76">
        <v>4</v>
      </c>
      <c r="G10" s="76">
        <v>8</v>
      </c>
      <c r="H10" s="76">
        <v>0</v>
      </c>
      <c r="I10" s="13">
        <v>4</v>
      </c>
      <c r="J10" s="33">
        <v>12484238</v>
      </c>
      <c r="K10" s="143">
        <v>1</v>
      </c>
      <c r="L10" s="34">
        <v>3555555.4</v>
      </c>
      <c r="M10" s="18">
        <v>168949.1</v>
      </c>
      <c r="N10" s="56">
        <v>11</v>
      </c>
      <c r="O10" s="57">
        <v>44</v>
      </c>
      <c r="P10" s="57">
        <v>543</v>
      </c>
      <c r="Q10" s="58">
        <v>5464</v>
      </c>
      <c r="R10" s="59">
        <v>54190</v>
      </c>
      <c r="V10" s="4"/>
    </row>
    <row r="11" spans="1:22" x14ac:dyDescent="0.15">
      <c r="A11" s="32">
        <v>4</v>
      </c>
      <c r="B11" s="26">
        <v>31073</v>
      </c>
      <c r="C11" s="76">
        <v>3</v>
      </c>
      <c r="D11" s="76">
        <v>9</v>
      </c>
      <c r="E11" s="76">
        <v>4</v>
      </c>
      <c r="F11" s="76">
        <v>7</v>
      </c>
      <c r="G11" s="76">
        <v>8</v>
      </c>
      <c r="H11" s="76">
        <v>1</v>
      </c>
      <c r="I11" s="13">
        <v>1</v>
      </c>
      <c r="J11" s="33">
        <v>12243920</v>
      </c>
      <c r="K11" s="143">
        <v>1</v>
      </c>
      <c r="L11" s="34">
        <v>955555.4</v>
      </c>
      <c r="M11" s="34">
        <v>164746.29999999999</v>
      </c>
      <c r="N11" s="56">
        <v>5</v>
      </c>
      <c r="O11" s="57">
        <v>46</v>
      </c>
      <c r="P11" s="57">
        <v>555</v>
      </c>
      <c r="Q11" s="58">
        <v>5611</v>
      </c>
      <c r="R11" s="59">
        <v>55133</v>
      </c>
      <c r="V11" s="4"/>
    </row>
    <row r="12" spans="1:22" x14ac:dyDescent="0.15">
      <c r="A12" s="32">
        <v>5</v>
      </c>
      <c r="B12" s="26">
        <v>31080</v>
      </c>
      <c r="C12" s="76">
        <v>5</v>
      </c>
      <c r="D12" s="76">
        <v>5</v>
      </c>
      <c r="E12" s="76">
        <v>1</v>
      </c>
      <c r="F12" s="76">
        <v>5</v>
      </c>
      <c r="G12" s="76">
        <v>8</v>
      </c>
      <c r="H12" s="76">
        <v>7</v>
      </c>
      <c r="I12" s="13">
        <v>7</v>
      </c>
      <c r="J12" s="33">
        <v>13674122</v>
      </c>
      <c r="K12" s="143">
        <v>1</v>
      </c>
      <c r="L12" s="34">
        <v>1155555.3999999999</v>
      </c>
      <c r="M12" s="18">
        <v>71670.2</v>
      </c>
      <c r="N12" s="56">
        <v>4</v>
      </c>
      <c r="O12" s="57">
        <v>76</v>
      </c>
      <c r="P12" s="57">
        <v>637</v>
      </c>
      <c r="Q12" s="58">
        <v>6010</v>
      </c>
      <c r="R12" s="59">
        <v>60988</v>
      </c>
      <c r="V12" s="4"/>
    </row>
    <row r="13" spans="1:22" x14ac:dyDescent="0.15">
      <c r="A13" s="32">
        <v>6</v>
      </c>
      <c r="B13" s="26">
        <v>31087</v>
      </c>
      <c r="C13" s="76">
        <v>8</v>
      </c>
      <c r="D13" s="76">
        <v>7</v>
      </c>
      <c r="E13" s="76">
        <v>4</v>
      </c>
      <c r="F13" s="76">
        <v>5</v>
      </c>
      <c r="G13" s="76">
        <v>4</v>
      </c>
      <c r="H13" s="76">
        <v>1</v>
      </c>
      <c r="I13" s="13">
        <v>2</v>
      </c>
      <c r="J13" s="33">
        <v>12697758</v>
      </c>
      <c r="K13" s="143" t="s">
        <v>23</v>
      </c>
      <c r="L13" s="34"/>
      <c r="M13" s="18">
        <v>1058286</v>
      </c>
      <c r="N13" s="56">
        <v>5</v>
      </c>
      <c r="O13" s="57">
        <v>64</v>
      </c>
      <c r="P13" s="57">
        <v>512</v>
      </c>
      <c r="Q13" s="58">
        <v>5682</v>
      </c>
      <c r="R13" s="59">
        <v>57692</v>
      </c>
      <c r="V13" s="4"/>
    </row>
    <row r="14" spans="1:22" x14ac:dyDescent="0.15">
      <c r="A14" s="32">
        <v>7</v>
      </c>
      <c r="B14" s="26">
        <v>31094</v>
      </c>
      <c r="C14" s="76">
        <v>2</v>
      </c>
      <c r="D14" s="76">
        <v>2</v>
      </c>
      <c r="E14" s="76">
        <v>7</v>
      </c>
      <c r="F14" s="76">
        <v>2</v>
      </c>
      <c r="G14" s="76">
        <v>2</v>
      </c>
      <c r="H14" s="76">
        <v>0</v>
      </c>
      <c r="I14" s="13">
        <v>6</v>
      </c>
      <c r="J14" s="33">
        <v>12438068</v>
      </c>
      <c r="K14" s="143" t="s">
        <v>23</v>
      </c>
      <c r="L14" s="34"/>
      <c r="M14" s="18">
        <v>2024723.9</v>
      </c>
      <c r="N14" s="56">
        <v>3</v>
      </c>
      <c r="O14" s="57">
        <v>55</v>
      </c>
      <c r="P14" s="57">
        <v>509</v>
      </c>
      <c r="Q14" s="58">
        <v>5521</v>
      </c>
      <c r="R14" s="59">
        <v>54842</v>
      </c>
      <c r="V14" s="4"/>
    </row>
    <row r="15" spans="1:22" x14ac:dyDescent="0.15">
      <c r="A15" s="32">
        <v>8</v>
      </c>
      <c r="B15" s="26">
        <v>31101</v>
      </c>
      <c r="C15" s="76">
        <v>8</v>
      </c>
      <c r="D15" s="76">
        <v>0</v>
      </c>
      <c r="E15" s="76">
        <v>8</v>
      </c>
      <c r="F15" s="76">
        <v>9</v>
      </c>
      <c r="G15" s="76">
        <v>0</v>
      </c>
      <c r="H15" s="76">
        <v>1</v>
      </c>
      <c r="I15" s="13">
        <v>9</v>
      </c>
      <c r="J15" s="33">
        <v>12428462</v>
      </c>
      <c r="K15" s="143" t="s">
        <v>23</v>
      </c>
      <c r="L15" s="34"/>
      <c r="M15" s="18">
        <v>2990415.4</v>
      </c>
      <c r="N15" s="56">
        <v>5</v>
      </c>
      <c r="O15" s="57">
        <v>53</v>
      </c>
      <c r="P15" s="57">
        <v>571</v>
      </c>
      <c r="Q15" s="58">
        <v>5542</v>
      </c>
      <c r="R15" s="59">
        <v>56583</v>
      </c>
      <c r="V15" s="4"/>
    </row>
    <row r="16" spans="1:22" x14ac:dyDescent="0.15">
      <c r="A16" s="32">
        <v>9</v>
      </c>
      <c r="B16" s="26">
        <v>31108</v>
      </c>
      <c r="C16" s="76">
        <v>3</v>
      </c>
      <c r="D16" s="76">
        <v>3</v>
      </c>
      <c r="E16" s="76">
        <v>7</v>
      </c>
      <c r="F16" s="76">
        <v>2</v>
      </c>
      <c r="G16" s="76">
        <v>7</v>
      </c>
      <c r="H16" s="76">
        <v>2</v>
      </c>
      <c r="I16" s="13">
        <v>2</v>
      </c>
      <c r="J16" s="33">
        <v>16831446</v>
      </c>
      <c r="K16" s="143">
        <v>1</v>
      </c>
      <c r="L16" s="34">
        <v>3555555.4</v>
      </c>
      <c r="M16" s="18">
        <v>742663.4</v>
      </c>
      <c r="N16" s="56">
        <v>8</v>
      </c>
      <c r="O16" s="57">
        <v>75</v>
      </c>
      <c r="P16" s="57">
        <v>803</v>
      </c>
      <c r="Q16" s="58">
        <v>7779</v>
      </c>
      <c r="R16" s="59">
        <v>78348</v>
      </c>
      <c r="V16" s="4"/>
    </row>
    <row r="17" spans="1:22" x14ac:dyDescent="0.15">
      <c r="A17" s="32">
        <v>10</v>
      </c>
      <c r="B17" s="26">
        <v>31115</v>
      </c>
      <c r="C17" s="76">
        <v>4</v>
      </c>
      <c r="D17" s="76">
        <v>9</v>
      </c>
      <c r="E17" s="76">
        <v>6</v>
      </c>
      <c r="F17" s="76">
        <v>4</v>
      </c>
      <c r="G17" s="76">
        <v>1</v>
      </c>
      <c r="H17" s="76">
        <v>3</v>
      </c>
      <c r="I17" s="13">
        <v>9</v>
      </c>
      <c r="J17" s="33">
        <v>12751276</v>
      </c>
      <c r="K17" s="143" t="s">
        <v>23</v>
      </c>
      <c r="L17" s="34"/>
      <c r="M17" s="18">
        <v>1733437.5</v>
      </c>
      <c r="N17" s="56">
        <v>5</v>
      </c>
      <c r="O17" s="57">
        <v>57</v>
      </c>
      <c r="P17" s="57">
        <v>574</v>
      </c>
      <c r="Q17" s="58">
        <v>5879</v>
      </c>
      <c r="R17" s="59">
        <v>57608</v>
      </c>
      <c r="V17" s="4"/>
    </row>
    <row r="18" spans="1:22" x14ac:dyDescent="0.15">
      <c r="A18" s="32">
        <v>11</v>
      </c>
      <c r="B18" s="26">
        <v>31122</v>
      </c>
      <c r="C18" s="76">
        <v>4</v>
      </c>
      <c r="D18" s="76">
        <v>8</v>
      </c>
      <c r="E18" s="76">
        <v>4</v>
      </c>
      <c r="F18" s="76">
        <v>3</v>
      </c>
      <c r="G18" s="76">
        <v>0</v>
      </c>
      <c r="H18" s="76">
        <v>6</v>
      </c>
      <c r="I18" s="13">
        <v>0</v>
      </c>
      <c r="J18" s="33">
        <v>12695596</v>
      </c>
      <c r="K18" s="143">
        <v>1</v>
      </c>
      <c r="L18" s="34">
        <v>2555555.4</v>
      </c>
      <c r="M18" s="18">
        <v>164329.9</v>
      </c>
      <c r="N18" s="56">
        <v>8</v>
      </c>
      <c r="O18" s="57">
        <v>59</v>
      </c>
      <c r="P18" s="57">
        <v>563</v>
      </c>
      <c r="Q18" s="58">
        <v>5474</v>
      </c>
      <c r="R18" s="59">
        <v>55787</v>
      </c>
      <c r="V18" s="4"/>
    </row>
    <row r="19" spans="1:22" x14ac:dyDescent="0.15">
      <c r="A19" s="32">
        <v>12</v>
      </c>
      <c r="B19" s="26">
        <v>31129</v>
      </c>
      <c r="C19" s="76">
        <v>2</v>
      </c>
      <c r="D19" s="76">
        <v>7</v>
      </c>
      <c r="E19" s="76">
        <v>1</v>
      </c>
      <c r="F19" s="76">
        <v>8</v>
      </c>
      <c r="G19" s="76">
        <v>8</v>
      </c>
      <c r="H19" s="76">
        <v>2</v>
      </c>
      <c r="I19" s="13">
        <v>8</v>
      </c>
      <c r="J19" s="33">
        <v>12705526</v>
      </c>
      <c r="K19" s="143">
        <v>1</v>
      </c>
      <c r="L19" s="34">
        <v>955555.4</v>
      </c>
      <c r="M19" s="18">
        <v>195993.9</v>
      </c>
      <c r="N19" s="56">
        <v>8</v>
      </c>
      <c r="O19" s="57">
        <v>70</v>
      </c>
      <c r="P19" s="57">
        <v>591</v>
      </c>
      <c r="Q19" s="58">
        <v>5952</v>
      </c>
      <c r="R19" s="59">
        <v>58817</v>
      </c>
      <c r="V19" s="4"/>
    </row>
    <row r="20" spans="1:22" x14ac:dyDescent="0.15">
      <c r="A20" s="32">
        <v>13</v>
      </c>
      <c r="B20" s="26">
        <v>31136</v>
      </c>
      <c r="C20" s="76">
        <v>8</v>
      </c>
      <c r="D20" s="76">
        <v>0</v>
      </c>
      <c r="E20" s="76">
        <v>9</v>
      </c>
      <c r="F20" s="76">
        <v>5</v>
      </c>
      <c r="G20" s="76">
        <v>8</v>
      </c>
      <c r="H20" s="76">
        <v>3</v>
      </c>
      <c r="I20" s="13">
        <v>1</v>
      </c>
      <c r="J20" s="33">
        <v>12732416</v>
      </c>
      <c r="K20" s="143" t="s">
        <v>23</v>
      </c>
      <c r="L20" s="34"/>
      <c r="M20" s="18">
        <v>1185302.6000000001</v>
      </c>
      <c r="N20" s="56">
        <v>3</v>
      </c>
      <c r="O20" s="57">
        <v>51</v>
      </c>
      <c r="P20" s="57">
        <v>585</v>
      </c>
      <c r="Q20" s="58">
        <v>5524</v>
      </c>
      <c r="R20" s="59">
        <v>55817</v>
      </c>
      <c r="V20" s="4"/>
    </row>
    <row r="21" spans="1:22" x14ac:dyDescent="0.15">
      <c r="A21" s="32">
        <v>14</v>
      </c>
      <c r="B21" s="26">
        <v>31143</v>
      </c>
      <c r="C21" s="76">
        <v>3</v>
      </c>
      <c r="D21" s="76">
        <v>3</v>
      </c>
      <c r="E21" s="76">
        <v>5</v>
      </c>
      <c r="F21" s="76">
        <v>3</v>
      </c>
      <c r="G21" s="76">
        <v>2</v>
      </c>
      <c r="H21" s="76">
        <v>4</v>
      </c>
      <c r="I21" s="13">
        <v>7</v>
      </c>
      <c r="J21" s="33">
        <v>11844854</v>
      </c>
      <c r="K21" s="143" t="s">
        <v>23</v>
      </c>
      <c r="L21" s="34"/>
      <c r="M21" s="18">
        <v>2105647.7999999998</v>
      </c>
      <c r="N21" s="56">
        <v>3</v>
      </c>
      <c r="O21" s="57">
        <v>52</v>
      </c>
      <c r="P21" s="57">
        <v>557</v>
      </c>
      <c r="Q21" s="58">
        <v>5306</v>
      </c>
      <c r="R21" s="59">
        <v>53448</v>
      </c>
      <c r="V21" s="4"/>
    </row>
    <row r="22" spans="1:22" x14ac:dyDescent="0.15">
      <c r="A22" s="32">
        <v>15</v>
      </c>
      <c r="B22" s="26">
        <v>31150</v>
      </c>
      <c r="C22" s="76">
        <v>7</v>
      </c>
      <c r="D22" s="76">
        <v>0</v>
      </c>
      <c r="E22" s="76">
        <v>9</v>
      </c>
      <c r="F22" s="76">
        <v>5</v>
      </c>
      <c r="G22" s="76">
        <v>0</v>
      </c>
      <c r="H22" s="76">
        <v>4</v>
      </c>
      <c r="I22" s="13">
        <v>0</v>
      </c>
      <c r="J22" s="33">
        <v>12284568</v>
      </c>
      <c r="K22" s="143">
        <v>2</v>
      </c>
      <c r="L22" s="34">
        <v>1355555.4</v>
      </c>
      <c r="M22" s="18">
        <v>349047.9</v>
      </c>
      <c r="N22" s="56">
        <v>7</v>
      </c>
      <c r="O22" s="57">
        <v>58</v>
      </c>
      <c r="P22" s="57">
        <v>518</v>
      </c>
      <c r="Q22" s="58">
        <v>5323</v>
      </c>
      <c r="R22" s="59">
        <v>54113</v>
      </c>
      <c r="V22" s="4"/>
    </row>
    <row r="23" spans="1:22" x14ac:dyDescent="0.15">
      <c r="A23" s="32">
        <v>16</v>
      </c>
      <c r="B23" s="26">
        <v>31157</v>
      </c>
      <c r="C23" s="76">
        <v>3</v>
      </c>
      <c r="D23" s="76">
        <v>8</v>
      </c>
      <c r="E23" s="76">
        <v>6</v>
      </c>
      <c r="F23" s="76">
        <v>1</v>
      </c>
      <c r="G23" s="76">
        <v>0</v>
      </c>
      <c r="H23" s="76">
        <v>1</v>
      </c>
      <c r="I23" s="13">
        <v>4</v>
      </c>
      <c r="J23" s="33">
        <v>12140412</v>
      </c>
      <c r="K23" s="143">
        <v>1</v>
      </c>
      <c r="L23" s="34">
        <v>1155555.3999999999</v>
      </c>
      <c r="M23" s="18">
        <v>136802.5</v>
      </c>
      <c r="N23" s="56">
        <v>5</v>
      </c>
      <c r="O23" s="57">
        <v>52</v>
      </c>
      <c r="P23" s="57">
        <v>541</v>
      </c>
      <c r="Q23" s="58">
        <v>5299</v>
      </c>
      <c r="R23" s="59">
        <v>55686</v>
      </c>
      <c r="V23" s="4"/>
    </row>
    <row r="24" spans="1:22" x14ac:dyDescent="0.15">
      <c r="A24" s="32">
        <v>17</v>
      </c>
      <c r="B24" s="26">
        <v>31164</v>
      </c>
      <c r="C24" s="76">
        <v>3</v>
      </c>
      <c r="D24" s="76">
        <v>8</v>
      </c>
      <c r="E24" s="76">
        <v>6</v>
      </c>
      <c r="F24" s="76">
        <v>2</v>
      </c>
      <c r="G24" s="76">
        <v>7</v>
      </c>
      <c r="H24" s="76">
        <v>6</v>
      </c>
      <c r="I24" s="13">
        <v>2</v>
      </c>
      <c r="J24" s="33">
        <v>12059188</v>
      </c>
      <c r="K24" s="143">
        <v>1</v>
      </c>
      <c r="L24" s="34">
        <v>955555.4</v>
      </c>
      <c r="M24" s="18">
        <v>118246</v>
      </c>
      <c r="N24" s="56">
        <v>4</v>
      </c>
      <c r="O24" s="57">
        <v>59</v>
      </c>
      <c r="P24" s="57">
        <v>545</v>
      </c>
      <c r="Q24" s="58">
        <v>5558</v>
      </c>
      <c r="R24" s="59">
        <v>54655</v>
      </c>
      <c r="V24" s="4"/>
    </row>
    <row r="25" spans="1:22" x14ac:dyDescent="0.15">
      <c r="A25" s="32">
        <v>18</v>
      </c>
      <c r="B25" s="26">
        <v>31171</v>
      </c>
      <c r="C25" s="76">
        <v>6</v>
      </c>
      <c r="D25" s="76">
        <v>2</v>
      </c>
      <c r="E25" s="76">
        <v>8</v>
      </c>
      <c r="F25" s="76">
        <v>2</v>
      </c>
      <c r="G25" s="76">
        <v>4</v>
      </c>
      <c r="H25" s="76">
        <v>6</v>
      </c>
      <c r="I25" s="13">
        <v>9</v>
      </c>
      <c r="J25" s="33">
        <v>12164592</v>
      </c>
      <c r="K25" s="143" t="s">
        <v>23</v>
      </c>
      <c r="L25" s="34"/>
      <c r="M25" s="18">
        <v>1063434.8</v>
      </c>
      <c r="N25" s="56">
        <v>2</v>
      </c>
      <c r="O25" s="57">
        <v>48</v>
      </c>
      <c r="P25" s="57">
        <v>560</v>
      </c>
      <c r="Q25" s="58">
        <v>5370</v>
      </c>
      <c r="R25" s="59">
        <v>54036</v>
      </c>
      <c r="V25" s="4"/>
    </row>
    <row r="26" spans="1:22" x14ac:dyDescent="0.15">
      <c r="A26" s="32">
        <v>19</v>
      </c>
      <c r="B26" s="26">
        <v>31178</v>
      </c>
      <c r="C26" s="76">
        <v>5</v>
      </c>
      <c r="D26" s="76">
        <v>6</v>
      </c>
      <c r="E26" s="76">
        <v>4</v>
      </c>
      <c r="F26" s="76">
        <v>2</v>
      </c>
      <c r="G26" s="76">
        <v>4</v>
      </c>
      <c r="H26" s="76">
        <v>0</v>
      </c>
      <c r="I26" s="13">
        <v>6</v>
      </c>
      <c r="J26" s="33">
        <v>12692344</v>
      </c>
      <c r="K26" s="143">
        <v>1</v>
      </c>
      <c r="L26" s="34">
        <v>1955555.4</v>
      </c>
      <c r="M26" s="18">
        <v>94074.5</v>
      </c>
      <c r="N26" s="56">
        <v>9</v>
      </c>
      <c r="O26" s="57">
        <v>48</v>
      </c>
      <c r="P26" s="57">
        <v>562</v>
      </c>
      <c r="Q26" s="58">
        <v>5719</v>
      </c>
      <c r="R26" s="59">
        <v>56951</v>
      </c>
      <c r="V26" s="4"/>
    </row>
    <row r="27" spans="1:22" x14ac:dyDescent="0.15">
      <c r="A27" s="32">
        <v>20</v>
      </c>
      <c r="B27" s="26">
        <v>31185</v>
      </c>
      <c r="C27" s="76">
        <v>2</v>
      </c>
      <c r="D27" s="76">
        <v>1</v>
      </c>
      <c r="E27" s="76">
        <v>9</v>
      </c>
      <c r="F27" s="76">
        <v>7</v>
      </c>
      <c r="G27" s="76">
        <v>5</v>
      </c>
      <c r="H27" s="76">
        <v>3</v>
      </c>
      <c r="I27" s="13">
        <v>9</v>
      </c>
      <c r="J27" s="33">
        <v>11600730</v>
      </c>
      <c r="K27" s="143" t="s">
        <v>23</v>
      </c>
      <c r="L27" s="34"/>
      <c r="M27" s="18">
        <v>995451.2</v>
      </c>
      <c r="N27" s="56">
        <v>4</v>
      </c>
      <c r="O27" s="57">
        <v>56</v>
      </c>
      <c r="P27" s="57">
        <v>510</v>
      </c>
      <c r="Q27" s="58">
        <v>5321</v>
      </c>
      <c r="R27" s="59">
        <v>52467</v>
      </c>
      <c r="V27" s="4"/>
    </row>
    <row r="28" spans="1:22" x14ac:dyDescent="0.15">
      <c r="A28" s="36">
        <v>21</v>
      </c>
      <c r="B28" s="37">
        <v>31192</v>
      </c>
      <c r="C28" s="38">
        <v>4</v>
      </c>
      <c r="D28" s="38">
        <v>2</v>
      </c>
      <c r="E28" s="38">
        <v>5</v>
      </c>
      <c r="F28" s="38">
        <v>7</v>
      </c>
      <c r="G28" s="38">
        <v>4</v>
      </c>
      <c r="H28" s="38">
        <v>9</v>
      </c>
      <c r="I28" s="39">
        <v>7</v>
      </c>
      <c r="J28" s="40">
        <v>11950712</v>
      </c>
      <c r="K28" s="60">
        <v>1</v>
      </c>
      <c r="L28" s="42">
        <v>1755555.4</v>
      </c>
      <c r="M28" s="43">
        <v>168466.1</v>
      </c>
      <c r="N28" s="61">
        <v>4</v>
      </c>
      <c r="O28" s="62">
        <v>52</v>
      </c>
      <c r="P28" s="62">
        <v>504</v>
      </c>
      <c r="Q28" s="63">
        <v>5352</v>
      </c>
      <c r="R28" s="64">
        <v>54012</v>
      </c>
      <c r="V28" s="4"/>
    </row>
    <row r="29" spans="1:22" s="90" customFormat="1" x14ac:dyDescent="0.15">
      <c r="A29" s="81"/>
      <c r="B29" s="82"/>
      <c r="C29" s="76"/>
      <c r="D29" s="76"/>
      <c r="E29" s="76"/>
      <c r="F29" s="76"/>
      <c r="G29" s="76"/>
      <c r="H29" s="76"/>
      <c r="I29" s="76"/>
      <c r="J29" s="83"/>
      <c r="K29" s="77"/>
      <c r="L29" s="84"/>
      <c r="M29" s="85"/>
      <c r="N29" s="86"/>
      <c r="O29" s="87"/>
      <c r="P29" s="87"/>
      <c r="Q29" s="88"/>
      <c r="R29" s="89"/>
      <c r="V29" s="100"/>
    </row>
    <row r="30" spans="1:22" x14ac:dyDescent="0.15">
      <c r="A30" s="7"/>
      <c r="B30" s="8"/>
      <c r="C30" s="9"/>
      <c r="D30" s="9"/>
      <c r="E30" s="9"/>
      <c r="F30" s="9"/>
      <c r="G30" s="9"/>
      <c r="H30" s="9"/>
      <c r="I30" s="10"/>
      <c r="J30" s="11"/>
      <c r="K30" s="243"/>
      <c r="L30" s="244"/>
      <c r="M30" s="11"/>
      <c r="N30" s="8"/>
      <c r="O30" s="8"/>
      <c r="P30" s="8"/>
      <c r="Q30" s="8"/>
      <c r="R30" s="8"/>
      <c r="V30" s="4"/>
    </row>
    <row r="31" spans="1:22" x14ac:dyDescent="0.15">
      <c r="A31" s="13" t="s">
        <v>3</v>
      </c>
      <c r="B31" s="14">
        <v>1985</v>
      </c>
      <c r="C31" s="109" t="s">
        <v>4</v>
      </c>
      <c r="D31" s="110"/>
      <c r="E31" s="110"/>
      <c r="F31" s="110"/>
      <c r="G31" s="110"/>
      <c r="H31" s="110"/>
      <c r="I31" s="17" t="s">
        <v>5</v>
      </c>
      <c r="J31" s="14" t="s">
        <v>6</v>
      </c>
      <c r="K31" s="245" t="s">
        <v>19</v>
      </c>
      <c r="L31" s="209"/>
      <c r="M31" s="14" t="s">
        <v>21</v>
      </c>
      <c r="N31" s="14" t="s">
        <v>8</v>
      </c>
      <c r="O31" s="14" t="s">
        <v>9</v>
      </c>
      <c r="P31" s="14" t="s">
        <v>10</v>
      </c>
      <c r="Q31" s="14" t="s">
        <v>11</v>
      </c>
      <c r="R31" s="14" t="s">
        <v>12</v>
      </c>
      <c r="V31" s="4"/>
    </row>
    <row r="32" spans="1:22" x14ac:dyDescent="0.15">
      <c r="A32" s="13"/>
      <c r="B32" s="14"/>
      <c r="C32" s="76"/>
      <c r="D32" s="76"/>
      <c r="E32" s="76"/>
      <c r="F32" s="76"/>
      <c r="G32" s="76"/>
      <c r="H32" s="76"/>
      <c r="I32" s="17" t="s">
        <v>13</v>
      </c>
      <c r="J32" s="14" t="s">
        <v>14</v>
      </c>
      <c r="K32" s="245" t="s">
        <v>43</v>
      </c>
      <c r="L32" s="209"/>
      <c r="M32" s="14" t="s">
        <v>14</v>
      </c>
      <c r="N32" s="75" t="s">
        <v>33</v>
      </c>
      <c r="O32" s="75" t="s">
        <v>34</v>
      </c>
      <c r="P32" s="75" t="s">
        <v>35</v>
      </c>
      <c r="Q32" s="75" t="s">
        <v>36</v>
      </c>
      <c r="R32" s="75" t="s">
        <v>37</v>
      </c>
      <c r="V32" s="4"/>
    </row>
    <row r="33" spans="1:22" x14ac:dyDescent="0.15">
      <c r="A33" s="39"/>
      <c r="B33" s="21"/>
      <c r="C33" s="38"/>
      <c r="D33" s="38"/>
      <c r="E33" s="38"/>
      <c r="F33" s="38"/>
      <c r="G33" s="38"/>
      <c r="H33" s="38"/>
      <c r="I33" s="39"/>
      <c r="J33" s="21"/>
      <c r="K33" s="60" t="s">
        <v>15</v>
      </c>
      <c r="L33" s="78" t="s">
        <v>14</v>
      </c>
      <c r="M33" s="21"/>
      <c r="N33" s="96" t="s">
        <v>15</v>
      </c>
      <c r="O33" s="96" t="s">
        <v>15</v>
      </c>
      <c r="P33" s="96" t="s">
        <v>15</v>
      </c>
      <c r="Q33" s="96" t="s">
        <v>15</v>
      </c>
      <c r="R33" s="96" t="s">
        <v>15</v>
      </c>
      <c r="V33" s="4"/>
    </row>
    <row r="34" spans="1:22" x14ac:dyDescent="0.15">
      <c r="A34" s="32">
        <v>22</v>
      </c>
      <c r="B34" s="26">
        <v>31199</v>
      </c>
      <c r="C34" s="76">
        <v>0</v>
      </c>
      <c r="D34" s="76">
        <v>6</v>
      </c>
      <c r="E34" s="76">
        <v>9</v>
      </c>
      <c r="F34" s="76">
        <v>1</v>
      </c>
      <c r="G34" s="76">
        <v>7</v>
      </c>
      <c r="H34" s="76">
        <v>4</v>
      </c>
      <c r="I34" s="13">
        <v>1</v>
      </c>
      <c r="J34" s="33">
        <v>11976094</v>
      </c>
      <c r="K34" s="143">
        <v>1</v>
      </c>
      <c r="L34" s="34">
        <v>955555.4</v>
      </c>
      <c r="M34" s="34">
        <v>143453.20000000001</v>
      </c>
      <c r="N34" s="56">
        <v>9</v>
      </c>
      <c r="O34" s="57">
        <v>66</v>
      </c>
      <c r="P34" s="57">
        <v>539</v>
      </c>
      <c r="Q34" s="58">
        <v>5369</v>
      </c>
      <c r="R34" s="59">
        <v>53645</v>
      </c>
      <c r="V34" s="4"/>
    </row>
    <row r="35" spans="1:22" x14ac:dyDescent="0.15">
      <c r="A35" s="32">
        <v>23</v>
      </c>
      <c r="B35" s="26">
        <v>31206</v>
      </c>
      <c r="C35" s="76">
        <v>4</v>
      </c>
      <c r="D35" s="76">
        <v>0</v>
      </c>
      <c r="E35" s="76">
        <v>7</v>
      </c>
      <c r="F35" s="76">
        <v>8</v>
      </c>
      <c r="G35" s="76">
        <v>6</v>
      </c>
      <c r="H35" s="76">
        <v>8</v>
      </c>
      <c r="I35" s="13">
        <v>9</v>
      </c>
      <c r="J35" s="33">
        <v>12245466</v>
      </c>
      <c r="K35" s="143" t="s">
        <v>23</v>
      </c>
      <c r="L35" s="34"/>
      <c r="M35" s="18">
        <v>1094925.8999999999</v>
      </c>
      <c r="N35" s="56">
        <v>3</v>
      </c>
      <c r="O35" s="57">
        <v>64</v>
      </c>
      <c r="P35" s="57">
        <v>629</v>
      </c>
      <c r="Q35" s="58">
        <v>5560</v>
      </c>
      <c r="R35" s="59">
        <v>55817</v>
      </c>
      <c r="V35" s="4"/>
    </row>
    <row r="36" spans="1:22" x14ac:dyDescent="0.15">
      <c r="A36" s="32">
        <v>24</v>
      </c>
      <c r="B36" s="26">
        <v>31213</v>
      </c>
      <c r="C36" s="76">
        <v>9</v>
      </c>
      <c r="D36" s="76">
        <v>8</v>
      </c>
      <c r="E36" s="76">
        <v>3</v>
      </c>
      <c r="F36" s="76">
        <v>9</v>
      </c>
      <c r="G36" s="76">
        <v>4</v>
      </c>
      <c r="H36" s="76">
        <v>8</v>
      </c>
      <c r="I36" s="13">
        <v>3</v>
      </c>
      <c r="J36" s="33">
        <v>17497526</v>
      </c>
      <c r="K36" s="143" t="s">
        <v>23</v>
      </c>
      <c r="L36" s="34"/>
      <c r="M36" s="18">
        <v>2454483.7000000002</v>
      </c>
      <c r="N36" s="56">
        <v>7</v>
      </c>
      <c r="O36" s="57">
        <v>65</v>
      </c>
      <c r="P36" s="57">
        <v>783</v>
      </c>
      <c r="Q36" s="58">
        <v>7941</v>
      </c>
      <c r="R36" s="59">
        <v>80849</v>
      </c>
      <c r="V36" s="4"/>
    </row>
    <row r="37" spans="1:22" x14ac:dyDescent="0.15">
      <c r="A37" s="32">
        <v>25</v>
      </c>
      <c r="B37" s="26">
        <v>31220</v>
      </c>
      <c r="C37" s="76">
        <v>5</v>
      </c>
      <c r="D37" s="76">
        <v>8</v>
      </c>
      <c r="E37" s="76">
        <v>4</v>
      </c>
      <c r="F37" s="76">
        <v>7</v>
      </c>
      <c r="G37" s="76">
        <v>9</v>
      </c>
      <c r="H37" s="76">
        <v>4</v>
      </c>
      <c r="I37" s="13">
        <v>5</v>
      </c>
      <c r="J37" s="33">
        <v>13329862</v>
      </c>
      <c r="K37" s="143">
        <v>1</v>
      </c>
      <c r="L37" s="34">
        <v>3355555.4</v>
      </c>
      <c r="M37" s="18">
        <v>134658.6</v>
      </c>
      <c r="N37" s="56">
        <v>2</v>
      </c>
      <c r="O37" s="57">
        <v>51</v>
      </c>
      <c r="P37" s="57">
        <v>654</v>
      </c>
      <c r="Q37" s="58">
        <v>6233</v>
      </c>
      <c r="R37" s="59">
        <v>61656</v>
      </c>
      <c r="V37" s="4"/>
    </row>
    <row r="38" spans="1:22" x14ac:dyDescent="0.15">
      <c r="A38" s="32">
        <v>26</v>
      </c>
      <c r="B38" s="26">
        <v>31227</v>
      </c>
      <c r="C38" s="76">
        <v>2</v>
      </c>
      <c r="D38" s="76">
        <v>1</v>
      </c>
      <c r="E38" s="76">
        <v>7</v>
      </c>
      <c r="F38" s="76">
        <v>4</v>
      </c>
      <c r="G38" s="76">
        <v>1</v>
      </c>
      <c r="H38" s="76">
        <v>7</v>
      </c>
      <c r="I38" s="13">
        <v>2</v>
      </c>
      <c r="J38" s="33">
        <v>13422614</v>
      </c>
      <c r="K38" s="143" t="s">
        <v>23</v>
      </c>
      <c r="L38" s="34"/>
      <c r="M38" s="18">
        <v>1177595.7</v>
      </c>
      <c r="N38" s="56">
        <v>6</v>
      </c>
      <c r="O38" s="57">
        <v>54</v>
      </c>
      <c r="P38" s="57">
        <v>645</v>
      </c>
      <c r="Q38" s="58">
        <v>5978</v>
      </c>
      <c r="R38" s="59">
        <v>60086</v>
      </c>
      <c r="V38" s="4"/>
    </row>
    <row r="39" spans="1:22" x14ac:dyDescent="0.15">
      <c r="A39" s="32">
        <v>27</v>
      </c>
      <c r="B39" s="26">
        <v>31234</v>
      </c>
      <c r="C39" s="76">
        <v>5</v>
      </c>
      <c r="D39" s="76">
        <v>9</v>
      </c>
      <c r="E39" s="76">
        <v>8</v>
      </c>
      <c r="F39" s="76">
        <v>0</v>
      </c>
      <c r="G39" s="76">
        <v>7</v>
      </c>
      <c r="H39" s="76">
        <v>1</v>
      </c>
      <c r="I39" s="113">
        <v>7</v>
      </c>
      <c r="J39" s="116">
        <v>13447096</v>
      </c>
      <c r="K39" s="143" t="s">
        <v>23</v>
      </c>
      <c r="L39" s="34"/>
      <c r="M39" s="117">
        <v>2222435.1</v>
      </c>
      <c r="N39" s="56">
        <v>7</v>
      </c>
      <c r="O39" s="57">
        <v>63</v>
      </c>
      <c r="P39" s="57">
        <v>659</v>
      </c>
      <c r="Q39" s="58">
        <v>6144</v>
      </c>
      <c r="R39" s="59">
        <v>61774</v>
      </c>
      <c r="V39" s="4"/>
    </row>
    <row r="40" spans="1:22" x14ac:dyDescent="0.15">
      <c r="A40" s="32">
        <v>28</v>
      </c>
      <c r="B40" s="26">
        <v>31241</v>
      </c>
      <c r="C40" s="76">
        <v>5</v>
      </c>
      <c r="D40" s="76">
        <v>2</v>
      </c>
      <c r="E40" s="76">
        <v>7</v>
      </c>
      <c r="F40" s="76">
        <v>1</v>
      </c>
      <c r="G40" s="76">
        <v>5</v>
      </c>
      <c r="H40" s="76">
        <v>7</v>
      </c>
      <c r="I40" s="13">
        <v>9</v>
      </c>
      <c r="J40" s="33">
        <v>13282290</v>
      </c>
      <c r="K40" s="143" t="s">
        <v>23</v>
      </c>
      <c r="L40" s="34"/>
      <c r="M40" s="18">
        <v>3254469</v>
      </c>
      <c r="N40" s="56">
        <v>6</v>
      </c>
      <c r="O40" s="57">
        <v>65</v>
      </c>
      <c r="P40" s="57">
        <v>616</v>
      </c>
      <c r="Q40" s="58">
        <v>5987</v>
      </c>
      <c r="R40" s="59">
        <v>60086</v>
      </c>
      <c r="V40" s="4"/>
    </row>
    <row r="41" spans="1:22" x14ac:dyDescent="0.15">
      <c r="A41" s="32">
        <v>29</v>
      </c>
      <c r="B41" s="26">
        <v>31248</v>
      </c>
      <c r="C41" s="76">
        <v>7</v>
      </c>
      <c r="D41" s="76">
        <v>5</v>
      </c>
      <c r="E41" s="76">
        <v>9</v>
      </c>
      <c r="F41" s="76">
        <v>0</v>
      </c>
      <c r="G41" s="76">
        <v>2</v>
      </c>
      <c r="H41" s="76">
        <v>9</v>
      </c>
      <c r="I41" s="113">
        <v>5</v>
      </c>
      <c r="J41" s="116">
        <v>17024276</v>
      </c>
      <c r="K41" s="143" t="s">
        <v>23</v>
      </c>
      <c r="L41" s="34"/>
      <c r="M41" s="34">
        <v>4577255.2</v>
      </c>
      <c r="N41" s="56">
        <v>6</v>
      </c>
      <c r="O41" s="57">
        <v>84</v>
      </c>
      <c r="P41" s="57">
        <v>757</v>
      </c>
      <c r="Q41" s="58">
        <v>7601</v>
      </c>
      <c r="R41" s="59">
        <v>75810</v>
      </c>
      <c r="V41" s="4"/>
    </row>
    <row r="42" spans="1:22" x14ac:dyDescent="0.15">
      <c r="A42" s="32">
        <v>30</v>
      </c>
      <c r="B42" s="26">
        <v>31255</v>
      </c>
      <c r="C42" s="76">
        <v>1</v>
      </c>
      <c r="D42" s="76">
        <v>1</v>
      </c>
      <c r="E42" s="76">
        <v>1</v>
      </c>
      <c r="F42" s="76">
        <v>7</v>
      </c>
      <c r="G42" s="76">
        <v>3</v>
      </c>
      <c r="H42" s="76">
        <v>0</v>
      </c>
      <c r="I42" s="13">
        <v>9</v>
      </c>
      <c r="J42" s="33">
        <v>14423138</v>
      </c>
      <c r="K42" s="143" t="s">
        <v>23</v>
      </c>
      <c r="L42" s="34"/>
      <c r="M42" s="18">
        <v>5697933</v>
      </c>
      <c r="N42" s="56">
        <v>4</v>
      </c>
      <c r="O42" s="57">
        <v>71</v>
      </c>
      <c r="P42" s="57">
        <v>709</v>
      </c>
      <c r="Q42" s="58">
        <v>6269</v>
      </c>
      <c r="R42" s="59">
        <v>63186</v>
      </c>
      <c r="V42" s="4"/>
    </row>
    <row r="43" spans="1:22" x14ac:dyDescent="0.15">
      <c r="A43" s="32">
        <v>31</v>
      </c>
      <c r="B43" s="26">
        <v>31262</v>
      </c>
      <c r="C43" s="76">
        <v>6</v>
      </c>
      <c r="D43" s="76">
        <v>2</v>
      </c>
      <c r="E43" s="76">
        <v>8</v>
      </c>
      <c r="F43" s="76">
        <v>5</v>
      </c>
      <c r="G43" s="76">
        <v>2</v>
      </c>
      <c r="H43" s="76">
        <v>7</v>
      </c>
      <c r="I43" s="13">
        <v>0</v>
      </c>
      <c r="J43" s="33">
        <v>14085346</v>
      </c>
      <c r="K43" s="143">
        <v>3</v>
      </c>
      <c r="L43" s="34">
        <v>2155555.4</v>
      </c>
      <c r="M43" s="18">
        <v>325698.2</v>
      </c>
      <c r="N43" s="56">
        <v>6</v>
      </c>
      <c r="O43" s="57">
        <v>64</v>
      </c>
      <c r="P43" s="57">
        <v>613</v>
      </c>
      <c r="Q43" s="58">
        <v>6251</v>
      </c>
      <c r="R43" s="59">
        <v>62263</v>
      </c>
      <c r="V43" s="4"/>
    </row>
    <row r="44" spans="1:22" x14ac:dyDescent="0.15">
      <c r="A44" s="32">
        <v>32</v>
      </c>
      <c r="B44" s="26">
        <v>31269</v>
      </c>
      <c r="C44" s="76">
        <v>9</v>
      </c>
      <c r="D44" s="76">
        <v>2</v>
      </c>
      <c r="E44" s="76">
        <v>3</v>
      </c>
      <c r="F44" s="76">
        <v>5</v>
      </c>
      <c r="G44" s="76">
        <v>3</v>
      </c>
      <c r="H44" s="76">
        <v>8</v>
      </c>
      <c r="I44" s="13">
        <v>1</v>
      </c>
      <c r="J44" s="33">
        <v>13584488</v>
      </c>
      <c r="K44" s="143" t="s">
        <v>23</v>
      </c>
      <c r="L44" s="34"/>
      <c r="M44" s="18">
        <v>1381212.9</v>
      </c>
      <c r="N44" s="56">
        <v>3</v>
      </c>
      <c r="O44" s="57">
        <v>71</v>
      </c>
      <c r="P44" s="57">
        <v>613</v>
      </c>
      <c r="Q44" s="58">
        <v>6372</v>
      </c>
      <c r="R44" s="59">
        <v>62431</v>
      </c>
      <c r="V44" s="4"/>
    </row>
    <row r="45" spans="1:22" x14ac:dyDescent="0.15">
      <c r="A45" s="32">
        <v>33</v>
      </c>
      <c r="B45" s="26">
        <v>31276</v>
      </c>
      <c r="C45" s="76">
        <v>1</v>
      </c>
      <c r="D45" s="76">
        <v>5</v>
      </c>
      <c r="E45" s="76">
        <v>0</v>
      </c>
      <c r="F45" s="76">
        <v>5</v>
      </c>
      <c r="G45" s="76">
        <v>0</v>
      </c>
      <c r="H45" s="76">
        <v>0</v>
      </c>
      <c r="I45" s="13">
        <v>6</v>
      </c>
      <c r="J45" s="33">
        <v>13318754</v>
      </c>
      <c r="K45" s="143">
        <v>2</v>
      </c>
      <c r="L45" s="34">
        <v>1155555.3999999999</v>
      </c>
      <c r="M45" s="18">
        <v>104969.3</v>
      </c>
      <c r="N45" s="56">
        <v>5</v>
      </c>
      <c r="O45" s="57">
        <v>49</v>
      </c>
      <c r="P45" s="57">
        <v>541</v>
      </c>
      <c r="Q45" s="58">
        <v>5410</v>
      </c>
      <c r="R45" s="59">
        <v>57930</v>
      </c>
      <c r="V45" s="4"/>
    </row>
    <row r="46" spans="1:22" x14ac:dyDescent="0.15">
      <c r="A46" s="32">
        <v>34</v>
      </c>
      <c r="B46" s="26">
        <v>31283</v>
      </c>
      <c r="C46" s="76">
        <v>9</v>
      </c>
      <c r="D46" s="76">
        <v>0</v>
      </c>
      <c r="E46" s="76">
        <v>9</v>
      </c>
      <c r="F46" s="76">
        <v>6</v>
      </c>
      <c r="G46" s="76">
        <v>6</v>
      </c>
      <c r="H46" s="14">
        <v>6</v>
      </c>
      <c r="I46" s="14">
        <v>4</v>
      </c>
      <c r="J46" s="33">
        <v>13222132</v>
      </c>
      <c r="K46" s="143" t="s">
        <v>23</v>
      </c>
      <c r="L46" s="34"/>
      <c r="M46" s="18">
        <v>1132329</v>
      </c>
      <c r="N46" s="56">
        <v>9</v>
      </c>
      <c r="O46" s="57">
        <v>65</v>
      </c>
      <c r="P46" s="57">
        <v>578</v>
      </c>
      <c r="Q46" s="58">
        <v>5896</v>
      </c>
      <c r="R46" s="59">
        <v>59003</v>
      </c>
      <c r="V46" s="4"/>
    </row>
    <row r="47" spans="1:22" s="90" customFormat="1" x14ac:dyDescent="0.15">
      <c r="A47" s="32">
        <v>35</v>
      </c>
      <c r="B47" s="26">
        <v>31290</v>
      </c>
      <c r="C47" s="76">
        <v>0</v>
      </c>
      <c r="D47" s="76">
        <v>6</v>
      </c>
      <c r="E47" s="76">
        <v>5</v>
      </c>
      <c r="F47" s="76">
        <v>8</v>
      </c>
      <c r="G47" s="76">
        <v>3</v>
      </c>
      <c r="H47" s="115">
        <v>8</v>
      </c>
      <c r="I47" s="13">
        <v>5</v>
      </c>
      <c r="J47" s="116">
        <v>13382004</v>
      </c>
      <c r="K47" s="190">
        <v>2</v>
      </c>
      <c r="L47" s="34">
        <v>955555.4</v>
      </c>
      <c r="M47" s="34">
        <v>260999.9</v>
      </c>
      <c r="N47" s="56">
        <v>9</v>
      </c>
      <c r="O47" s="57">
        <v>63</v>
      </c>
      <c r="P47" s="57">
        <v>636</v>
      </c>
      <c r="Q47" s="58">
        <v>6124</v>
      </c>
      <c r="R47" s="59">
        <v>61223</v>
      </c>
      <c r="S47" s="91"/>
      <c r="V47" s="100"/>
    </row>
    <row r="48" spans="1:22" s="90" customFormat="1" x14ac:dyDescent="0.15">
      <c r="A48" s="32">
        <v>36</v>
      </c>
      <c r="B48" s="26">
        <v>31297</v>
      </c>
      <c r="C48" s="103">
        <v>9</v>
      </c>
      <c r="D48" s="103">
        <v>3</v>
      </c>
      <c r="E48" s="103">
        <v>7</v>
      </c>
      <c r="F48" s="103">
        <v>3</v>
      </c>
      <c r="G48" s="103">
        <v>2</v>
      </c>
      <c r="H48" s="115">
        <v>7</v>
      </c>
      <c r="I48" s="113">
        <v>4</v>
      </c>
      <c r="J48" s="116">
        <v>18880126</v>
      </c>
      <c r="K48" s="191" t="s">
        <v>23</v>
      </c>
      <c r="L48" s="34"/>
      <c r="M48" s="18">
        <v>1727985.7</v>
      </c>
      <c r="N48" s="56">
        <v>12</v>
      </c>
      <c r="O48" s="57">
        <v>96</v>
      </c>
      <c r="P48" s="57">
        <v>870</v>
      </c>
      <c r="Q48" s="58">
        <v>8523</v>
      </c>
      <c r="R48" s="59">
        <v>85894</v>
      </c>
      <c r="S48" s="91"/>
      <c r="V48" s="100"/>
    </row>
    <row r="49" spans="1:22" s="90" customFormat="1" x14ac:dyDescent="0.15">
      <c r="A49" s="32">
        <v>37</v>
      </c>
      <c r="B49" s="26">
        <v>31304</v>
      </c>
      <c r="C49" s="109">
        <v>4</v>
      </c>
      <c r="D49" s="110">
        <v>6</v>
      </c>
      <c r="E49" s="110">
        <v>8</v>
      </c>
      <c r="F49" s="110">
        <v>7</v>
      </c>
      <c r="G49" s="110">
        <v>0</v>
      </c>
      <c r="H49" s="110">
        <v>7</v>
      </c>
      <c r="I49" s="13">
        <v>2</v>
      </c>
      <c r="J49" s="33">
        <v>16171550</v>
      </c>
      <c r="K49" s="190" t="s">
        <v>23</v>
      </c>
      <c r="L49" s="34"/>
      <c r="M49" s="18">
        <v>2984515.1</v>
      </c>
      <c r="N49" s="56">
        <v>3</v>
      </c>
      <c r="O49" s="57">
        <v>72</v>
      </c>
      <c r="P49" s="57">
        <v>732</v>
      </c>
      <c r="Q49" s="58">
        <v>7041</v>
      </c>
      <c r="R49" s="59">
        <v>72018</v>
      </c>
      <c r="S49" s="91"/>
      <c r="V49" s="100"/>
    </row>
    <row r="50" spans="1:22" s="90" customFormat="1" x14ac:dyDescent="0.15">
      <c r="A50" s="32">
        <v>38</v>
      </c>
      <c r="B50" s="26">
        <v>31311</v>
      </c>
      <c r="C50" s="76">
        <v>5</v>
      </c>
      <c r="D50" s="76">
        <v>4</v>
      </c>
      <c r="E50" s="76">
        <v>6</v>
      </c>
      <c r="F50" s="76">
        <v>4</v>
      </c>
      <c r="G50" s="76">
        <v>1</v>
      </c>
      <c r="H50" s="76">
        <v>5</v>
      </c>
      <c r="I50" s="13">
        <v>4</v>
      </c>
      <c r="J50" s="33">
        <v>16214672</v>
      </c>
      <c r="K50" s="190" t="s">
        <v>23</v>
      </c>
      <c r="L50" s="34"/>
      <c r="M50" s="18">
        <v>4244395.0999999996</v>
      </c>
      <c r="N50" s="56">
        <v>10</v>
      </c>
      <c r="O50" s="57">
        <v>75</v>
      </c>
      <c r="P50" s="57">
        <v>725</v>
      </c>
      <c r="Q50" s="58">
        <v>7249</v>
      </c>
      <c r="R50" s="59">
        <v>73662</v>
      </c>
      <c r="S50" s="91"/>
      <c r="V50" s="100"/>
    </row>
    <row r="51" spans="1:22" s="90" customFormat="1" x14ac:dyDescent="0.15">
      <c r="A51" s="32">
        <v>39</v>
      </c>
      <c r="B51" s="26">
        <v>31318</v>
      </c>
      <c r="C51" s="76">
        <v>6</v>
      </c>
      <c r="D51" s="76">
        <v>1</v>
      </c>
      <c r="E51" s="76">
        <v>4</v>
      </c>
      <c r="F51" s="76">
        <v>1</v>
      </c>
      <c r="G51" s="76">
        <v>9</v>
      </c>
      <c r="H51" s="76">
        <v>9</v>
      </c>
      <c r="I51" s="13">
        <v>2</v>
      </c>
      <c r="J51" s="33">
        <v>16254368</v>
      </c>
      <c r="K51" s="190" t="s">
        <v>23</v>
      </c>
      <c r="L51" s="34"/>
      <c r="M51" s="18">
        <v>5507359.5</v>
      </c>
      <c r="N51" s="56">
        <v>7</v>
      </c>
      <c r="O51" s="57">
        <v>61</v>
      </c>
      <c r="P51" s="57">
        <v>692</v>
      </c>
      <c r="Q51" s="58">
        <v>7212</v>
      </c>
      <c r="R51" s="59">
        <v>72861</v>
      </c>
      <c r="S51" s="91"/>
      <c r="V51" s="100"/>
    </row>
    <row r="52" spans="1:22" s="90" customFormat="1" x14ac:dyDescent="0.15">
      <c r="A52" s="32">
        <v>40</v>
      </c>
      <c r="B52" s="26">
        <v>31325</v>
      </c>
      <c r="C52" s="76">
        <v>4</v>
      </c>
      <c r="D52" s="76">
        <v>5</v>
      </c>
      <c r="E52" s="76">
        <v>9</v>
      </c>
      <c r="F52" s="76">
        <v>9</v>
      </c>
      <c r="G52" s="76">
        <v>9</v>
      </c>
      <c r="H52" s="76">
        <v>6</v>
      </c>
      <c r="I52" s="13">
        <v>3</v>
      </c>
      <c r="J52" s="33">
        <v>17232380</v>
      </c>
      <c r="K52" s="190">
        <v>1</v>
      </c>
      <c r="L52" s="34">
        <v>6755555.4000000004</v>
      </c>
      <c r="M52" s="18">
        <v>90760</v>
      </c>
      <c r="N52" s="56">
        <v>7</v>
      </c>
      <c r="O52" s="57">
        <v>64</v>
      </c>
      <c r="P52" s="57">
        <v>850</v>
      </c>
      <c r="Q52" s="58">
        <v>7886</v>
      </c>
      <c r="R52" s="59">
        <v>78442</v>
      </c>
      <c r="S52" s="91"/>
      <c r="V52" s="100"/>
    </row>
    <row r="53" spans="1:22" s="90" customFormat="1" x14ac:dyDescent="0.15">
      <c r="A53" s="32">
        <v>41</v>
      </c>
      <c r="B53" s="26">
        <v>31332</v>
      </c>
      <c r="C53" s="76">
        <v>3</v>
      </c>
      <c r="D53" s="76">
        <v>4</v>
      </c>
      <c r="E53" s="76">
        <v>6</v>
      </c>
      <c r="F53" s="76">
        <v>6</v>
      </c>
      <c r="G53" s="76">
        <v>8</v>
      </c>
      <c r="H53" s="76">
        <v>5</v>
      </c>
      <c r="I53" s="13">
        <v>9</v>
      </c>
      <c r="J53" s="33">
        <v>17513140</v>
      </c>
      <c r="K53" s="190" t="s">
        <v>23</v>
      </c>
      <c r="L53" s="34"/>
      <c r="M53" s="18">
        <v>1451531</v>
      </c>
      <c r="N53" s="56">
        <v>5</v>
      </c>
      <c r="O53" s="57">
        <v>73</v>
      </c>
      <c r="P53" s="57">
        <v>815</v>
      </c>
      <c r="Q53" s="58">
        <v>8204</v>
      </c>
      <c r="R53" s="59">
        <v>79471</v>
      </c>
      <c r="S53" s="91"/>
      <c r="V53" s="100"/>
    </row>
    <row r="54" spans="1:22" s="90" customFormat="1" x14ac:dyDescent="0.15">
      <c r="A54" s="32">
        <v>42</v>
      </c>
      <c r="B54" s="26">
        <v>31339</v>
      </c>
      <c r="C54" s="76">
        <v>3</v>
      </c>
      <c r="D54" s="76">
        <v>2</v>
      </c>
      <c r="E54" s="76">
        <v>0</v>
      </c>
      <c r="F54" s="76">
        <v>6</v>
      </c>
      <c r="G54" s="76">
        <v>7</v>
      </c>
      <c r="H54" s="76">
        <v>5</v>
      </c>
      <c r="I54" s="13">
        <v>5</v>
      </c>
      <c r="J54" s="33">
        <v>16366784</v>
      </c>
      <c r="K54" s="190" t="s">
        <v>23</v>
      </c>
      <c r="L54" s="34"/>
      <c r="M54" s="18">
        <v>2723230.1</v>
      </c>
      <c r="N54" s="56">
        <v>7</v>
      </c>
      <c r="O54" s="57">
        <v>91</v>
      </c>
      <c r="P54" s="57">
        <v>730</v>
      </c>
      <c r="Q54" s="58">
        <v>7369</v>
      </c>
      <c r="R54" s="59">
        <v>73696</v>
      </c>
      <c r="S54" s="91"/>
      <c r="V54" s="100"/>
    </row>
    <row r="55" spans="1:22" s="90" customFormat="1" x14ac:dyDescent="0.15">
      <c r="A55" s="32">
        <v>43</v>
      </c>
      <c r="B55" s="26">
        <v>31346</v>
      </c>
      <c r="C55" s="76">
        <v>1</v>
      </c>
      <c r="D55" s="76">
        <v>9</v>
      </c>
      <c r="E55" s="76">
        <v>9</v>
      </c>
      <c r="F55" s="76">
        <v>0</v>
      </c>
      <c r="G55" s="76">
        <v>4</v>
      </c>
      <c r="H55" s="76">
        <v>4</v>
      </c>
      <c r="I55" s="13">
        <v>9</v>
      </c>
      <c r="J55" s="33">
        <v>16647276</v>
      </c>
      <c r="K55" s="190" t="s">
        <v>23</v>
      </c>
      <c r="L55" s="34"/>
      <c r="M55" s="18">
        <v>4016723.4</v>
      </c>
      <c r="N55" s="56">
        <v>9</v>
      </c>
      <c r="O55" s="57">
        <v>80</v>
      </c>
      <c r="P55" s="57">
        <v>733</v>
      </c>
      <c r="Q55" s="58">
        <v>7498</v>
      </c>
      <c r="R55" s="59">
        <v>76304</v>
      </c>
      <c r="S55" s="91"/>
      <c r="V55" s="100"/>
    </row>
    <row r="56" spans="1:22" s="90" customFormat="1" x14ac:dyDescent="0.15">
      <c r="A56" s="32">
        <v>44</v>
      </c>
      <c r="B56" s="26">
        <v>31353</v>
      </c>
      <c r="C56" s="76">
        <v>0</v>
      </c>
      <c r="D56" s="76">
        <v>4</v>
      </c>
      <c r="E56" s="76">
        <v>2</v>
      </c>
      <c r="F56" s="76">
        <v>3</v>
      </c>
      <c r="G56" s="76">
        <v>2</v>
      </c>
      <c r="H56" s="76">
        <v>4</v>
      </c>
      <c r="I56" s="13">
        <v>8</v>
      </c>
      <c r="J56" s="33">
        <v>16241150</v>
      </c>
      <c r="K56" s="190">
        <v>3</v>
      </c>
      <c r="L56" s="34">
        <v>1755555.4</v>
      </c>
      <c r="M56" s="34">
        <v>11994.6</v>
      </c>
      <c r="N56" s="56">
        <v>7</v>
      </c>
      <c r="O56" s="57">
        <v>75</v>
      </c>
      <c r="P56" s="57">
        <v>729</v>
      </c>
      <c r="Q56" s="58">
        <v>7239</v>
      </c>
      <c r="R56" s="59">
        <v>73754</v>
      </c>
      <c r="S56" s="91"/>
      <c r="V56" s="100"/>
    </row>
    <row r="57" spans="1:22" s="90" customFormat="1" x14ac:dyDescent="0.15">
      <c r="A57" s="32">
        <v>45</v>
      </c>
      <c r="B57" s="26">
        <v>31360</v>
      </c>
      <c r="C57" s="76">
        <v>0</v>
      </c>
      <c r="D57" s="76">
        <v>7</v>
      </c>
      <c r="E57" s="76">
        <v>8</v>
      </c>
      <c r="F57" s="76">
        <v>1</v>
      </c>
      <c r="G57" s="76">
        <v>4</v>
      </c>
      <c r="H57" s="76">
        <v>1</v>
      </c>
      <c r="I57" s="13">
        <v>9</v>
      </c>
      <c r="J57" s="116">
        <v>16593508</v>
      </c>
      <c r="K57" s="190" t="s">
        <v>23</v>
      </c>
      <c r="L57" s="34"/>
      <c r="M57" s="18">
        <v>1301310.2</v>
      </c>
      <c r="N57" s="56">
        <v>5</v>
      </c>
      <c r="O57" s="57">
        <v>91</v>
      </c>
      <c r="P57" s="57">
        <v>774</v>
      </c>
      <c r="Q57" s="58">
        <v>7905</v>
      </c>
      <c r="R57" s="59">
        <v>77573</v>
      </c>
      <c r="S57" s="91"/>
    </row>
    <row r="58" spans="1:22" s="90" customFormat="1" x14ac:dyDescent="0.15">
      <c r="A58" s="32">
        <v>46</v>
      </c>
      <c r="B58" s="26">
        <v>31367</v>
      </c>
      <c r="C58" s="76">
        <v>8</v>
      </c>
      <c r="D58" s="76">
        <v>3</v>
      </c>
      <c r="E58" s="76">
        <v>3</v>
      </c>
      <c r="F58" s="76">
        <v>1</v>
      </c>
      <c r="G58" s="76">
        <v>4</v>
      </c>
      <c r="H58" s="76">
        <v>5</v>
      </c>
      <c r="I58" s="13">
        <v>4</v>
      </c>
      <c r="J58" s="116">
        <v>16255314</v>
      </c>
      <c r="K58" s="190">
        <v>2</v>
      </c>
      <c r="L58" s="34">
        <v>1155555.3999999999</v>
      </c>
      <c r="M58" s="18">
        <v>253237.3</v>
      </c>
      <c r="N58" s="56">
        <v>12</v>
      </c>
      <c r="O58" s="57">
        <v>69</v>
      </c>
      <c r="P58" s="57">
        <v>709</v>
      </c>
      <c r="Q58" s="58">
        <v>7206</v>
      </c>
      <c r="R58" s="59">
        <v>73028</v>
      </c>
      <c r="S58" s="91"/>
    </row>
    <row r="59" spans="1:22" s="90" customFormat="1" x14ac:dyDescent="0.15">
      <c r="A59" s="32">
        <v>47</v>
      </c>
      <c r="B59" s="26">
        <v>31374</v>
      </c>
      <c r="C59" s="76">
        <v>0</v>
      </c>
      <c r="D59" s="76">
        <v>4</v>
      </c>
      <c r="E59" s="76">
        <v>9</v>
      </c>
      <c r="F59" s="76">
        <v>1</v>
      </c>
      <c r="G59" s="76">
        <v>8</v>
      </c>
      <c r="H59" s="76">
        <v>3</v>
      </c>
      <c r="I59" s="13">
        <v>6</v>
      </c>
      <c r="J59" s="33">
        <v>15696418</v>
      </c>
      <c r="K59" s="190">
        <v>2</v>
      </c>
      <c r="L59" s="34">
        <v>555555.4</v>
      </c>
      <c r="M59" s="18">
        <v>361738.2</v>
      </c>
      <c r="N59" s="56">
        <v>7</v>
      </c>
      <c r="O59" s="57">
        <v>77</v>
      </c>
      <c r="P59" s="57">
        <v>751</v>
      </c>
      <c r="Q59" s="58">
        <v>7156</v>
      </c>
      <c r="R59" s="59">
        <v>71728</v>
      </c>
      <c r="S59" s="91"/>
    </row>
    <row r="60" spans="1:22" s="90" customFormat="1" x14ac:dyDescent="0.15">
      <c r="A60" s="32">
        <v>48</v>
      </c>
      <c r="B60" s="26">
        <v>31381</v>
      </c>
      <c r="C60" s="76">
        <v>0</v>
      </c>
      <c r="D60" s="76">
        <v>7</v>
      </c>
      <c r="E60" s="76">
        <v>4</v>
      </c>
      <c r="F60" s="76">
        <v>0</v>
      </c>
      <c r="G60" s="76">
        <v>3</v>
      </c>
      <c r="H60" s="76">
        <v>8</v>
      </c>
      <c r="I60" s="13">
        <v>4</v>
      </c>
      <c r="J60" s="33">
        <v>16111180</v>
      </c>
      <c r="K60" s="190">
        <v>2</v>
      </c>
      <c r="L60" s="34">
        <v>755555.4</v>
      </c>
      <c r="M60" s="18">
        <v>102466.1</v>
      </c>
      <c r="N60" s="56">
        <v>9</v>
      </c>
      <c r="O60" s="57">
        <v>78</v>
      </c>
      <c r="P60" s="57">
        <v>676</v>
      </c>
      <c r="Q60" s="58">
        <v>7482</v>
      </c>
      <c r="R60" s="59">
        <v>72594</v>
      </c>
      <c r="S60" s="91"/>
    </row>
    <row r="61" spans="1:22" s="90" customFormat="1" x14ac:dyDescent="0.15">
      <c r="A61" s="32">
        <v>49</v>
      </c>
      <c r="B61" s="26">
        <v>31388</v>
      </c>
      <c r="C61" s="76">
        <v>2</v>
      </c>
      <c r="D61" s="76">
        <v>7</v>
      </c>
      <c r="E61" s="76">
        <v>8</v>
      </c>
      <c r="F61" s="76">
        <v>0</v>
      </c>
      <c r="G61" s="76">
        <v>4</v>
      </c>
      <c r="H61" s="76">
        <v>1</v>
      </c>
      <c r="I61" s="13">
        <v>0</v>
      </c>
      <c r="J61" s="33">
        <v>23399854</v>
      </c>
      <c r="K61" s="190">
        <v>2</v>
      </c>
      <c r="L61" s="34">
        <v>955555.4</v>
      </c>
      <c r="M61" s="18">
        <v>9524</v>
      </c>
      <c r="N61" s="56">
        <v>13</v>
      </c>
      <c r="O61" s="57">
        <v>118</v>
      </c>
      <c r="P61" s="57">
        <v>1023</v>
      </c>
      <c r="Q61" s="58">
        <v>10522</v>
      </c>
      <c r="R61" s="59">
        <v>103479</v>
      </c>
      <c r="S61" s="91"/>
    </row>
    <row r="62" spans="1:22" s="90" customFormat="1" x14ac:dyDescent="0.15">
      <c r="A62" s="32">
        <v>50</v>
      </c>
      <c r="B62" s="26">
        <v>31395</v>
      </c>
      <c r="C62" s="76">
        <v>8</v>
      </c>
      <c r="D62" s="76">
        <v>9</v>
      </c>
      <c r="E62" s="76">
        <v>2</v>
      </c>
      <c r="F62" s="76">
        <v>2</v>
      </c>
      <c r="G62" s="76">
        <v>5</v>
      </c>
      <c r="H62" s="76">
        <v>2</v>
      </c>
      <c r="I62" s="13">
        <v>9</v>
      </c>
      <c r="J62" s="33">
        <v>17529946</v>
      </c>
      <c r="K62" s="190" t="s">
        <v>23</v>
      </c>
      <c r="L62" s="34"/>
      <c r="M62" s="18">
        <v>1371600.8</v>
      </c>
      <c r="N62" s="56">
        <v>7</v>
      </c>
      <c r="O62" s="57">
        <v>56</v>
      </c>
      <c r="P62" s="57">
        <v>786</v>
      </c>
      <c r="Q62" s="58">
        <v>8069</v>
      </c>
      <c r="R62" s="59">
        <v>79339</v>
      </c>
      <c r="S62" s="91"/>
    </row>
    <row r="63" spans="1:22" s="90" customFormat="1" x14ac:dyDescent="0.15">
      <c r="A63" s="32">
        <v>51</v>
      </c>
      <c r="B63" s="26">
        <v>31402</v>
      </c>
      <c r="C63" s="76">
        <v>5</v>
      </c>
      <c r="D63" s="76">
        <v>0</v>
      </c>
      <c r="E63" s="76">
        <v>7</v>
      </c>
      <c r="F63" s="76">
        <v>2</v>
      </c>
      <c r="G63" s="76">
        <v>5</v>
      </c>
      <c r="H63" s="76">
        <v>4</v>
      </c>
      <c r="I63" s="13">
        <v>4</v>
      </c>
      <c r="J63" s="33">
        <v>18645766</v>
      </c>
      <c r="K63" s="190">
        <v>3</v>
      </c>
      <c r="L63" s="34">
        <v>755555.4</v>
      </c>
      <c r="M63" s="18">
        <v>553710.6</v>
      </c>
      <c r="N63" s="56">
        <v>7</v>
      </c>
      <c r="O63" s="57">
        <v>115</v>
      </c>
      <c r="P63" s="57">
        <v>894</v>
      </c>
      <c r="Q63" s="58">
        <v>8599</v>
      </c>
      <c r="R63" s="59">
        <v>85766</v>
      </c>
      <c r="S63" s="91"/>
    </row>
    <row r="64" spans="1:22" s="90" customFormat="1" x14ac:dyDescent="0.15">
      <c r="A64" s="32">
        <v>52</v>
      </c>
      <c r="B64" s="26">
        <v>31409</v>
      </c>
      <c r="C64" s="76">
        <v>9</v>
      </c>
      <c r="D64" s="76">
        <v>4</v>
      </c>
      <c r="E64" s="76">
        <v>0</v>
      </c>
      <c r="F64" s="76">
        <v>6</v>
      </c>
      <c r="G64" s="76">
        <v>9</v>
      </c>
      <c r="H64" s="14">
        <v>9</v>
      </c>
      <c r="I64" s="13">
        <v>6</v>
      </c>
      <c r="J64" s="33">
        <v>13680936</v>
      </c>
      <c r="K64" s="190">
        <v>1</v>
      </c>
      <c r="L64" s="34">
        <v>1555555.4</v>
      </c>
      <c r="M64" s="85">
        <v>61163.9</v>
      </c>
      <c r="N64" s="218">
        <v>3</v>
      </c>
      <c r="O64" s="57">
        <v>68</v>
      </c>
      <c r="P64" s="219">
        <v>579</v>
      </c>
      <c r="Q64" s="58">
        <v>5896</v>
      </c>
      <c r="R64" s="139">
        <v>61933</v>
      </c>
      <c r="S64" s="91"/>
    </row>
    <row r="65" spans="1:22" s="90" customFormat="1" x14ac:dyDescent="0.15">
      <c r="A65" s="101"/>
      <c r="B65" s="265"/>
      <c r="C65" s="97"/>
      <c r="D65" s="97"/>
      <c r="E65" s="97"/>
      <c r="F65" s="97"/>
      <c r="G65" s="97"/>
      <c r="H65" s="97" t="s">
        <v>24</v>
      </c>
      <c r="I65" s="97"/>
      <c r="J65" s="97"/>
      <c r="K65" s="262">
        <f>SUM(K8:K64)</f>
        <v>37</v>
      </c>
      <c r="L65" s="262"/>
      <c r="M65" s="262"/>
      <c r="N65" s="262">
        <f>SUM(N8:N64)</f>
        <v>328</v>
      </c>
      <c r="O65" s="262">
        <f>SUM(O8:O64)</f>
        <v>3432</v>
      </c>
      <c r="P65" s="262">
        <f>SUM(P8:P64)</f>
        <v>33870</v>
      </c>
      <c r="Q65" s="262">
        <f>SUM(Q8:Q64)</f>
        <v>337186</v>
      </c>
      <c r="R65" s="268">
        <f>SUM(R8:R64)</f>
        <v>3379144</v>
      </c>
      <c r="S65" s="91"/>
    </row>
    <row r="66" spans="1:22" s="90" customFormat="1" x14ac:dyDescent="0.15">
      <c r="A66" s="81"/>
      <c r="B66" s="82"/>
      <c r="C66" s="76"/>
      <c r="D66" s="76"/>
      <c r="E66" s="76"/>
      <c r="F66" s="76"/>
      <c r="G66" s="76"/>
      <c r="H66" s="76"/>
      <c r="I66" s="76"/>
      <c r="J66" s="83"/>
      <c r="K66" s="77"/>
      <c r="L66" s="84"/>
      <c r="M66" s="85"/>
      <c r="N66" s="86"/>
      <c r="O66" s="87"/>
      <c r="P66" s="87"/>
      <c r="Q66" s="88"/>
      <c r="R66" s="89"/>
      <c r="S66" s="91"/>
    </row>
    <row r="67" spans="1:22" s="90" customFormat="1" x14ac:dyDescent="0.15">
      <c r="A67" s="81"/>
      <c r="B67" s="82"/>
      <c r="C67" s="103"/>
      <c r="D67" s="103"/>
      <c r="E67" s="103"/>
      <c r="F67" s="103"/>
      <c r="G67" s="103"/>
      <c r="H67" s="103"/>
      <c r="I67" s="92"/>
      <c r="J67" s="83"/>
      <c r="K67" s="77"/>
      <c r="L67" s="94"/>
      <c r="M67" s="85"/>
      <c r="N67" s="86"/>
      <c r="O67" s="87"/>
      <c r="P67" s="87"/>
      <c r="Q67" s="88"/>
      <c r="R67" s="89"/>
      <c r="S67" s="91"/>
    </row>
    <row r="68" spans="1:22" s="90" customFormat="1" x14ac:dyDescent="0.15">
      <c r="A68" s="81"/>
      <c r="B68" s="82"/>
      <c r="C68" s="103"/>
      <c r="D68" s="103"/>
      <c r="E68" s="103"/>
      <c r="F68" s="103"/>
      <c r="G68" s="103"/>
      <c r="H68" s="103"/>
      <c r="I68" s="92"/>
      <c r="J68" s="83"/>
      <c r="K68" s="77"/>
      <c r="L68" s="94"/>
      <c r="M68" s="85"/>
      <c r="N68" s="86"/>
      <c r="O68" s="87"/>
      <c r="P68" s="87"/>
      <c r="Q68" s="88"/>
      <c r="R68" s="89"/>
      <c r="S68" s="91"/>
    </row>
    <row r="69" spans="1:22" s="90" customFormat="1" x14ac:dyDescent="0.15">
      <c r="A69" s="81"/>
      <c r="B69" s="82"/>
      <c r="C69" s="92"/>
      <c r="D69" s="92"/>
      <c r="E69" s="92"/>
      <c r="F69" s="92"/>
      <c r="G69" s="92"/>
      <c r="H69" s="92"/>
      <c r="I69" s="92"/>
      <c r="J69" s="83"/>
      <c r="K69" s="77"/>
      <c r="L69" s="94"/>
      <c r="M69" s="85"/>
      <c r="N69" s="86"/>
      <c r="O69" s="87"/>
      <c r="P69" s="87"/>
      <c r="Q69" s="88"/>
      <c r="R69" s="89"/>
      <c r="S69" s="91"/>
    </row>
    <row r="70" spans="1:22" s="90" customFormat="1" x14ac:dyDescent="0.15">
      <c r="A70" s="81"/>
      <c r="B70" s="92"/>
      <c r="C70" s="92"/>
      <c r="D70" s="92"/>
      <c r="E70" s="92"/>
      <c r="F70" s="92"/>
      <c r="G70" s="92"/>
      <c r="H70" s="92"/>
      <c r="I70" s="92"/>
      <c r="J70" s="92"/>
      <c r="K70" s="93"/>
      <c r="L70" s="93"/>
      <c r="M70" s="93"/>
      <c r="N70" s="93"/>
      <c r="O70" s="93"/>
      <c r="P70" s="93"/>
      <c r="Q70" s="93"/>
      <c r="R70" s="93"/>
      <c r="S70" s="91"/>
      <c r="V70" s="111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  <row r="174" spans="12:12" s="90" customFormat="1" x14ac:dyDescent="0.15">
      <c r="L174" s="85"/>
    </row>
    <row r="175" spans="12:12" s="90" customFormat="1" x14ac:dyDescent="0.15">
      <c r="L175" s="85"/>
    </row>
    <row r="176" spans="12:12" s="90" customFormat="1" x14ac:dyDescent="0.15">
      <c r="L176" s="85"/>
    </row>
    <row r="177" spans="12:12" s="90" customFormat="1" x14ac:dyDescent="0.15">
      <c r="L177" s="85"/>
    </row>
    <row r="178" spans="12:12" s="90" customFormat="1" x14ac:dyDescent="0.15">
      <c r="L178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78" orientation="landscape" horizontalDpi="4294967292" vertic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3"/>
  <sheetViews>
    <sheetView topLeftCell="B25" workbookViewId="0">
      <selection activeCell="Q53" sqref="Q53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44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/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1986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19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43</v>
      </c>
      <c r="L6" s="209"/>
      <c r="M6" s="14" t="s">
        <v>14</v>
      </c>
      <c r="N6" s="75" t="s">
        <v>33</v>
      </c>
      <c r="O6" s="75" t="s">
        <v>34</v>
      </c>
      <c r="P6" s="75" t="s">
        <v>35</v>
      </c>
      <c r="Q6" s="75" t="s">
        <v>36</v>
      </c>
      <c r="R6" s="75" t="s">
        <v>37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32">
        <v>1</v>
      </c>
      <c r="B8" s="26">
        <v>31416</v>
      </c>
      <c r="C8" s="76">
        <v>7</v>
      </c>
      <c r="D8" s="76">
        <v>8</v>
      </c>
      <c r="E8" s="76">
        <v>3</v>
      </c>
      <c r="F8" s="76">
        <v>3</v>
      </c>
      <c r="G8" s="76">
        <v>2</v>
      </c>
      <c r="H8" s="76">
        <v>6</v>
      </c>
      <c r="I8" s="13">
        <v>4</v>
      </c>
      <c r="J8" s="33">
        <v>13816342</v>
      </c>
      <c r="K8" s="77">
        <v>2</v>
      </c>
      <c r="L8" s="34">
        <v>555555.4</v>
      </c>
      <c r="M8" s="18">
        <v>23582.9</v>
      </c>
      <c r="N8" s="56">
        <v>3</v>
      </c>
      <c r="O8" s="57">
        <v>55</v>
      </c>
      <c r="P8" s="57">
        <v>607</v>
      </c>
      <c r="Q8" s="58">
        <v>6208</v>
      </c>
      <c r="R8" s="59">
        <v>62203</v>
      </c>
      <c r="V8" s="4"/>
    </row>
    <row r="9" spans="1:22" x14ac:dyDescent="0.15">
      <c r="A9" s="32">
        <v>2</v>
      </c>
      <c r="B9" s="26">
        <v>31423</v>
      </c>
      <c r="C9" s="76">
        <v>0</v>
      </c>
      <c r="D9" s="76">
        <v>2</v>
      </c>
      <c r="E9" s="76">
        <v>9</v>
      </c>
      <c r="F9" s="76">
        <v>7</v>
      </c>
      <c r="G9" s="76">
        <v>6</v>
      </c>
      <c r="H9" s="76">
        <v>6</v>
      </c>
      <c r="I9" s="13">
        <v>0</v>
      </c>
      <c r="J9" s="33">
        <v>17931602</v>
      </c>
      <c r="K9" s="159" t="s">
        <v>23</v>
      </c>
      <c r="L9" s="34"/>
      <c r="M9" s="34">
        <v>1416686.4</v>
      </c>
      <c r="N9" s="56">
        <v>13</v>
      </c>
      <c r="O9" s="57">
        <v>83</v>
      </c>
      <c r="P9" s="57">
        <v>800</v>
      </c>
      <c r="Q9" s="58">
        <v>8006</v>
      </c>
      <c r="R9" s="59">
        <v>80430</v>
      </c>
      <c r="V9" s="4"/>
    </row>
    <row r="10" spans="1:22" x14ac:dyDescent="0.15">
      <c r="A10" s="32">
        <v>3</v>
      </c>
      <c r="B10" s="26">
        <v>31430</v>
      </c>
      <c r="C10" s="76">
        <v>5</v>
      </c>
      <c r="D10" s="76">
        <v>6</v>
      </c>
      <c r="E10" s="76">
        <v>7</v>
      </c>
      <c r="F10" s="76">
        <v>4</v>
      </c>
      <c r="G10" s="76">
        <v>3</v>
      </c>
      <c r="H10" s="76">
        <v>9</v>
      </c>
      <c r="I10" s="13">
        <v>1</v>
      </c>
      <c r="J10" s="33">
        <v>15642818</v>
      </c>
      <c r="K10" s="77">
        <v>2</v>
      </c>
      <c r="L10" s="34">
        <v>1155555.3999999999</v>
      </c>
      <c r="M10" s="18">
        <v>321204.59999999998</v>
      </c>
      <c r="N10" s="56">
        <v>3</v>
      </c>
      <c r="O10" s="57">
        <v>75</v>
      </c>
      <c r="P10" s="57">
        <v>755</v>
      </c>
      <c r="Q10" s="58">
        <v>6960</v>
      </c>
      <c r="R10" s="59">
        <v>68975</v>
      </c>
      <c r="V10" s="4"/>
    </row>
    <row r="11" spans="1:22" x14ac:dyDescent="0.15">
      <c r="A11" s="32">
        <v>4</v>
      </c>
      <c r="B11" s="26">
        <v>31437</v>
      </c>
      <c r="C11" s="76">
        <v>1</v>
      </c>
      <c r="D11" s="76">
        <v>2</v>
      </c>
      <c r="E11" s="76">
        <v>8</v>
      </c>
      <c r="F11" s="76">
        <v>8</v>
      </c>
      <c r="G11" s="76">
        <v>1</v>
      </c>
      <c r="H11" s="76">
        <v>9</v>
      </c>
      <c r="I11" s="13">
        <v>3</v>
      </c>
      <c r="J11" s="33">
        <v>14857868</v>
      </c>
      <c r="K11" s="159" t="s">
        <v>23</v>
      </c>
      <c r="L11" s="34"/>
      <c r="M11" s="34">
        <v>1475660.9</v>
      </c>
      <c r="N11" s="56">
        <v>4</v>
      </c>
      <c r="O11" s="57">
        <v>88</v>
      </c>
      <c r="P11" s="57">
        <v>613</v>
      </c>
      <c r="Q11" s="58">
        <v>6655</v>
      </c>
      <c r="R11" s="59">
        <v>64911</v>
      </c>
      <c r="V11" s="4"/>
    </row>
    <row r="12" spans="1:22" x14ac:dyDescent="0.15">
      <c r="A12" s="32">
        <v>5</v>
      </c>
      <c r="B12" s="26">
        <v>31444</v>
      </c>
      <c r="C12" s="76">
        <v>9</v>
      </c>
      <c r="D12" s="76">
        <v>0</v>
      </c>
      <c r="E12" s="76">
        <v>7</v>
      </c>
      <c r="F12" s="76">
        <v>3</v>
      </c>
      <c r="G12" s="76">
        <v>5</v>
      </c>
      <c r="H12" s="76">
        <v>9</v>
      </c>
      <c r="I12" s="13">
        <v>6</v>
      </c>
      <c r="J12" s="33">
        <v>15020672</v>
      </c>
      <c r="K12" s="159" t="s">
        <v>23</v>
      </c>
      <c r="L12" s="34"/>
      <c r="M12" s="18">
        <v>2642767.1</v>
      </c>
      <c r="N12" s="56">
        <v>9</v>
      </c>
      <c r="O12" s="57">
        <v>74</v>
      </c>
      <c r="P12" s="57">
        <v>719</v>
      </c>
      <c r="Q12" s="58">
        <v>7129</v>
      </c>
      <c r="R12" s="59">
        <v>69787</v>
      </c>
      <c r="V12" s="4"/>
    </row>
    <row r="13" spans="1:22" x14ac:dyDescent="0.15">
      <c r="A13" s="32">
        <v>6</v>
      </c>
      <c r="B13" s="26">
        <v>31451</v>
      </c>
      <c r="C13" s="76">
        <v>1</v>
      </c>
      <c r="D13" s="76">
        <v>1</v>
      </c>
      <c r="E13" s="76">
        <v>9</v>
      </c>
      <c r="F13" s="76">
        <v>5</v>
      </c>
      <c r="G13" s="76">
        <v>8</v>
      </c>
      <c r="H13" s="76">
        <v>6</v>
      </c>
      <c r="I13" s="13">
        <v>6</v>
      </c>
      <c r="J13" s="33">
        <v>14788676</v>
      </c>
      <c r="K13" s="77">
        <v>1</v>
      </c>
      <c r="L13" s="34">
        <v>3755555.4</v>
      </c>
      <c r="M13" s="18">
        <v>36291.800000000003</v>
      </c>
      <c r="N13" s="56">
        <v>9</v>
      </c>
      <c r="O13" s="57">
        <v>68</v>
      </c>
      <c r="P13" s="57">
        <v>705</v>
      </c>
      <c r="Q13" s="58">
        <v>6699</v>
      </c>
      <c r="R13" s="59">
        <v>67646</v>
      </c>
      <c r="V13" s="4"/>
    </row>
    <row r="14" spans="1:22" x14ac:dyDescent="0.15">
      <c r="A14" s="32">
        <v>7</v>
      </c>
      <c r="B14" s="26">
        <v>31458</v>
      </c>
      <c r="C14" s="76">
        <v>4</v>
      </c>
      <c r="D14" s="76">
        <v>3</v>
      </c>
      <c r="E14" s="76">
        <v>4</v>
      </c>
      <c r="F14" s="76">
        <v>0</v>
      </c>
      <c r="G14" s="76">
        <v>8</v>
      </c>
      <c r="H14" s="76">
        <v>0</v>
      </c>
      <c r="I14" s="13">
        <v>7</v>
      </c>
      <c r="J14" s="33">
        <v>14907036</v>
      </c>
      <c r="K14" s="159" t="s">
        <v>23</v>
      </c>
      <c r="L14" s="34"/>
      <c r="M14" s="18">
        <v>1194568.5</v>
      </c>
      <c r="N14" s="56">
        <v>8</v>
      </c>
      <c r="O14" s="57">
        <v>70</v>
      </c>
      <c r="P14" s="57">
        <v>642</v>
      </c>
      <c r="Q14" s="58">
        <v>6592</v>
      </c>
      <c r="R14" s="59">
        <v>65707</v>
      </c>
      <c r="V14" s="4"/>
    </row>
    <row r="15" spans="1:22" x14ac:dyDescent="0.15">
      <c r="A15" s="32">
        <v>8</v>
      </c>
      <c r="B15" s="26">
        <v>31465</v>
      </c>
      <c r="C15" s="76">
        <v>1</v>
      </c>
      <c r="D15" s="76">
        <v>3</v>
      </c>
      <c r="E15" s="76">
        <v>8</v>
      </c>
      <c r="F15" s="76">
        <v>6</v>
      </c>
      <c r="G15" s="76">
        <v>0</v>
      </c>
      <c r="H15" s="76">
        <v>7</v>
      </c>
      <c r="I15" s="13">
        <v>6</v>
      </c>
      <c r="J15" s="33">
        <v>14650742</v>
      </c>
      <c r="K15" s="159" t="s">
        <v>23</v>
      </c>
      <c r="L15" s="34"/>
      <c r="M15" s="18">
        <v>2332931.2000000002</v>
      </c>
      <c r="N15" s="56">
        <v>8</v>
      </c>
      <c r="O15" s="57">
        <v>63</v>
      </c>
      <c r="P15" s="57">
        <v>611</v>
      </c>
      <c r="Q15" s="58">
        <v>6631</v>
      </c>
      <c r="R15" s="59">
        <v>67866</v>
      </c>
      <c r="V15" s="4"/>
    </row>
    <row r="16" spans="1:22" x14ac:dyDescent="0.15">
      <c r="A16" s="32">
        <v>9</v>
      </c>
      <c r="B16" s="26">
        <v>31472</v>
      </c>
      <c r="C16" s="76">
        <v>5</v>
      </c>
      <c r="D16" s="76">
        <v>1</v>
      </c>
      <c r="E16" s="76">
        <v>9</v>
      </c>
      <c r="F16" s="76">
        <v>0</v>
      </c>
      <c r="G16" s="76">
        <v>7</v>
      </c>
      <c r="H16" s="76">
        <v>1</v>
      </c>
      <c r="I16" s="13">
        <v>9</v>
      </c>
      <c r="J16" s="33">
        <v>18883058</v>
      </c>
      <c r="K16" s="77">
        <v>1</v>
      </c>
      <c r="L16" s="34">
        <v>3755555.4</v>
      </c>
      <c r="M16" s="18">
        <v>44589.4</v>
      </c>
      <c r="N16" s="56">
        <v>9</v>
      </c>
      <c r="O16" s="57">
        <v>85</v>
      </c>
      <c r="P16" s="57">
        <v>818</v>
      </c>
      <c r="Q16" s="58">
        <v>8202</v>
      </c>
      <c r="R16" s="59">
        <v>81788</v>
      </c>
      <c r="V16" s="4"/>
    </row>
    <row r="17" spans="1:22" x14ac:dyDescent="0.15">
      <c r="A17" s="32">
        <v>10</v>
      </c>
      <c r="B17" s="26">
        <v>31479</v>
      </c>
      <c r="C17" s="76">
        <v>4</v>
      </c>
      <c r="D17" s="76">
        <v>7</v>
      </c>
      <c r="E17" s="76">
        <v>8</v>
      </c>
      <c r="F17" s="76">
        <v>1</v>
      </c>
      <c r="G17" s="76">
        <v>0</v>
      </c>
      <c r="H17" s="76">
        <v>6</v>
      </c>
      <c r="I17" s="13">
        <v>1</v>
      </c>
      <c r="J17" s="33">
        <v>14942682</v>
      </c>
      <c r="K17" s="159" t="s">
        <v>23</v>
      </c>
      <c r="L17" s="34"/>
      <c r="M17" s="18">
        <v>1205635.8</v>
      </c>
      <c r="N17" s="56">
        <v>7</v>
      </c>
      <c r="O17" s="57">
        <v>80</v>
      </c>
      <c r="P17" s="57">
        <v>633</v>
      </c>
      <c r="Q17" s="58">
        <v>6619</v>
      </c>
      <c r="R17" s="59">
        <v>66182</v>
      </c>
      <c r="V17" s="4"/>
    </row>
    <row r="18" spans="1:22" x14ac:dyDescent="0.15">
      <c r="A18" s="32">
        <v>11</v>
      </c>
      <c r="B18" s="26">
        <v>31486</v>
      </c>
      <c r="C18" s="76">
        <v>1</v>
      </c>
      <c r="D18" s="76">
        <v>6</v>
      </c>
      <c r="E18" s="76">
        <v>9</v>
      </c>
      <c r="F18" s="76">
        <v>3</v>
      </c>
      <c r="G18" s="76">
        <v>6</v>
      </c>
      <c r="H18" s="76">
        <v>6</v>
      </c>
      <c r="I18" s="13">
        <v>2</v>
      </c>
      <c r="J18" s="33">
        <v>14773504</v>
      </c>
      <c r="K18" s="159" t="s">
        <v>23</v>
      </c>
      <c r="L18" s="34"/>
      <c r="M18" s="18">
        <v>2353537.1</v>
      </c>
      <c r="N18" s="56">
        <v>7</v>
      </c>
      <c r="O18" s="57">
        <v>72</v>
      </c>
      <c r="P18" s="57">
        <v>713</v>
      </c>
      <c r="Q18" s="58">
        <v>6550</v>
      </c>
      <c r="R18" s="59">
        <v>65763</v>
      </c>
      <c r="V18" s="4"/>
    </row>
    <row r="19" spans="1:22" x14ac:dyDescent="0.15">
      <c r="A19" s="32">
        <v>12</v>
      </c>
      <c r="B19" s="26">
        <v>31493</v>
      </c>
      <c r="C19" s="76">
        <v>9</v>
      </c>
      <c r="D19" s="76">
        <v>2</v>
      </c>
      <c r="E19" s="76">
        <v>5</v>
      </c>
      <c r="F19" s="76">
        <v>9</v>
      </c>
      <c r="G19" s="76">
        <v>1</v>
      </c>
      <c r="H19" s="76">
        <v>0</v>
      </c>
      <c r="I19" s="13">
        <v>9</v>
      </c>
      <c r="J19" s="33">
        <v>14573582</v>
      </c>
      <c r="K19" s="77">
        <v>2</v>
      </c>
      <c r="L19" s="34">
        <v>1555555.4</v>
      </c>
      <c r="M19" s="18">
        <v>374793.6</v>
      </c>
      <c r="N19" s="56">
        <v>9</v>
      </c>
      <c r="O19" s="57">
        <v>65</v>
      </c>
      <c r="P19" s="57">
        <v>634</v>
      </c>
      <c r="Q19" s="58">
        <v>6438</v>
      </c>
      <c r="R19" s="59">
        <v>63789</v>
      </c>
      <c r="V19" s="4"/>
    </row>
    <row r="20" spans="1:22" x14ac:dyDescent="0.15">
      <c r="A20" s="32">
        <v>13</v>
      </c>
      <c r="B20" s="26">
        <v>31500</v>
      </c>
      <c r="C20" s="76">
        <v>0</v>
      </c>
      <c r="D20" s="76">
        <v>6</v>
      </c>
      <c r="E20" s="76">
        <v>2</v>
      </c>
      <c r="F20" s="76">
        <v>7</v>
      </c>
      <c r="G20" s="76">
        <v>1</v>
      </c>
      <c r="H20" s="76">
        <v>1</v>
      </c>
      <c r="I20" s="13">
        <v>5</v>
      </c>
      <c r="J20" s="33">
        <v>14344208</v>
      </c>
      <c r="K20" s="159" t="s">
        <v>23</v>
      </c>
      <c r="L20" s="34"/>
      <c r="M20" s="18">
        <v>1489338.6</v>
      </c>
      <c r="N20" s="56">
        <v>6</v>
      </c>
      <c r="O20" s="57">
        <v>62</v>
      </c>
      <c r="P20" s="57">
        <v>584</v>
      </c>
      <c r="Q20" s="58">
        <v>6436</v>
      </c>
      <c r="R20" s="59">
        <v>64794</v>
      </c>
      <c r="V20" s="4"/>
    </row>
    <row r="21" spans="1:22" x14ac:dyDescent="0.15">
      <c r="A21" s="32">
        <v>14</v>
      </c>
      <c r="B21" s="26">
        <v>31507</v>
      </c>
      <c r="C21" s="76">
        <v>9</v>
      </c>
      <c r="D21" s="76">
        <v>2</v>
      </c>
      <c r="E21" s="76">
        <v>2</v>
      </c>
      <c r="F21" s="76">
        <v>2</v>
      </c>
      <c r="G21" s="76">
        <v>9</v>
      </c>
      <c r="H21" s="76">
        <v>3</v>
      </c>
      <c r="I21" s="13">
        <v>2</v>
      </c>
      <c r="J21" s="33">
        <v>14266260</v>
      </c>
      <c r="K21" s="77">
        <v>1</v>
      </c>
      <c r="L21" s="34">
        <v>2555555.4</v>
      </c>
      <c r="M21" s="18">
        <v>42271.6</v>
      </c>
      <c r="N21" s="56">
        <v>7</v>
      </c>
      <c r="O21" s="57">
        <v>76</v>
      </c>
      <c r="P21" s="57">
        <v>615</v>
      </c>
      <c r="Q21" s="58">
        <v>6635</v>
      </c>
      <c r="R21" s="59">
        <v>65289</v>
      </c>
      <c r="V21" s="4"/>
    </row>
    <row r="22" spans="1:22" x14ac:dyDescent="0.15">
      <c r="A22" s="32">
        <v>15</v>
      </c>
      <c r="B22" s="26">
        <v>31514</v>
      </c>
      <c r="C22" s="76">
        <v>5</v>
      </c>
      <c r="D22" s="76">
        <v>0</v>
      </c>
      <c r="E22" s="76">
        <v>3</v>
      </c>
      <c r="F22" s="76">
        <v>8</v>
      </c>
      <c r="G22" s="76">
        <v>2</v>
      </c>
      <c r="H22" s="76">
        <v>1</v>
      </c>
      <c r="I22" s="13">
        <v>4</v>
      </c>
      <c r="J22" s="33">
        <v>14470468</v>
      </c>
      <c r="K22" s="159" t="s">
        <v>23</v>
      </c>
      <c r="L22" s="34"/>
      <c r="M22" s="18">
        <v>1166627</v>
      </c>
      <c r="N22" s="56">
        <v>10</v>
      </c>
      <c r="O22" s="57">
        <v>39</v>
      </c>
      <c r="P22" s="57">
        <v>651</v>
      </c>
      <c r="Q22" s="58">
        <v>6517</v>
      </c>
      <c r="R22" s="59">
        <v>64852</v>
      </c>
      <c r="V22" s="4"/>
    </row>
    <row r="23" spans="1:22" x14ac:dyDescent="0.15">
      <c r="A23" s="32">
        <v>16</v>
      </c>
      <c r="B23" s="26">
        <v>31521</v>
      </c>
      <c r="C23" s="76">
        <v>0</v>
      </c>
      <c r="D23" s="76">
        <v>5</v>
      </c>
      <c r="E23" s="76">
        <v>6</v>
      </c>
      <c r="F23" s="76">
        <v>5</v>
      </c>
      <c r="G23" s="76">
        <v>7</v>
      </c>
      <c r="H23" s="76">
        <v>4</v>
      </c>
      <c r="I23" s="13">
        <v>6</v>
      </c>
      <c r="J23" s="33">
        <v>14101054</v>
      </c>
      <c r="K23" s="159" t="s">
        <v>23</v>
      </c>
      <c r="L23" s="34"/>
      <c r="M23" s="18">
        <v>2262278.9</v>
      </c>
      <c r="N23" s="56">
        <v>8</v>
      </c>
      <c r="O23" s="57">
        <v>73</v>
      </c>
      <c r="P23" s="57">
        <v>675</v>
      </c>
      <c r="Q23" s="58">
        <v>6571</v>
      </c>
      <c r="R23" s="59">
        <v>64200</v>
      </c>
      <c r="V23" s="4"/>
    </row>
    <row r="24" spans="1:22" x14ac:dyDescent="0.15">
      <c r="A24" s="32">
        <v>17</v>
      </c>
      <c r="B24" s="26">
        <v>31528</v>
      </c>
      <c r="C24" s="76">
        <v>4</v>
      </c>
      <c r="D24" s="76">
        <v>5</v>
      </c>
      <c r="E24" s="76">
        <v>1</v>
      </c>
      <c r="F24" s="76">
        <v>1</v>
      </c>
      <c r="G24" s="76">
        <v>5</v>
      </c>
      <c r="H24" s="76">
        <v>2</v>
      </c>
      <c r="I24" s="13">
        <v>4</v>
      </c>
      <c r="J24" s="33">
        <v>14605122</v>
      </c>
      <c r="K24" s="77">
        <v>1</v>
      </c>
      <c r="L24" s="34">
        <v>3355555.4</v>
      </c>
      <c r="M24" s="18">
        <v>41541.5</v>
      </c>
      <c r="N24" s="56">
        <v>5</v>
      </c>
      <c r="O24" s="57">
        <v>85</v>
      </c>
      <c r="P24" s="57">
        <v>660</v>
      </c>
      <c r="Q24" s="58">
        <v>6439</v>
      </c>
      <c r="R24" s="59">
        <v>64756</v>
      </c>
      <c r="V24" s="4"/>
    </row>
    <row r="25" spans="1:22" x14ac:dyDescent="0.15">
      <c r="A25" s="32">
        <v>18</v>
      </c>
      <c r="B25" s="26">
        <v>31535</v>
      </c>
      <c r="C25" s="76">
        <v>0</v>
      </c>
      <c r="D25" s="76">
        <v>9</v>
      </c>
      <c r="E25" s="76">
        <v>3</v>
      </c>
      <c r="F25" s="76">
        <v>7</v>
      </c>
      <c r="G25" s="76">
        <v>1</v>
      </c>
      <c r="H25" s="76">
        <v>5</v>
      </c>
      <c r="I25" s="13">
        <v>6</v>
      </c>
      <c r="J25" s="33">
        <v>13578254</v>
      </c>
      <c r="K25" s="159" t="s">
        <v>23</v>
      </c>
      <c r="L25" s="34"/>
      <c r="M25" s="18">
        <v>1096571.8</v>
      </c>
      <c r="N25" s="56">
        <v>6</v>
      </c>
      <c r="O25" s="57">
        <v>68</v>
      </c>
      <c r="P25" s="57">
        <v>620</v>
      </c>
      <c r="Q25" s="58">
        <v>6194</v>
      </c>
      <c r="R25" s="59">
        <v>60069</v>
      </c>
      <c r="V25" s="4"/>
    </row>
    <row r="26" spans="1:22" x14ac:dyDescent="0.15">
      <c r="A26" s="32">
        <v>19</v>
      </c>
      <c r="B26" s="26">
        <v>31542</v>
      </c>
      <c r="C26" s="76">
        <v>5</v>
      </c>
      <c r="D26" s="76">
        <v>4</v>
      </c>
      <c r="E26" s="76">
        <v>3</v>
      </c>
      <c r="F26" s="76">
        <v>9</v>
      </c>
      <c r="G26" s="76">
        <v>2</v>
      </c>
      <c r="H26" s="76">
        <v>7</v>
      </c>
      <c r="I26" s="13">
        <v>4</v>
      </c>
      <c r="J26" s="33">
        <v>13382454</v>
      </c>
      <c r="K26" s="159" t="s">
        <v>23</v>
      </c>
      <c r="L26" s="34"/>
      <c r="M26" s="18">
        <v>2136388.5</v>
      </c>
      <c r="N26" s="56">
        <v>5</v>
      </c>
      <c r="O26" s="57">
        <v>59</v>
      </c>
      <c r="P26" s="57">
        <v>564</v>
      </c>
      <c r="Q26" s="58">
        <v>5958</v>
      </c>
      <c r="R26" s="59">
        <v>59715</v>
      </c>
      <c r="V26" s="4"/>
    </row>
    <row r="27" spans="1:22" x14ac:dyDescent="0.15">
      <c r="A27" s="32">
        <v>20</v>
      </c>
      <c r="B27" s="26">
        <v>31549</v>
      </c>
      <c r="C27" s="76">
        <v>9</v>
      </c>
      <c r="D27" s="76">
        <v>3</v>
      </c>
      <c r="E27" s="76">
        <v>3</v>
      </c>
      <c r="F27" s="76">
        <v>1</v>
      </c>
      <c r="G27" s="76">
        <v>9</v>
      </c>
      <c r="H27" s="76">
        <v>8</v>
      </c>
      <c r="I27" s="13">
        <v>3</v>
      </c>
      <c r="J27" s="33">
        <v>13786402</v>
      </c>
      <c r="K27" s="159" t="s">
        <v>23</v>
      </c>
      <c r="L27" s="34"/>
      <c r="M27" s="18">
        <v>3207591.9</v>
      </c>
      <c r="N27" s="56">
        <v>5</v>
      </c>
      <c r="O27" s="57">
        <v>63</v>
      </c>
      <c r="P27" s="57">
        <v>630</v>
      </c>
      <c r="Q27" s="58">
        <v>6338</v>
      </c>
      <c r="R27" s="59">
        <v>62879</v>
      </c>
      <c r="V27" s="4"/>
    </row>
    <row r="28" spans="1:22" x14ac:dyDescent="0.15">
      <c r="A28" s="32">
        <v>21</v>
      </c>
      <c r="B28" s="26">
        <v>31556</v>
      </c>
      <c r="C28" s="76">
        <v>0</v>
      </c>
      <c r="D28" s="76">
        <v>7</v>
      </c>
      <c r="E28" s="76">
        <v>8</v>
      </c>
      <c r="F28" s="76">
        <v>5</v>
      </c>
      <c r="G28" s="76">
        <v>6</v>
      </c>
      <c r="H28" s="76">
        <v>8</v>
      </c>
      <c r="I28" s="13">
        <v>1</v>
      </c>
      <c r="J28" s="33">
        <v>13272606</v>
      </c>
      <c r="K28" s="159" t="s">
        <v>23</v>
      </c>
      <c r="L28" s="34"/>
      <c r="M28" s="18">
        <v>4238873.4000000004</v>
      </c>
      <c r="N28" s="56">
        <v>4</v>
      </c>
      <c r="O28" s="57">
        <v>66</v>
      </c>
      <c r="P28" s="57">
        <v>576</v>
      </c>
      <c r="Q28" s="58">
        <v>6112</v>
      </c>
      <c r="R28" s="59">
        <v>58926</v>
      </c>
      <c r="V28" s="4"/>
    </row>
    <row r="29" spans="1:22" x14ac:dyDescent="0.15">
      <c r="A29" s="32">
        <v>22</v>
      </c>
      <c r="B29" s="26">
        <v>31563</v>
      </c>
      <c r="C29" s="76">
        <v>5</v>
      </c>
      <c r="D29" s="76">
        <v>4</v>
      </c>
      <c r="E29" s="76">
        <v>4</v>
      </c>
      <c r="F29" s="76">
        <v>9</v>
      </c>
      <c r="G29" s="76">
        <v>2</v>
      </c>
      <c r="H29" s="76">
        <v>8</v>
      </c>
      <c r="I29" s="13">
        <v>9</v>
      </c>
      <c r="J29" s="33">
        <v>13566568</v>
      </c>
      <c r="K29" s="77">
        <v>2</v>
      </c>
      <c r="L29" s="34">
        <v>2555555.4</v>
      </c>
      <c r="M29" s="34">
        <v>181884.9</v>
      </c>
      <c r="N29" s="56">
        <v>11</v>
      </c>
      <c r="O29" s="57">
        <v>58</v>
      </c>
      <c r="P29" s="57">
        <v>616</v>
      </c>
      <c r="Q29" s="58">
        <v>6082</v>
      </c>
      <c r="R29" s="59">
        <v>61250</v>
      </c>
      <c r="V29" s="4"/>
    </row>
    <row r="30" spans="1:22" x14ac:dyDescent="0.15">
      <c r="A30" s="32">
        <v>23</v>
      </c>
      <c r="B30" s="26">
        <v>31570</v>
      </c>
      <c r="C30" s="76">
        <v>0</v>
      </c>
      <c r="D30" s="76">
        <v>9</v>
      </c>
      <c r="E30" s="76">
        <v>6</v>
      </c>
      <c r="F30" s="76">
        <v>7</v>
      </c>
      <c r="G30" s="76">
        <v>5</v>
      </c>
      <c r="H30" s="76">
        <v>9</v>
      </c>
      <c r="I30" s="13">
        <v>3</v>
      </c>
      <c r="J30" s="33">
        <v>13039352</v>
      </c>
      <c r="K30" s="77">
        <v>1</v>
      </c>
      <c r="L30" s="34">
        <v>1155555.3999999999</v>
      </c>
      <c r="M30" s="18">
        <v>39487.199999999997</v>
      </c>
      <c r="N30" s="56">
        <v>7</v>
      </c>
      <c r="O30" s="57">
        <v>55</v>
      </c>
      <c r="P30" s="57">
        <v>596</v>
      </c>
      <c r="Q30" s="58">
        <v>5832</v>
      </c>
      <c r="R30" s="59">
        <v>58965</v>
      </c>
      <c r="V30" s="4"/>
    </row>
    <row r="31" spans="1:22" x14ac:dyDescent="0.15">
      <c r="A31" s="32">
        <v>24</v>
      </c>
      <c r="B31" s="26">
        <v>31577</v>
      </c>
      <c r="C31" s="76">
        <v>4</v>
      </c>
      <c r="D31" s="76">
        <v>0</v>
      </c>
      <c r="E31" s="76">
        <v>1</v>
      </c>
      <c r="F31" s="76">
        <v>2</v>
      </c>
      <c r="G31" s="76">
        <v>7</v>
      </c>
      <c r="H31" s="76">
        <v>0</v>
      </c>
      <c r="I31" s="13">
        <v>8</v>
      </c>
      <c r="J31" s="33">
        <v>12990636</v>
      </c>
      <c r="K31" s="159" t="s">
        <v>23</v>
      </c>
      <c r="L31" s="34"/>
      <c r="M31" s="18">
        <v>1048859.6000000001</v>
      </c>
      <c r="N31" s="56">
        <v>7</v>
      </c>
      <c r="O31" s="57">
        <v>63</v>
      </c>
      <c r="P31" s="57">
        <v>581</v>
      </c>
      <c r="Q31" s="58">
        <v>5787</v>
      </c>
      <c r="R31" s="59">
        <v>57151</v>
      </c>
      <c r="V31" s="4"/>
    </row>
    <row r="32" spans="1:22" x14ac:dyDescent="0.15">
      <c r="A32" s="32">
        <v>25</v>
      </c>
      <c r="B32" s="26">
        <v>31584</v>
      </c>
      <c r="C32" s="76">
        <v>8</v>
      </c>
      <c r="D32" s="76">
        <v>1</v>
      </c>
      <c r="E32" s="76">
        <v>1</v>
      </c>
      <c r="F32" s="76">
        <v>7</v>
      </c>
      <c r="G32" s="76">
        <v>3</v>
      </c>
      <c r="H32" s="76">
        <v>6</v>
      </c>
      <c r="I32" s="13">
        <v>3</v>
      </c>
      <c r="J32" s="33">
        <v>12780786</v>
      </c>
      <c r="K32" s="159" t="s">
        <v>23</v>
      </c>
      <c r="L32" s="34"/>
      <c r="M32" s="18">
        <v>2041926.7</v>
      </c>
      <c r="N32" s="56">
        <v>11</v>
      </c>
      <c r="O32" s="57">
        <v>75</v>
      </c>
      <c r="P32" s="57">
        <v>582</v>
      </c>
      <c r="Q32" s="58">
        <v>5805</v>
      </c>
      <c r="R32" s="59">
        <v>58342</v>
      </c>
      <c r="V32" s="4"/>
    </row>
    <row r="33" spans="1:22" x14ac:dyDescent="0.15">
      <c r="A33" s="32">
        <v>26</v>
      </c>
      <c r="B33" s="26">
        <v>31591</v>
      </c>
      <c r="C33" s="76">
        <v>5</v>
      </c>
      <c r="D33" s="76">
        <v>7</v>
      </c>
      <c r="E33" s="76">
        <v>4</v>
      </c>
      <c r="F33" s="76">
        <v>0</v>
      </c>
      <c r="G33" s="76">
        <v>9</v>
      </c>
      <c r="H33" s="76">
        <v>2</v>
      </c>
      <c r="I33" s="13">
        <v>5</v>
      </c>
      <c r="J33" s="33">
        <v>12421444</v>
      </c>
      <c r="K33" s="77">
        <v>2</v>
      </c>
      <c r="L33" s="34">
        <v>1355555.4</v>
      </c>
      <c r="M33" s="18">
        <v>295962.09999999998</v>
      </c>
      <c r="N33" s="56">
        <v>7</v>
      </c>
      <c r="O33" s="57">
        <v>53</v>
      </c>
      <c r="P33" s="57">
        <v>553</v>
      </c>
      <c r="Q33" s="58">
        <v>5900</v>
      </c>
      <c r="R33" s="59">
        <v>56398</v>
      </c>
      <c r="V33" s="4"/>
    </row>
    <row r="34" spans="1:22" x14ac:dyDescent="0.15">
      <c r="A34" s="32">
        <v>27</v>
      </c>
      <c r="B34" s="26">
        <v>31598</v>
      </c>
      <c r="C34" s="76">
        <v>0</v>
      </c>
      <c r="D34" s="76">
        <v>1</v>
      </c>
      <c r="E34" s="76">
        <v>1</v>
      </c>
      <c r="F34" s="76">
        <v>3</v>
      </c>
      <c r="G34" s="76">
        <v>3</v>
      </c>
      <c r="H34" s="76">
        <v>8</v>
      </c>
      <c r="I34" s="113">
        <v>3</v>
      </c>
      <c r="J34" s="33">
        <v>12320012</v>
      </c>
      <c r="K34" s="159" t="s">
        <v>23</v>
      </c>
      <c r="L34" s="34"/>
      <c r="M34" s="117">
        <v>1253227</v>
      </c>
      <c r="N34" s="56">
        <v>2</v>
      </c>
      <c r="O34" s="57">
        <v>62</v>
      </c>
      <c r="P34" s="57">
        <v>592</v>
      </c>
      <c r="Q34" s="58">
        <v>5728</v>
      </c>
      <c r="R34" s="59">
        <v>55896</v>
      </c>
      <c r="V34" s="4"/>
    </row>
    <row r="35" spans="1:22" x14ac:dyDescent="0.15">
      <c r="A35" s="32">
        <v>28</v>
      </c>
      <c r="B35" s="26">
        <v>31605</v>
      </c>
      <c r="C35" s="76">
        <v>8</v>
      </c>
      <c r="D35" s="76">
        <v>9</v>
      </c>
      <c r="E35" s="76">
        <v>3</v>
      </c>
      <c r="F35" s="76">
        <v>9</v>
      </c>
      <c r="G35" s="76">
        <v>9</v>
      </c>
      <c r="H35" s="76">
        <v>1</v>
      </c>
      <c r="I35" s="13">
        <v>0</v>
      </c>
      <c r="J35" s="33">
        <v>12581094</v>
      </c>
      <c r="K35" s="77">
        <v>1</v>
      </c>
      <c r="L35" s="34">
        <v>2155555.4</v>
      </c>
      <c r="M35" s="18">
        <v>75222.600000000006</v>
      </c>
      <c r="N35" s="56">
        <v>8</v>
      </c>
      <c r="O35" s="57">
        <v>59</v>
      </c>
      <c r="P35" s="57">
        <v>582</v>
      </c>
      <c r="Q35" s="58">
        <v>5536</v>
      </c>
      <c r="R35" s="59">
        <v>55556</v>
      </c>
      <c r="V35" s="4"/>
    </row>
    <row r="36" spans="1:22" x14ac:dyDescent="0.15">
      <c r="A36" s="32">
        <v>29</v>
      </c>
      <c r="B36" s="26">
        <v>31612</v>
      </c>
      <c r="C36" s="76">
        <v>2</v>
      </c>
      <c r="D36" s="76">
        <v>0</v>
      </c>
      <c r="E36" s="76">
        <v>3</v>
      </c>
      <c r="F36" s="76">
        <v>4</v>
      </c>
      <c r="G36" s="76">
        <v>4</v>
      </c>
      <c r="H36" s="76">
        <v>7</v>
      </c>
      <c r="I36" s="13">
        <v>9</v>
      </c>
      <c r="J36" s="33">
        <v>12448556</v>
      </c>
      <c r="K36" s="159" t="s">
        <v>23</v>
      </c>
      <c r="L36" s="34"/>
      <c r="M36" s="18">
        <v>1042475.4</v>
      </c>
      <c r="N36" s="56">
        <v>8</v>
      </c>
      <c r="O36" s="57">
        <v>79</v>
      </c>
      <c r="P36" s="57">
        <v>586</v>
      </c>
      <c r="Q36" s="58">
        <v>5655</v>
      </c>
      <c r="R36" s="59">
        <v>56618</v>
      </c>
      <c r="V36" s="4"/>
    </row>
    <row r="37" spans="1:22" x14ac:dyDescent="0.15">
      <c r="A37" s="32">
        <v>30</v>
      </c>
      <c r="B37" s="26">
        <v>31619</v>
      </c>
      <c r="C37" s="76">
        <v>0</v>
      </c>
      <c r="D37" s="76">
        <v>2</v>
      </c>
      <c r="E37" s="76">
        <v>6</v>
      </c>
      <c r="F37" s="76">
        <v>4</v>
      </c>
      <c r="G37" s="76">
        <v>1</v>
      </c>
      <c r="H37" s="76">
        <v>9</v>
      </c>
      <c r="I37" s="13">
        <v>5</v>
      </c>
      <c r="J37" s="33">
        <v>12492856</v>
      </c>
      <c r="K37" s="159" t="s">
        <v>23</v>
      </c>
      <c r="L37" s="34"/>
      <c r="M37" s="18">
        <v>2013170.3</v>
      </c>
      <c r="N37" s="56">
        <v>4</v>
      </c>
      <c r="O37" s="57">
        <v>66</v>
      </c>
      <c r="P37" s="57">
        <v>548</v>
      </c>
      <c r="Q37" s="58">
        <v>5655</v>
      </c>
      <c r="R37" s="59">
        <v>55942</v>
      </c>
      <c r="V37" s="4"/>
    </row>
    <row r="38" spans="1:22" x14ac:dyDescent="0.15">
      <c r="A38" s="32">
        <v>31</v>
      </c>
      <c r="B38" s="26">
        <v>31626</v>
      </c>
      <c r="C38" s="76">
        <v>3</v>
      </c>
      <c r="D38" s="76">
        <v>6</v>
      </c>
      <c r="E38" s="76">
        <v>9</v>
      </c>
      <c r="F38" s="76">
        <v>0</v>
      </c>
      <c r="G38" s="76">
        <v>9</v>
      </c>
      <c r="H38" s="76">
        <v>2</v>
      </c>
      <c r="I38" s="13">
        <v>6</v>
      </c>
      <c r="J38" s="33">
        <v>12408324</v>
      </c>
      <c r="K38" s="159" t="s">
        <v>23</v>
      </c>
      <c r="L38" s="34"/>
      <c r="M38" s="18">
        <v>2977297.1</v>
      </c>
      <c r="N38" s="56">
        <v>7</v>
      </c>
      <c r="O38" s="57">
        <v>58</v>
      </c>
      <c r="P38" s="57">
        <v>554</v>
      </c>
      <c r="Q38" s="58">
        <v>5755</v>
      </c>
      <c r="R38" s="59">
        <v>56136</v>
      </c>
      <c r="V38" s="4"/>
    </row>
    <row r="39" spans="1:22" x14ac:dyDescent="0.15">
      <c r="A39" s="32">
        <v>32</v>
      </c>
      <c r="B39" s="26">
        <v>31633</v>
      </c>
      <c r="C39" s="76">
        <v>7</v>
      </c>
      <c r="D39" s="76">
        <v>4</v>
      </c>
      <c r="E39" s="76">
        <v>7</v>
      </c>
      <c r="F39" s="76">
        <v>0</v>
      </c>
      <c r="G39" s="76">
        <v>8</v>
      </c>
      <c r="H39" s="76">
        <v>5</v>
      </c>
      <c r="I39" s="13">
        <v>8</v>
      </c>
      <c r="J39" s="33">
        <v>16800624</v>
      </c>
      <c r="K39" s="77">
        <v>2</v>
      </c>
      <c r="L39" s="34">
        <v>1955555.4</v>
      </c>
      <c r="M39" s="18">
        <v>371594.8</v>
      </c>
      <c r="N39" s="56">
        <v>7</v>
      </c>
      <c r="O39" s="57">
        <v>85</v>
      </c>
      <c r="P39" s="57">
        <v>735</v>
      </c>
      <c r="Q39" s="58">
        <v>7673</v>
      </c>
      <c r="R39" s="59">
        <v>76353</v>
      </c>
      <c r="V39" s="4"/>
    </row>
    <row r="40" spans="1:22" x14ac:dyDescent="0.15">
      <c r="A40" s="32">
        <v>33</v>
      </c>
      <c r="B40" s="26">
        <v>31640</v>
      </c>
      <c r="C40" s="76">
        <v>6</v>
      </c>
      <c r="D40" s="76">
        <v>9</v>
      </c>
      <c r="E40" s="76">
        <v>0</v>
      </c>
      <c r="F40" s="76">
        <v>7</v>
      </c>
      <c r="G40" s="76">
        <v>3</v>
      </c>
      <c r="H40" s="76">
        <v>7</v>
      </c>
      <c r="I40" s="13">
        <v>4</v>
      </c>
      <c r="J40" s="33">
        <v>13394510</v>
      </c>
      <c r="K40" s="77">
        <v>1</v>
      </c>
      <c r="L40" s="34">
        <v>1355555.4</v>
      </c>
      <c r="M40" s="18">
        <v>56792.800000000003</v>
      </c>
      <c r="N40" s="56">
        <v>10</v>
      </c>
      <c r="O40" s="57">
        <v>50</v>
      </c>
      <c r="P40" s="57">
        <v>626</v>
      </c>
      <c r="Q40" s="58">
        <v>5947</v>
      </c>
      <c r="R40" s="59">
        <v>60004</v>
      </c>
      <c r="V40" s="4"/>
    </row>
    <row r="41" spans="1:22" x14ac:dyDescent="0.15">
      <c r="A41" s="32">
        <v>34</v>
      </c>
      <c r="B41" s="26">
        <v>31647</v>
      </c>
      <c r="C41" s="76">
        <v>6</v>
      </c>
      <c r="D41" s="76">
        <v>7</v>
      </c>
      <c r="E41" s="76">
        <v>5</v>
      </c>
      <c r="F41" s="76">
        <v>3</v>
      </c>
      <c r="G41" s="76">
        <v>4</v>
      </c>
      <c r="H41" s="14">
        <v>2</v>
      </c>
      <c r="I41" s="14">
        <v>4</v>
      </c>
      <c r="J41" s="33">
        <v>13843156</v>
      </c>
      <c r="K41" s="159" t="s">
        <v>23</v>
      </c>
      <c r="L41" s="34"/>
      <c r="M41" s="18">
        <v>1132406</v>
      </c>
      <c r="N41" s="56">
        <v>9</v>
      </c>
      <c r="O41" s="57">
        <v>72</v>
      </c>
      <c r="P41" s="57">
        <v>623</v>
      </c>
      <c r="Q41" s="58">
        <v>6297</v>
      </c>
      <c r="R41" s="59">
        <v>62430</v>
      </c>
      <c r="V41" s="4"/>
    </row>
    <row r="42" spans="1:22" s="90" customFormat="1" x14ac:dyDescent="0.15">
      <c r="A42" s="32">
        <v>35</v>
      </c>
      <c r="B42" s="26">
        <v>31654</v>
      </c>
      <c r="C42" s="76">
        <v>2</v>
      </c>
      <c r="D42" s="76">
        <v>4</v>
      </c>
      <c r="E42" s="76">
        <v>1</v>
      </c>
      <c r="F42" s="76">
        <v>3</v>
      </c>
      <c r="G42" s="76">
        <v>0</v>
      </c>
      <c r="H42" s="115">
        <v>7</v>
      </c>
      <c r="I42" s="13">
        <v>0</v>
      </c>
      <c r="J42" s="33">
        <v>13948016</v>
      </c>
      <c r="K42" s="159" t="s">
        <v>23</v>
      </c>
      <c r="L42" s="34"/>
      <c r="M42" s="34">
        <v>2216166.7999999998</v>
      </c>
      <c r="N42" s="56">
        <v>4</v>
      </c>
      <c r="O42" s="57">
        <v>70</v>
      </c>
      <c r="P42" s="57">
        <v>640</v>
      </c>
      <c r="Q42" s="58">
        <v>5864</v>
      </c>
      <c r="R42" s="59">
        <v>60424</v>
      </c>
      <c r="S42" s="91"/>
      <c r="V42" s="100"/>
    </row>
    <row r="43" spans="1:22" s="90" customFormat="1" x14ac:dyDescent="0.15">
      <c r="A43" s="32">
        <v>36</v>
      </c>
      <c r="B43" s="26">
        <v>31661</v>
      </c>
      <c r="C43" s="103">
        <v>5</v>
      </c>
      <c r="D43" s="103">
        <v>5</v>
      </c>
      <c r="E43" s="103">
        <v>1</v>
      </c>
      <c r="F43" s="103">
        <v>0</v>
      </c>
      <c r="G43" s="103">
        <v>1</v>
      </c>
      <c r="H43" s="115">
        <v>6</v>
      </c>
      <c r="I43" s="113">
        <v>4</v>
      </c>
      <c r="J43" s="33">
        <v>19970124</v>
      </c>
      <c r="K43" s="159" t="s">
        <v>23</v>
      </c>
      <c r="L43" s="34"/>
      <c r="M43" s="18">
        <v>3767845.4</v>
      </c>
      <c r="N43" s="56">
        <v>10</v>
      </c>
      <c r="O43" s="57">
        <v>86</v>
      </c>
      <c r="P43" s="57">
        <v>870</v>
      </c>
      <c r="Q43" s="58">
        <v>9203</v>
      </c>
      <c r="R43" s="59">
        <v>90876</v>
      </c>
      <c r="S43" s="91"/>
      <c r="V43" s="100"/>
    </row>
    <row r="44" spans="1:22" s="90" customFormat="1" x14ac:dyDescent="0.15">
      <c r="A44" s="32">
        <v>37</v>
      </c>
      <c r="B44" s="26">
        <v>31668</v>
      </c>
      <c r="C44" s="109">
        <v>0</v>
      </c>
      <c r="D44" s="110">
        <v>3</v>
      </c>
      <c r="E44" s="110">
        <v>8</v>
      </c>
      <c r="F44" s="110">
        <v>0</v>
      </c>
      <c r="G44" s="110">
        <v>4</v>
      </c>
      <c r="H44" s="110">
        <v>2</v>
      </c>
      <c r="I44" s="13">
        <v>0</v>
      </c>
      <c r="J44" s="33">
        <v>16276500</v>
      </c>
      <c r="K44" s="112">
        <v>1</v>
      </c>
      <c r="L44" s="34">
        <v>4955555.4000000004</v>
      </c>
      <c r="M44" s="18">
        <v>76974.100000000006</v>
      </c>
      <c r="N44" s="56">
        <v>9</v>
      </c>
      <c r="O44" s="57">
        <v>73</v>
      </c>
      <c r="P44" s="57">
        <v>645</v>
      </c>
      <c r="Q44" s="58">
        <v>7093</v>
      </c>
      <c r="R44" s="59">
        <v>70396</v>
      </c>
      <c r="S44" s="91"/>
      <c r="V44" s="100"/>
    </row>
    <row r="45" spans="1:22" s="90" customFormat="1" x14ac:dyDescent="0.15">
      <c r="A45" s="32">
        <v>38</v>
      </c>
      <c r="B45" s="26">
        <v>31675</v>
      </c>
      <c r="C45" s="76">
        <v>2</v>
      </c>
      <c r="D45" s="76">
        <v>9</v>
      </c>
      <c r="E45" s="76">
        <v>9</v>
      </c>
      <c r="F45" s="76">
        <v>5</v>
      </c>
      <c r="G45" s="76">
        <v>4</v>
      </c>
      <c r="H45" s="76">
        <v>3</v>
      </c>
      <c r="I45" s="13">
        <v>1</v>
      </c>
      <c r="J45" s="33">
        <v>16077822</v>
      </c>
      <c r="K45" s="159" t="s">
        <v>23</v>
      </c>
      <c r="L45" s="34"/>
      <c r="M45" s="18">
        <v>1326220.8999999999</v>
      </c>
      <c r="N45" s="56">
        <v>11</v>
      </c>
      <c r="O45" s="57">
        <v>72</v>
      </c>
      <c r="P45" s="57">
        <v>734</v>
      </c>
      <c r="Q45" s="58">
        <v>7413</v>
      </c>
      <c r="R45" s="59">
        <v>72703</v>
      </c>
      <c r="S45" s="91"/>
      <c r="V45" s="100"/>
    </row>
    <row r="46" spans="1:22" s="90" customFormat="1" x14ac:dyDescent="0.15">
      <c r="A46" s="32">
        <v>39</v>
      </c>
      <c r="B46" s="26">
        <v>31682</v>
      </c>
      <c r="C46" s="76">
        <v>9</v>
      </c>
      <c r="D46" s="76">
        <v>8</v>
      </c>
      <c r="E46" s="76">
        <v>1</v>
      </c>
      <c r="F46" s="76">
        <v>5</v>
      </c>
      <c r="G46" s="76">
        <v>5</v>
      </c>
      <c r="H46" s="76">
        <v>5</v>
      </c>
      <c r="I46" s="13">
        <v>7</v>
      </c>
      <c r="J46" s="33">
        <v>16150962</v>
      </c>
      <c r="K46" s="112">
        <v>1</v>
      </c>
      <c r="L46" s="34">
        <v>2555555.4</v>
      </c>
      <c r="M46" s="18">
        <v>25595.200000000001</v>
      </c>
      <c r="N46" s="56">
        <v>9</v>
      </c>
      <c r="O46" s="57">
        <v>59</v>
      </c>
      <c r="P46" s="57">
        <v>730</v>
      </c>
      <c r="Q46" s="58">
        <v>7276</v>
      </c>
      <c r="R46" s="59">
        <v>74105</v>
      </c>
      <c r="S46" s="91"/>
      <c r="V46" s="100"/>
    </row>
    <row r="47" spans="1:22" s="90" customFormat="1" x14ac:dyDescent="0.15">
      <c r="A47" s="32">
        <v>40</v>
      </c>
      <c r="B47" s="26">
        <v>31689</v>
      </c>
      <c r="C47" s="76">
        <v>1</v>
      </c>
      <c r="D47" s="76">
        <v>3</v>
      </c>
      <c r="E47" s="76">
        <v>7</v>
      </c>
      <c r="F47" s="76">
        <v>9</v>
      </c>
      <c r="G47" s="76">
        <v>7</v>
      </c>
      <c r="H47" s="76">
        <v>8</v>
      </c>
      <c r="I47" s="13">
        <v>3</v>
      </c>
      <c r="J47" s="33">
        <v>16430516</v>
      </c>
      <c r="K47" s="112">
        <v>1</v>
      </c>
      <c r="L47" s="34">
        <v>1155555.3999999999</v>
      </c>
      <c r="M47" s="18">
        <v>146690.9</v>
      </c>
      <c r="N47" s="56">
        <v>12</v>
      </c>
      <c r="O47" s="57">
        <v>78</v>
      </c>
      <c r="P47" s="57">
        <v>779</v>
      </c>
      <c r="Q47" s="58">
        <v>7512</v>
      </c>
      <c r="R47" s="59">
        <v>74721</v>
      </c>
      <c r="S47" s="91"/>
      <c r="V47" s="100"/>
    </row>
    <row r="48" spans="1:22" s="90" customFormat="1" x14ac:dyDescent="0.15">
      <c r="A48" s="32">
        <v>41</v>
      </c>
      <c r="B48" s="26">
        <v>31696</v>
      </c>
      <c r="C48" s="76">
        <v>9</v>
      </c>
      <c r="D48" s="76">
        <v>2</v>
      </c>
      <c r="E48" s="76">
        <v>0</v>
      </c>
      <c r="F48" s="76">
        <v>8</v>
      </c>
      <c r="G48" s="76">
        <v>9</v>
      </c>
      <c r="H48" s="76">
        <v>1</v>
      </c>
      <c r="I48" s="13">
        <v>1</v>
      </c>
      <c r="J48" s="33">
        <v>15878798</v>
      </c>
      <c r="K48" s="112">
        <v>1</v>
      </c>
      <c r="L48" s="34">
        <v>1355555.4</v>
      </c>
      <c r="M48" s="18">
        <v>24918.1</v>
      </c>
      <c r="N48" s="56">
        <v>7</v>
      </c>
      <c r="O48" s="57">
        <v>70</v>
      </c>
      <c r="P48" s="57">
        <v>690</v>
      </c>
      <c r="Q48" s="58">
        <v>7341</v>
      </c>
      <c r="R48" s="59">
        <v>71807</v>
      </c>
      <c r="S48" s="91"/>
      <c r="V48" s="100"/>
    </row>
    <row r="49" spans="1:22" s="90" customFormat="1" x14ac:dyDescent="0.15">
      <c r="A49" s="32">
        <v>42</v>
      </c>
      <c r="B49" s="26">
        <v>31703</v>
      </c>
      <c r="C49" s="76">
        <v>9</v>
      </c>
      <c r="D49" s="76">
        <v>3</v>
      </c>
      <c r="E49" s="76">
        <v>2</v>
      </c>
      <c r="F49" s="76">
        <v>1</v>
      </c>
      <c r="G49" s="76">
        <v>0</v>
      </c>
      <c r="H49" s="76">
        <v>9</v>
      </c>
      <c r="I49" s="13">
        <v>3</v>
      </c>
      <c r="J49" s="33">
        <v>16301356</v>
      </c>
      <c r="K49" s="112">
        <v>1</v>
      </c>
      <c r="L49" s="34">
        <v>1155555.3999999999</v>
      </c>
      <c r="M49" s="18">
        <v>135978.1</v>
      </c>
      <c r="N49" s="56">
        <v>9</v>
      </c>
      <c r="O49" s="57">
        <v>55</v>
      </c>
      <c r="P49" s="57">
        <v>753</v>
      </c>
      <c r="Q49" s="58">
        <v>7150</v>
      </c>
      <c r="R49" s="59">
        <v>73492</v>
      </c>
      <c r="S49" s="91"/>
      <c r="V49" s="100"/>
    </row>
    <row r="50" spans="1:22" s="90" customFormat="1" x14ac:dyDescent="0.15">
      <c r="A50" s="32">
        <v>43</v>
      </c>
      <c r="B50" s="26">
        <v>31710</v>
      </c>
      <c r="C50" s="76">
        <v>4</v>
      </c>
      <c r="D50" s="76">
        <v>4</v>
      </c>
      <c r="E50" s="76">
        <v>3</v>
      </c>
      <c r="F50" s="76">
        <v>0</v>
      </c>
      <c r="G50" s="76">
        <v>6</v>
      </c>
      <c r="H50" s="76">
        <v>5</v>
      </c>
      <c r="I50" s="13">
        <v>0</v>
      </c>
      <c r="J50" s="33">
        <v>15870594</v>
      </c>
      <c r="K50" s="112">
        <v>1</v>
      </c>
      <c r="L50" s="34">
        <v>1355555.4</v>
      </c>
      <c r="M50" s="18">
        <v>13567.9</v>
      </c>
      <c r="N50" s="56">
        <v>10</v>
      </c>
      <c r="O50" s="57">
        <v>72</v>
      </c>
      <c r="P50" s="57">
        <v>726</v>
      </c>
      <c r="Q50" s="58">
        <v>7097</v>
      </c>
      <c r="R50" s="59">
        <v>69708</v>
      </c>
      <c r="S50" s="91"/>
      <c r="V50" s="100"/>
    </row>
    <row r="51" spans="1:22" s="90" customFormat="1" x14ac:dyDescent="0.15">
      <c r="A51" s="32">
        <v>44</v>
      </c>
      <c r="B51" s="26">
        <v>31717</v>
      </c>
      <c r="C51" s="76">
        <v>8</v>
      </c>
      <c r="D51" s="76">
        <v>0</v>
      </c>
      <c r="E51" s="76">
        <v>0</v>
      </c>
      <c r="F51" s="76">
        <v>4</v>
      </c>
      <c r="G51" s="76">
        <v>9</v>
      </c>
      <c r="H51" s="76">
        <v>8</v>
      </c>
      <c r="I51" s="13">
        <v>7</v>
      </c>
      <c r="J51" s="33">
        <v>16051296</v>
      </c>
      <c r="K51" s="159" t="s">
        <v>23</v>
      </c>
      <c r="L51" s="34"/>
      <c r="M51" s="34">
        <v>1260753.6000000001</v>
      </c>
      <c r="N51" s="56">
        <v>12</v>
      </c>
      <c r="O51" s="57">
        <v>70</v>
      </c>
      <c r="P51" s="57">
        <v>749</v>
      </c>
      <c r="Q51" s="58">
        <v>7341</v>
      </c>
      <c r="R51" s="59">
        <v>73656</v>
      </c>
      <c r="S51" s="91"/>
      <c r="V51" s="100"/>
    </row>
    <row r="52" spans="1:22" s="90" customFormat="1" x14ac:dyDescent="0.15">
      <c r="A52" s="32">
        <v>45</v>
      </c>
      <c r="B52" s="26">
        <v>31724</v>
      </c>
      <c r="C52" s="76">
        <v>7</v>
      </c>
      <c r="D52" s="76">
        <v>9</v>
      </c>
      <c r="E52" s="76">
        <v>3</v>
      </c>
      <c r="F52" s="76">
        <v>8</v>
      </c>
      <c r="G52" s="76">
        <v>7</v>
      </c>
      <c r="H52" s="76">
        <v>0</v>
      </c>
      <c r="I52" s="13">
        <v>7</v>
      </c>
      <c r="J52" s="33">
        <v>15907150</v>
      </c>
      <c r="K52" s="159" t="s">
        <v>23</v>
      </c>
      <c r="L52" s="34"/>
      <c r="M52" s="18">
        <v>2496739.2000000002</v>
      </c>
      <c r="N52" s="56">
        <v>8</v>
      </c>
      <c r="O52" s="57">
        <v>72</v>
      </c>
      <c r="P52" s="57">
        <v>728</v>
      </c>
      <c r="Q52" s="58">
        <v>7228</v>
      </c>
      <c r="R52" s="59">
        <v>70408</v>
      </c>
      <c r="S52" s="91"/>
    </row>
    <row r="53" spans="1:22" s="90" customFormat="1" x14ac:dyDescent="0.15">
      <c r="A53" s="32">
        <v>46</v>
      </c>
      <c r="B53" s="26">
        <v>31731</v>
      </c>
      <c r="C53" s="76">
        <v>3</v>
      </c>
      <c r="D53" s="76">
        <v>9</v>
      </c>
      <c r="E53" s="76">
        <v>6</v>
      </c>
      <c r="F53" s="76">
        <v>0</v>
      </c>
      <c r="G53" s="76">
        <v>0</v>
      </c>
      <c r="H53" s="76">
        <v>3</v>
      </c>
      <c r="I53" s="13">
        <v>1</v>
      </c>
      <c r="J53" s="33">
        <v>16013568</v>
      </c>
      <c r="K53" s="112">
        <v>2</v>
      </c>
      <c r="L53" s="34">
        <v>1755555.4</v>
      </c>
      <c r="M53" s="18">
        <v>229882.6</v>
      </c>
      <c r="N53" s="56">
        <v>8</v>
      </c>
      <c r="O53" s="57">
        <v>68</v>
      </c>
      <c r="P53" s="57">
        <v>719</v>
      </c>
      <c r="Q53" s="58">
        <v>7145</v>
      </c>
      <c r="R53" s="59">
        <v>72394</v>
      </c>
      <c r="S53" s="91"/>
    </row>
    <row r="54" spans="1:22" s="90" customFormat="1" x14ac:dyDescent="0.15">
      <c r="A54" s="32">
        <v>47</v>
      </c>
      <c r="B54" s="26">
        <v>31738</v>
      </c>
      <c r="C54" s="76">
        <v>3</v>
      </c>
      <c r="D54" s="76">
        <v>6</v>
      </c>
      <c r="E54" s="76">
        <v>9</v>
      </c>
      <c r="F54" s="76">
        <v>9</v>
      </c>
      <c r="G54" s="76">
        <v>8</v>
      </c>
      <c r="H54" s="76">
        <v>5</v>
      </c>
      <c r="I54" s="13">
        <v>0</v>
      </c>
      <c r="J54" s="33">
        <v>20017940</v>
      </c>
      <c r="K54" s="112">
        <v>1</v>
      </c>
      <c r="L54" s="34">
        <v>1755555.4</v>
      </c>
      <c r="M54" s="18">
        <v>29721.1</v>
      </c>
      <c r="N54" s="56">
        <v>8</v>
      </c>
      <c r="O54" s="57">
        <v>90</v>
      </c>
      <c r="P54" s="57">
        <v>879</v>
      </c>
      <c r="Q54" s="58">
        <v>8876</v>
      </c>
      <c r="R54" s="59">
        <v>88695</v>
      </c>
      <c r="S54" s="91"/>
    </row>
    <row r="55" spans="1:22" s="90" customFormat="1" x14ac:dyDescent="0.15">
      <c r="A55" s="32">
        <v>48</v>
      </c>
      <c r="B55" s="26">
        <v>31745</v>
      </c>
      <c r="C55" s="76">
        <v>1</v>
      </c>
      <c r="D55" s="76">
        <v>2</v>
      </c>
      <c r="E55" s="76">
        <v>3</v>
      </c>
      <c r="F55" s="76">
        <v>8</v>
      </c>
      <c r="G55" s="76">
        <v>8</v>
      </c>
      <c r="H55" s="76">
        <v>6</v>
      </c>
      <c r="I55" s="13">
        <v>9</v>
      </c>
      <c r="J55" s="33">
        <v>17600578</v>
      </c>
      <c r="K55" s="159" t="s">
        <v>23</v>
      </c>
      <c r="L55" s="34"/>
      <c r="M55" s="18">
        <v>1397286</v>
      </c>
      <c r="N55" s="56">
        <v>8</v>
      </c>
      <c r="O55" s="57">
        <v>87</v>
      </c>
      <c r="P55" s="57">
        <v>863</v>
      </c>
      <c r="Q55" s="58">
        <v>7981</v>
      </c>
      <c r="R55" s="59">
        <v>79445</v>
      </c>
      <c r="S55" s="91"/>
    </row>
    <row r="56" spans="1:22" s="90" customFormat="1" x14ac:dyDescent="0.15">
      <c r="A56" s="32">
        <v>49</v>
      </c>
      <c r="B56" s="26">
        <v>31752</v>
      </c>
      <c r="C56" s="76">
        <v>3</v>
      </c>
      <c r="D56" s="76">
        <v>6</v>
      </c>
      <c r="E56" s="76">
        <v>5</v>
      </c>
      <c r="F56" s="76">
        <v>3</v>
      </c>
      <c r="G56" s="76">
        <v>4</v>
      </c>
      <c r="H56" s="76">
        <v>5</v>
      </c>
      <c r="I56" s="13">
        <v>7</v>
      </c>
      <c r="J56" s="33">
        <v>23717184</v>
      </c>
      <c r="K56" s="112">
        <v>1</v>
      </c>
      <c r="L56" s="34">
        <v>3155555.4</v>
      </c>
      <c r="M56" s="18">
        <v>84555.8</v>
      </c>
      <c r="N56" s="56">
        <v>12</v>
      </c>
      <c r="O56" s="57">
        <v>89</v>
      </c>
      <c r="P56" s="57">
        <v>1070</v>
      </c>
      <c r="Q56" s="58">
        <v>10746</v>
      </c>
      <c r="R56" s="59">
        <v>107902</v>
      </c>
      <c r="S56" s="91"/>
    </row>
    <row r="57" spans="1:22" s="90" customFormat="1" x14ac:dyDescent="0.15">
      <c r="A57" s="32">
        <v>50</v>
      </c>
      <c r="B57" s="26">
        <v>31759</v>
      </c>
      <c r="C57" s="76">
        <v>1</v>
      </c>
      <c r="D57" s="76">
        <v>5</v>
      </c>
      <c r="E57" s="76">
        <v>4</v>
      </c>
      <c r="F57" s="76">
        <v>8</v>
      </c>
      <c r="G57" s="76">
        <v>6</v>
      </c>
      <c r="H57" s="76">
        <v>7</v>
      </c>
      <c r="I57" s="13">
        <v>6</v>
      </c>
      <c r="J57" s="33">
        <v>18228048</v>
      </c>
      <c r="K57" s="112">
        <v>1</v>
      </c>
      <c r="L57" s="34">
        <v>1355555.4</v>
      </c>
      <c r="M57" s="18">
        <v>145319.70000000001</v>
      </c>
      <c r="N57" s="56">
        <v>3</v>
      </c>
      <c r="O57" s="57">
        <v>98</v>
      </c>
      <c r="P57" s="57">
        <v>882</v>
      </c>
      <c r="Q57" s="58">
        <v>8329</v>
      </c>
      <c r="R57" s="59">
        <v>83417</v>
      </c>
      <c r="S57" s="91"/>
    </row>
    <row r="58" spans="1:22" s="90" customFormat="1" x14ac:dyDescent="0.15">
      <c r="A58" s="32">
        <v>51</v>
      </c>
      <c r="B58" s="26">
        <v>31766</v>
      </c>
      <c r="C58" s="76">
        <v>1</v>
      </c>
      <c r="D58" s="76">
        <v>4</v>
      </c>
      <c r="E58" s="76">
        <v>6</v>
      </c>
      <c r="F58" s="76">
        <v>5</v>
      </c>
      <c r="G58" s="76">
        <v>5</v>
      </c>
      <c r="H58" s="76">
        <v>8</v>
      </c>
      <c r="I58" s="13">
        <v>9</v>
      </c>
      <c r="J58" s="33">
        <v>19403824</v>
      </c>
      <c r="K58" s="112">
        <v>1</v>
      </c>
      <c r="L58" s="34">
        <v>1555555.4</v>
      </c>
      <c r="M58" s="18">
        <v>97441.4</v>
      </c>
      <c r="N58" s="56">
        <v>9</v>
      </c>
      <c r="O58" s="57">
        <v>96</v>
      </c>
      <c r="P58" s="57">
        <v>901</v>
      </c>
      <c r="Q58" s="58">
        <v>8982</v>
      </c>
      <c r="R58" s="59">
        <v>88891</v>
      </c>
      <c r="S58" s="91"/>
    </row>
    <row r="59" spans="1:22" s="90" customFormat="1" x14ac:dyDescent="0.15">
      <c r="A59" s="32">
        <v>52</v>
      </c>
      <c r="B59" s="104">
        <v>31773</v>
      </c>
      <c r="C59" s="76">
        <v>8</v>
      </c>
      <c r="D59" s="76">
        <v>6</v>
      </c>
      <c r="E59" s="76">
        <v>9</v>
      </c>
      <c r="F59" s="76">
        <v>6</v>
      </c>
      <c r="G59" s="76">
        <v>0</v>
      </c>
      <c r="H59" s="14">
        <v>7</v>
      </c>
      <c r="I59" s="13">
        <v>6</v>
      </c>
      <c r="J59" s="33">
        <v>13225340</v>
      </c>
      <c r="K59" s="112">
        <v>1</v>
      </c>
      <c r="L59" s="34">
        <v>955555.4</v>
      </c>
      <c r="M59" s="85">
        <v>169494.9</v>
      </c>
      <c r="N59" s="218">
        <v>4</v>
      </c>
      <c r="O59" s="57">
        <v>58</v>
      </c>
      <c r="P59" s="219">
        <v>605</v>
      </c>
      <c r="Q59" s="58">
        <v>5954</v>
      </c>
      <c r="R59" s="139">
        <v>59703</v>
      </c>
      <c r="S59" s="91"/>
    </row>
    <row r="60" spans="1:22" s="90" customFormat="1" x14ac:dyDescent="0.15">
      <c r="A60" s="101"/>
      <c r="B60" s="265"/>
      <c r="C60" s="266"/>
      <c r="D60" s="266"/>
      <c r="E60" s="266"/>
      <c r="F60" s="266"/>
      <c r="G60" s="266"/>
      <c r="H60" s="266" t="s">
        <v>24</v>
      </c>
      <c r="I60" s="266"/>
      <c r="J60" s="266"/>
      <c r="K60" s="267">
        <f>SUM(K8:K59)</f>
        <v>32</v>
      </c>
      <c r="L60" s="267"/>
      <c r="M60" s="267"/>
      <c r="N60" s="267">
        <f>SUM(N8:N59)</f>
        <v>396</v>
      </c>
      <c r="O60" s="267">
        <f>SUM(O8:O59)</f>
        <v>3667</v>
      </c>
      <c r="P60" s="267">
        <f>SUM(P8:P59)</f>
        <v>35562</v>
      </c>
      <c r="Q60" s="267">
        <f>SUM(Q8:Q59)</f>
        <v>356072</v>
      </c>
      <c r="R60" s="269">
        <f>SUM(R8:R59)</f>
        <v>3544311</v>
      </c>
      <c r="S60" s="91"/>
    </row>
    <row r="61" spans="1:22" s="90" customFormat="1" x14ac:dyDescent="0.15">
      <c r="A61" s="81"/>
      <c r="B61" s="82"/>
      <c r="C61" s="76"/>
      <c r="D61" s="76"/>
      <c r="E61" s="76"/>
      <c r="F61" s="76"/>
      <c r="G61" s="76"/>
      <c r="H61" s="76"/>
      <c r="I61" s="76"/>
      <c r="J61" s="83"/>
      <c r="K61" s="77"/>
      <c r="L61" s="84"/>
      <c r="M61" s="85"/>
      <c r="N61" s="86"/>
      <c r="O61" s="87"/>
      <c r="P61" s="87"/>
      <c r="Q61" s="88"/>
      <c r="R61" s="89"/>
      <c r="S61" s="91"/>
    </row>
    <row r="62" spans="1:22" s="90" customFormat="1" x14ac:dyDescent="0.15">
      <c r="A62" s="81"/>
      <c r="B62" s="82"/>
      <c r="C62" s="103"/>
      <c r="D62" s="103"/>
      <c r="E62" s="103"/>
      <c r="F62" s="103"/>
      <c r="G62" s="103"/>
      <c r="H62" s="103"/>
      <c r="I62" s="92"/>
      <c r="J62" s="83"/>
      <c r="K62" s="77"/>
      <c r="L62" s="9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92"/>
      <c r="D64" s="92"/>
      <c r="E64" s="92"/>
      <c r="F64" s="92"/>
      <c r="G64" s="92"/>
      <c r="H64" s="92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92"/>
      <c r="C65" s="92"/>
      <c r="D65" s="92"/>
      <c r="E65" s="92"/>
      <c r="F65" s="92"/>
      <c r="G65" s="92"/>
      <c r="H65" s="92"/>
      <c r="I65" s="92"/>
      <c r="J65" s="92"/>
      <c r="K65" s="93"/>
      <c r="L65" s="93"/>
      <c r="M65" s="93"/>
      <c r="N65" s="93"/>
      <c r="O65" s="93"/>
      <c r="P65" s="93"/>
      <c r="Q65" s="93"/>
      <c r="R65" s="93"/>
      <c r="S65" s="91"/>
      <c r="V65" s="111"/>
    </row>
    <row r="66" spans="1:22" s="90" customFormat="1" x14ac:dyDescent="0.15">
      <c r="L66" s="85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4"/>
  <sheetViews>
    <sheetView topLeftCell="C25" workbookViewId="0">
      <selection activeCell="S53" sqref="S53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45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/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1987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19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43</v>
      </c>
      <c r="L6" s="209"/>
      <c r="M6" s="14" t="s">
        <v>14</v>
      </c>
      <c r="N6" s="75" t="s">
        <v>33</v>
      </c>
      <c r="O6" s="75" t="s">
        <v>34</v>
      </c>
      <c r="P6" s="75" t="s">
        <v>35</v>
      </c>
      <c r="Q6" s="75" t="s">
        <v>36</v>
      </c>
      <c r="R6" s="75" t="s">
        <v>37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32">
        <v>1</v>
      </c>
      <c r="B8" s="26">
        <v>31780</v>
      </c>
      <c r="C8" s="76">
        <v>0</v>
      </c>
      <c r="D8" s="76">
        <v>3</v>
      </c>
      <c r="E8" s="76">
        <v>5</v>
      </c>
      <c r="F8" s="76">
        <v>0</v>
      </c>
      <c r="G8" s="76">
        <v>2</v>
      </c>
      <c r="H8" s="76">
        <v>1</v>
      </c>
      <c r="I8" s="13">
        <v>6</v>
      </c>
      <c r="J8" s="33">
        <v>14590922</v>
      </c>
      <c r="K8" s="77">
        <v>1</v>
      </c>
      <c r="L8" s="34">
        <v>1155555.3999999999</v>
      </c>
      <c r="M8" s="18">
        <v>147654.1</v>
      </c>
      <c r="N8" s="56">
        <v>11</v>
      </c>
      <c r="O8" s="57">
        <v>75</v>
      </c>
      <c r="P8" s="57">
        <v>655</v>
      </c>
      <c r="Q8" s="58">
        <v>6453</v>
      </c>
      <c r="R8" s="59">
        <v>64940</v>
      </c>
      <c r="V8" s="4"/>
    </row>
    <row r="9" spans="1:22" x14ac:dyDescent="0.15">
      <c r="A9" s="32">
        <v>2</v>
      </c>
      <c r="B9" s="26">
        <v>31787</v>
      </c>
      <c r="C9" s="76">
        <v>1</v>
      </c>
      <c r="D9" s="76">
        <v>2</v>
      </c>
      <c r="E9" s="76">
        <v>3</v>
      </c>
      <c r="F9" s="76">
        <v>8</v>
      </c>
      <c r="G9" s="76">
        <v>7</v>
      </c>
      <c r="H9" s="76">
        <v>7</v>
      </c>
      <c r="I9" s="13">
        <v>4</v>
      </c>
      <c r="J9" s="33">
        <v>14636016</v>
      </c>
      <c r="K9" s="159" t="s">
        <v>23</v>
      </c>
      <c r="L9" s="34"/>
      <c r="M9" s="18">
        <v>1284872.5</v>
      </c>
      <c r="N9" s="56">
        <v>7</v>
      </c>
      <c r="O9" s="57">
        <v>63</v>
      </c>
      <c r="P9" s="57">
        <v>644</v>
      </c>
      <c r="Q9" s="58">
        <v>6581</v>
      </c>
      <c r="R9" s="59">
        <v>66617</v>
      </c>
      <c r="V9" s="4"/>
    </row>
    <row r="10" spans="1:22" x14ac:dyDescent="0.15">
      <c r="A10" s="32">
        <v>3</v>
      </c>
      <c r="B10" s="26">
        <v>31794</v>
      </c>
      <c r="C10" s="76">
        <v>9</v>
      </c>
      <c r="D10" s="76">
        <v>3</v>
      </c>
      <c r="E10" s="76">
        <v>6</v>
      </c>
      <c r="F10" s="76">
        <v>2</v>
      </c>
      <c r="G10" s="76">
        <v>5</v>
      </c>
      <c r="H10" s="76">
        <v>3</v>
      </c>
      <c r="I10" s="13">
        <v>3</v>
      </c>
      <c r="J10" s="33">
        <v>14718934</v>
      </c>
      <c r="K10" s="77">
        <v>1</v>
      </c>
      <c r="L10" s="34">
        <v>2355555.4</v>
      </c>
      <c r="M10" s="18">
        <v>72978.3</v>
      </c>
      <c r="N10" s="56">
        <v>4</v>
      </c>
      <c r="O10" s="57">
        <v>66</v>
      </c>
      <c r="P10" s="57">
        <v>643</v>
      </c>
      <c r="Q10" s="58">
        <v>6734</v>
      </c>
      <c r="R10" s="59">
        <v>65939</v>
      </c>
      <c r="V10" s="4"/>
    </row>
    <row r="11" spans="1:22" x14ac:dyDescent="0.15">
      <c r="A11" s="32">
        <v>4</v>
      </c>
      <c r="B11" s="26">
        <v>31801</v>
      </c>
      <c r="C11" s="76">
        <v>1</v>
      </c>
      <c r="D11" s="76">
        <v>0</v>
      </c>
      <c r="E11" s="76">
        <v>6</v>
      </c>
      <c r="F11" s="76">
        <v>4</v>
      </c>
      <c r="G11" s="76">
        <v>1</v>
      </c>
      <c r="H11" s="76">
        <v>4</v>
      </c>
      <c r="I11" s="13">
        <v>4</v>
      </c>
      <c r="J11" s="33">
        <v>14583886</v>
      </c>
      <c r="K11" s="159" t="s">
        <v>23</v>
      </c>
      <c r="L11" s="34"/>
      <c r="M11" s="34">
        <v>1206146.2</v>
      </c>
      <c r="N11" s="56">
        <v>6</v>
      </c>
      <c r="O11" s="57">
        <v>39</v>
      </c>
      <c r="P11" s="57">
        <v>649</v>
      </c>
      <c r="Q11" s="58">
        <v>6544</v>
      </c>
      <c r="R11" s="59">
        <v>65711</v>
      </c>
      <c r="V11" s="4"/>
    </row>
    <row r="12" spans="1:22" x14ac:dyDescent="0.15">
      <c r="A12" s="32">
        <v>5</v>
      </c>
      <c r="B12" s="26">
        <v>31808</v>
      </c>
      <c r="C12" s="76">
        <v>5</v>
      </c>
      <c r="D12" s="76">
        <v>6</v>
      </c>
      <c r="E12" s="76">
        <v>0</v>
      </c>
      <c r="F12" s="76">
        <v>4</v>
      </c>
      <c r="G12" s="76">
        <v>6</v>
      </c>
      <c r="H12" s="76">
        <v>8</v>
      </c>
      <c r="I12" s="13">
        <v>0</v>
      </c>
      <c r="J12" s="33">
        <v>14852818</v>
      </c>
      <c r="K12" s="77">
        <v>1</v>
      </c>
      <c r="L12" s="18">
        <v>2355555.4</v>
      </c>
      <c r="M12" s="18">
        <v>4654.8</v>
      </c>
      <c r="N12" s="56">
        <v>9</v>
      </c>
      <c r="O12" s="57">
        <v>64</v>
      </c>
      <c r="P12" s="57">
        <v>694</v>
      </c>
      <c r="Q12" s="58">
        <v>6632</v>
      </c>
      <c r="R12" s="59">
        <v>65921</v>
      </c>
      <c r="V12" s="4"/>
    </row>
    <row r="13" spans="1:22" x14ac:dyDescent="0.15">
      <c r="A13" s="32">
        <v>6</v>
      </c>
      <c r="B13" s="26">
        <v>31815</v>
      </c>
      <c r="C13" s="76">
        <v>7</v>
      </c>
      <c r="D13" s="76">
        <v>8</v>
      </c>
      <c r="E13" s="76">
        <v>7</v>
      </c>
      <c r="F13" s="76">
        <v>2</v>
      </c>
      <c r="G13" s="76">
        <v>9</v>
      </c>
      <c r="H13" s="76">
        <v>5</v>
      </c>
      <c r="I13" s="13">
        <v>1</v>
      </c>
      <c r="J13" s="33">
        <v>15304214</v>
      </c>
      <c r="K13" s="77">
        <v>1</v>
      </c>
      <c r="L13" s="34">
        <v>1155555.3999999999</v>
      </c>
      <c r="M13" s="18">
        <v>38236.800000000003</v>
      </c>
      <c r="N13" s="56">
        <v>14</v>
      </c>
      <c r="O13" s="57">
        <v>56</v>
      </c>
      <c r="P13" s="57">
        <v>689</v>
      </c>
      <c r="Q13" s="58">
        <v>7029</v>
      </c>
      <c r="R13" s="59">
        <v>69108</v>
      </c>
      <c r="V13" s="4"/>
    </row>
    <row r="14" spans="1:22" x14ac:dyDescent="0.15">
      <c r="A14" s="32">
        <v>7</v>
      </c>
      <c r="B14" s="26">
        <v>31822</v>
      </c>
      <c r="C14" s="76">
        <v>8</v>
      </c>
      <c r="D14" s="76">
        <v>1</v>
      </c>
      <c r="E14" s="76">
        <v>6</v>
      </c>
      <c r="F14" s="76">
        <v>7</v>
      </c>
      <c r="G14" s="76">
        <v>3</v>
      </c>
      <c r="H14" s="76">
        <v>2</v>
      </c>
      <c r="I14" s="13">
        <v>8</v>
      </c>
      <c r="J14" s="33">
        <v>15681716</v>
      </c>
      <c r="K14" s="159" t="s">
        <v>23</v>
      </c>
      <c r="L14" s="34"/>
      <c r="M14" s="18">
        <v>1256706.1000000001</v>
      </c>
      <c r="N14" s="56">
        <v>4</v>
      </c>
      <c r="O14" s="57">
        <v>82</v>
      </c>
      <c r="P14" s="57">
        <v>715</v>
      </c>
      <c r="Q14" s="58">
        <v>7240</v>
      </c>
      <c r="R14" s="59">
        <v>72675</v>
      </c>
      <c r="V14" s="4"/>
    </row>
    <row r="15" spans="1:22" x14ac:dyDescent="0.15">
      <c r="A15" s="32">
        <v>8</v>
      </c>
      <c r="B15" s="26">
        <v>31829</v>
      </c>
      <c r="C15" s="76">
        <v>5</v>
      </c>
      <c r="D15" s="76">
        <v>5</v>
      </c>
      <c r="E15" s="76">
        <v>4</v>
      </c>
      <c r="F15" s="76">
        <v>1</v>
      </c>
      <c r="G15" s="76">
        <v>3</v>
      </c>
      <c r="H15" s="76">
        <v>7</v>
      </c>
      <c r="I15" s="13">
        <v>1</v>
      </c>
      <c r="J15" s="33">
        <v>14805354</v>
      </c>
      <c r="K15" s="77">
        <v>3</v>
      </c>
      <c r="L15" s="34">
        <v>755555.4</v>
      </c>
      <c r="M15" s="18">
        <v>140415.9</v>
      </c>
      <c r="N15" s="56">
        <v>5</v>
      </c>
      <c r="O15" s="57">
        <v>76</v>
      </c>
      <c r="P15" s="57">
        <v>635</v>
      </c>
      <c r="Q15" s="58">
        <v>6483</v>
      </c>
      <c r="R15" s="59">
        <v>65635</v>
      </c>
      <c r="V15" s="4"/>
    </row>
    <row r="16" spans="1:22" x14ac:dyDescent="0.15">
      <c r="A16" s="32">
        <v>9</v>
      </c>
      <c r="B16" s="26">
        <v>31836</v>
      </c>
      <c r="C16" s="76">
        <v>9</v>
      </c>
      <c r="D16" s="76">
        <v>6</v>
      </c>
      <c r="E16" s="76">
        <v>2</v>
      </c>
      <c r="F16" s="76">
        <v>2</v>
      </c>
      <c r="G16" s="76">
        <v>8</v>
      </c>
      <c r="H16" s="76">
        <v>2</v>
      </c>
      <c r="I16" s="13">
        <v>3</v>
      </c>
      <c r="J16" s="33">
        <v>14782684</v>
      </c>
      <c r="K16" s="159" t="s">
        <v>23</v>
      </c>
      <c r="L16" s="34"/>
      <c r="M16" s="18">
        <v>1289030.3999999999</v>
      </c>
      <c r="N16" s="56">
        <v>7</v>
      </c>
      <c r="O16" s="57">
        <v>65</v>
      </c>
      <c r="P16" s="57">
        <v>642</v>
      </c>
      <c r="Q16" s="58">
        <v>6824</v>
      </c>
      <c r="R16" s="59">
        <v>66379</v>
      </c>
      <c r="V16" s="4"/>
    </row>
    <row r="17" spans="1:22" x14ac:dyDescent="0.15">
      <c r="A17" s="32">
        <v>10</v>
      </c>
      <c r="B17" s="26">
        <v>31843</v>
      </c>
      <c r="C17" s="76">
        <v>4</v>
      </c>
      <c r="D17" s="76">
        <v>8</v>
      </c>
      <c r="E17" s="76">
        <v>2</v>
      </c>
      <c r="F17" s="76">
        <v>3</v>
      </c>
      <c r="G17" s="76">
        <v>2</v>
      </c>
      <c r="H17" s="76">
        <v>7</v>
      </c>
      <c r="I17" s="13">
        <v>2</v>
      </c>
      <c r="J17" s="33">
        <v>14632296</v>
      </c>
      <c r="K17" s="159" t="s">
        <v>23</v>
      </c>
      <c r="L17" s="34"/>
      <c r="M17" s="18">
        <v>2425959.7999999998</v>
      </c>
      <c r="N17" s="56">
        <v>3</v>
      </c>
      <c r="O17" s="57">
        <v>69</v>
      </c>
      <c r="P17" s="57">
        <v>655</v>
      </c>
      <c r="Q17" s="58">
        <v>6661</v>
      </c>
      <c r="R17" s="59">
        <v>66711</v>
      </c>
      <c r="V17" s="4"/>
    </row>
    <row r="18" spans="1:22" x14ac:dyDescent="0.15">
      <c r="A18" s="32">
        <v>11</v>
      </c>
      <c r="B18" s="26">
        <v>31850</v>
      </c>
      <c r="C18" s="76">
        <v>7</v>
      </c>
      <c r="D18" s="76">
        <v>3</v>
      </c>
      <c r="E18" s="76">
        <v>2</v>
      </c>
      <c r="F18" s="76">
        <v>4</v>
      </c>
      <c r="G18" s="76">
        <v>8</v>
      </c>
      <c r="H18" s="76">
        <v>7</v>
      </c>
      <c r="I18" s="13">
        <v>4</v>
      </c>
      <c r="J18" s="33">
        <v>14869592</v>
      </c>
      <c r="K18" s="77">
        <v>2</v>
      </c>
      <c r="L18" s="34">
        <v>1755555.4</v>
      </c>
      <c r="M18" s="18">
        <v>70216.3</v>
      </c>
      <c r="N18" s="56">
        <v>4</v>
      </c>
      <c r="O18" s="57">
        <v>67</v>
      </c>
      <c r="P18" s="57">
        <v>655</v>
      </c>
      <c r="Q18" s="58">
        <v>6746</v>
      </c>
      <c r="R18" s="59">
        <v>66501</v>
      </c>
      <c r="V18" s="4"/>
    </row>
    <row r="19" spans="1:22" x14ac:dyDescent="0.15">
      <c r="A19" s="32">
        <v>12</v>
      </c>
      <c r="B19" s="26">
        <v>31857</v>
      </c>
      <c r="C19" s="76">
        <v>4</v>
      </c>
      <c r="D19" s="76">
        <v>3</v>
      </c>
      <c r="E19" s="76">
        <v>5</v>
      </c>
      <c r="F19" s="76">
        <v>0</v>
      </c>
      <c r="G19" s="76">
        <v>5</v>
      </c>
      <c r="H19" s="76">
        <v>1</v>
      </c>
      <c r="I19" s="13">
        <v>0</v>
      </c>
      <c r="J19" s="33">
        <v>14592964</v>
      </c>
      <c r="K19" s="77">
        <v>2</v>
      </c>
      <c r="L19" s="34">
        <v>555555.4</v>
      </c>
      <c r="M19" s="18">
        <v>92978.8</v>
      </c>
      <c r="N19" s="56">
        <v>6</v>
      </c>
      <c r="O19" s="57">
        <v>66</v>
      </c>
      <c r="P19" s="57">
        <v>581</v>
      </c>
      <c r="Q19" s="58">
        <v>6615</v>
      </c>
      <c r="R19" s="59">
        <v>64883</v>
      </c>
      <c r="V19" s="4"/>
    </row>
    <row r="20" spans="1:22" x14ac:dyDescent="0.15">
      <c r="A20" s="32">
        <v>13</v>
      </c>
      <c r="B20" s="26">
        <v>31864</v>
      </c>
      <c r="C20" s="76">
        <v>8</v>
      </c>
      <c r="D20" s="76">
        <v>6</v>
      </c>
      <c r="E20" s="76">
        <v>7</v>
      </c>
      <c r="F20" s="76">
        <v>3</v>
      </c>
      <c r="G20" s="76">
        <v>7</v>
      </c>
      <c r="H20" s="76">
        <v>9</v>
      </c>
      <c r="I20" s="13">
        <v>8</v>
      </c>
      <c r="J20" s="33">
        <v>14578168</v>
      </c>
      <c r="K20" s="159" t="s">
        <v>23</v>
      </c>
      <c r="L20" s="34"/>
      <c r="M20" s="18">
        <v>1225702.5</v>
      </c>
      <c r="N20" s="56">
        <v>10</v>
      </c>
      <c r="O20" s="57">
        <v>71</v>
      </c>
      <c r="P20" s="57">
        <v>695</v>
      </c>
      <c r="Q20" s="58">
        <v>6760</v>
      </c>
      <c r="R20" s="59">
        <v>65589</v>
      </c>
      <c r="V20" s="4"/>
    </row>
    <row r="21" spans="1:22" x14ac:dyDescent="0.15">
      <c r="A21" s="32">
        <v>14</v>
      </c>
      <c r="B21" s="26">
        <v>31871</v>
      </c>
      <c r="C21" s="76">
        <v>7</v>
      </c>
      <c r="D21" s="76">
        <v>9</v>
      </c>
      <c r="E21" s="76">
        <v>4</v>
      </c>
      <c r="F21" s="76">
        <v>5</v>
      </c>
      <c r="G21" s="76">
        <v>1</v>
      </c>
      <c r="H21" s="76">
        <v>9</v>
      </c>
      <c r="I21" s="13">
        <v>0</v>
      </c>
      <c r="J21" s="33">
        <v>17068432</v>
      </c>
      <c r="K21" s="77">
        <v>1</v>
      </c>
      <c r="L21" s="34">
        <v>2355555.4</v>
      </c>
      <c r="M21" s="18">
        <v>196364.3</v>
      </c>
      <c r="N21" s="56">
        <v>10</v>
      </c>
      <c r="O21" s="57">
        <v>81</v>
      </c>
      <c r="P21" s="57">
        <v>756</v>
      </c>
      <c r="Q21" s="58">
        <v>7369</v>
      </c>
      <c r="R21" s="59">
        <v>73961</v>
      </c>
      <c r="V21" s="4"/>
    </row>
    <row r="22" spans="1:22" x14ac:dyDescent="0.15">
      <c r="A22" s="32">
        <v>15</v>
      </c>
      <c r="B22" s="26">
        <v>31878</v>
      </c>
      <c r="C22" s="76">
        <v>3</v>
      </c>
      <c r="D22" s="76">
        <v>5</v>
      </c>
      <c r="E22" s="76">
        <v>8</v>
      </c>
      <c r="F22" s="76">
        <v>7</v>
      </c>
      <c r="G22" s="76">
        <v>0</v>
      </c>
      <c r="H22" s="76">
        <v>3</v>
      </c>
      <c r="I22" s="13">
        <v>7</v>
      </c>
      <c r="J22" s="33">
        <v>14387680</v>
      </c>
      <c r="K22" s="77">
        <v>2</v>
      </c>
      <c r="L22" s="34">
        <v>555555.4</v>
      </c>
      <c r="M22" s="18">
        <v>203176.2</v>
      </c>
      <c r="N22" s="56">
        <v>8</v>
      </c>
      <c r="O22" s="57">
        <v>73</v>
      </c>
      <c r="P22" s="57">
        <v>634</v>
      </c>
      <c r="Q22" s="58">
        <v>6418</v>
      </c>
      <c r="R22" s="59">
        <v>65945</v>
      </c>
      <c r="V22" s="4"/>
    </row>
    <row r="23" spans="1:22" x14ac:dyDescent="0.15">
      <c r="A23" s="32">
        <v>16</v>
      </c>
      <c r="B23" s="26">
        <v>31885</v>
      </c>
      <c r="C23" s="76">
        <v>7</v>
      </c>
      <c r="D23" s="76">
        <v>7</v>
      </c>
      <c r="E23" s="76">
        <v>6</v>
      </c>
      <c r="F23" s="76">
        <v>5</v>
      </c>
      <c r="G23" s="76">
        <v>9</v>
      </c>
      <c r="H23" s="76">
        <v>7</v>
      </c>
      <c r="I23" s="13">
        <v>9</v>
      </c>
      <c r="J23" s="33">
        <v>13895940</v>
      </c>
      <c r="K23" s="77">
        <v>1</v>
      </c>
      <c r="L23" s="34">
        <v>1155555.3999999999</v>
      </c>
      <c r="M23" s="18">
        <v>127335.3</v>
      </c>
      <c r="N23" s="56">
        <v>6</v>
      </c>
      <c r="O23" s="57">
        <v>69</v>
      </c>
      <c r="P23" s="57">
        <v>640</v>
      </c>
      <c r="Q23" s="58">
        <v>6322</v>
      </c>
      <c r="R23" s="59">
        <v>63168</v>
      </c>
      <c r="V23" s="4"/>
    </row>
    <row r="24" spans="1:22" x14ac:dyDescent="0.15">
      <c r="A24" s="32">
        <v>17</v>
      </c>
      <c r="B24" s="26">
        <v>31892</v>
      </c>
      <c r="C24" s="76">
        <v>8</v>
      </c>
      <c r="D24" s="76">
        <v>1</v>
      </c>
      <c r="E24" s="76">
        <v>2</v>
      </c>
      <c r="F24" s="76">
        <v>8</v>
      </c>
      <c r="G24" s="76">
        <v>7</v>
      </c>
      <c r="H24" s="76">
        <v>1</v>
      </c>
      <c r="I24" s="13">
        <v>4</v>
      </c>
      <c r="J24" s="33">
        <v>13630486</v>
      </c>
      <c r="K24" s="159" t="s">
        <v>23</v>
      </c>
      <c r="L24" s="34"/>
      <c r="M24" s="18">
        <v>1186424.1000000001</v>
      </c>
      <c r="N24" s="56">
        <v>5</v>
      </c>
      <c r="O24" s="57">
        <v>76</v>
      </c>
      <c r="P24" s="57">
        <v>627</v>
      </c>
      <c r="Q24" s="58">
        <v>6190</v>
      </c>
      <c r="R24" s="59">
        <v>62378</v>
      </c>
      <c r="V24" s="4"/>
    </row>
    <row r="25" spans="1:22" x14ac:dyDescent="0.15">
      <c r="A25" s="32">
        <v>18</v>
      </c>
      <c r="B25" s="26">
        <v>31899</v>
      </c>
      <c r="C25" s="76">
        <v>1</v>
      </c>
      <c r="D25" s="76">
        <v>3</v>
      </c>
      <c r="E25" s="76">
        <v>8</v>
      </c>
      <c r="F25" s="76">
        <v>9</v>
      </c>
      <c r="G25" s="76">
        <v>8</v>
      </c>
      <c r="H25" s="76">
        <v>6</v>
      </c>
      <c r="I25" s="13">
        <v>0</v>
      </c>
      <c r="J25" s="33">
        <v>13185312</v>
      </c>
      <c r="K25" s="159" t="s">
        <v>23</v>
      </c>
      <c r="L25" s="34"/>
      <c r="M25" s="18">
        <v>2210922.7999999998</v>
      </c>
      <c r="N25" s="56">
        <v>6</v>
      </c>
      <c r="O25" s="57">
        <v>75</v>
      </c>
      <c r="P25" s="57">
        <v>598</v>
      </c>
      <c r="Q25" s="58">
        <v>5934</v>
      </c>
      <c r="R25" s="59">
        <v>58189</v>
      </c>
      <c r="V25" s="4"/>
    </row>
    <row r="26" spans="1:22" x14ac:dyDescent="0.15">
      <c r="A26" s="32">
        <v>19</v>
      </c>
      <c r="B26" s="26">
        <v>31906</v>
      </c>
      <c r="C26" s="76">
        <v>4</v>
      </c>
      <c r="D26" s="76">
        <v>6</v>
      </c>
      <c r="E26" s="76">
        <v>9</v>
      </c>
      <c r="F26" s="76">
        <v>2</v>
      </c>
      <c r="G26" s="76">
        <v>1</v>
      </c>
      <c r="H26" s="76">
        <v>9</v>
      </c>
      <c r="I26" s="13">
        <v>8</v>
      </c>
      <c r="J26" s="33">
        <v>13895456</v>
      </c>
      <c r="K26" s="77">
        <v>1</v>
      </c>
      <c r="L26" s="34">
        <v>3155555.4</v>
      </c>
      <c r="M26" s="18">
        <v>135044.29999999999</v>
      </c>
      <c r="N26" s="56">
        <v>4</v>
      </c>
      <c r="O26" s="57">
        <v>65</v>
      </c>
      <c r="P26" s="57">
        <v>640</v>
      </c>
      <c r="Q26" s="58">
        <v>6357</v>
      </c>
      <c r="R26" s="59">
        <v>62704</v>
      </c>
      <c r="V26" s="4"/>
    </row>
    <row r="27" spans="1:22" x14ac:dyDescent="0.15">
      <c r="A27" s="32">
        <v>20</v>
      </c>
      <c r="B27" s="26">
        <v>31913</v>
      </c>
      <c r="C27" s="76">
        <v>8</v>
      </c>
      <c r="D27" s="76">
        <v>3</v>
      </c>
      <c r="E27" s="76">
        <v>0</v>
      </c>
      <c r="F27" s="76">
        <v>8</v>
      </c>
      <c r="G27" s="76">
        <v>3</v>
      </c>
      <c r="H27" s="76">
        <v>2</v>
      </c>
      <c r="I27" s="13">
        <v>1</v>
      </c>
      <c r="J27" s="33">
        <v>14211544</v>
      </c>
      <c r="K27" s="77">
        <v>2</v>
      </c>
      <c r="L27" s="34">
        <v>555555.4</v>
      </c>
      <c r="M27" s="18">
        <v>128170.5</v>
      </c>
      <c r="N27" s="56">
        <v>11</v>
      </c>
      <c r="O27" s="57">
        <v>67</v>
      </c>
      <c r="P27" s="57">
        <v>636</v>
      </c>
      <c r="Q27" s="58">
        <v>6485</v>
      </c>
      <c r="R27" s="59">
        <v>64379</v>
      </c>
      <c r="V27" s="4"/>
    </row>
    <row r="28" spans="1:22" x14ac:dyDescent="0.15">
      <c r="A28" s="32">
        <v>21</v>
      </c>
      <c r="B28" s="26">
        <v>31920</v>
      </c>
      <c r="C28" s="76">
        <v>7</v>
      </c>
      <c r="D28" s="76">
        <v>6</v>
      </c>
      <c r="E28" s="76">
        <v>5</v>
      </c>
      <c r="F28" s="76">
        <v>3</v>
      </c>
      <c r="G28" s="76">
        <v>4</v>
      </c>
      <c r="H28" s="76">
        <v>5</v>
      </c>
      <c r="I28" s="13">
        <v>7</v>
      </c>
      <c r="J28" s="33">
        <v>14058796</v>
      </c>
      <c r="K28" s="77">
        <v>1</v>
      </c>
      <c r="L28" s="34">
        <v>1155555.3999999999</v>
      </c>
      <c r="M28" s="18">
        <v>64983.5</v>
      </c>
      <c r="N28" s="56">
        <v>2</v>
      </c>
      <c r="O28" s="57">
        <v>65</v>
      </c>
      <c r="P28" s="57">
        <v>634</v>
      </c>
      <c r="Q28" s="58">
        <v>6490</v>
      </c>
      <c r="R28" s="59">
        <v>63900</v>
      </c>
      <c r="V28" s="4"/>
    </row>
    <row r="29" spans="1:22" x14ac:dyDescent="0.15">
      <c r="A29" s="32">
        <v>22</v>
      </c>
      <c r="B29" s="26">
        <v>31927</v>
      </c>
      <c r="C29" s="76">
        <v>8</v>
      </c>
      <c r="D29" s="76">
        <v>4</v>
      </c>
      <c r="E29" s="76">
        <v>2</v>
      </c>
      <c r="F29" s="76">
        <v>5</v>
      </c>
      <c r="G29" s="76">
        <v>6</v>
      </c>
      <c r="H29" s="76">
        <v>7</v>
      </c>
      <c r="I29" s="13">
        <v>1</v>
      </c>
      <c r="J29" s="33">
        <v>13695288</v>
      </c>
      <c r="K29" s="159" t="s">
        <v>23</v>
      </c>
      <c r="L29" s="34"/>
      <c r="M29" s="34">
        <v>1129107.3999999999</v>
      </c>
      <c r="N29" s="56">
        <v>2</v>
      </c>
      <c r="O29" s="57">
        <v>60</v>
      </c>
      <c r="P29" s="57">
        <v>618</v>
      </c>
      <c r="Q29" s="58">
        <v>6307</v>
      </c>
      <c r="R29" s="59">
        <v>61539</v>
      </c>
      <c r="V29" s="4"/>
    </row>
    <row r="30" spans="1:22" x14ac:dyDescent="0.15">
      <c r="A30" s="32">
        <v>23</v>
      </c>
      <c r="B30" s="26">
        <v>31934</v>
      </c>
      <c r="C30" s="76">
        <v>9</v>
      </c>
      <c r="D30" s="76">
        <v>6</v>
      </c>
      <c r="E30" s="76">
        <v>1</v>
      </c>
      <c r="F30" s="76">
        <v>4</v>
      </c>
      <c r="G30" s="76">
        <v>9</v>
      </c>
      <c r="H30" s="76">
        <v>2</v>
      </c>
      <c r="I30" s="13">
        <v>2</v>
      </c>
      <c r="J30" s="33">
        <v>14349736</v>
      </c>
      <c r="K30" s="159" t="s">
        <v>23</v>
      </c>
      <c r="L30" s="34"/>
      <c r="M30" s="18">
        <v>2244081.9</v>
      </c>
      <c r="N30" s="56">
        <v>14</v>
      </c>
      <c r="O30" s="57">
        <v>57</v>
      </c>
      <c r="P30" s="57">
        <v>651</v>
      </c>
      <c r="Q30" s="58">
        <v>6522</v>
      </c>
      <c r="R30" s="59">
        <v>63492</v>
      </c>
      <c r="V30" s="4"/>
    </row>
    <row r="31" spans="1:22" x14ac:dyDescent="0.15">
      <c r="A31" s="32">
        <v>24</v>
      </c>
      <c r="B31" s="26">
        <v>31941</v>
      </c>
      <c r="C31" s="76">
        <v>8</v>
      </c>
      <c r="D31" s="76">
        <v>9</v>
      </c>
      <c r="E31" s="76">
        <v>9</v>
      </c>
      <c r="F31" s="76">
        <v>3</v>
      </c>
      <c r="G31" s="76">
        <v>7</v>
      </c>
      <c r="H31" s="76">
        <v>2</v>
      </c>
      <c r="I31" s="13">
        <v>1</v>
      </c>
      <c r="J31" s="33">
        <v>13832058</v>
      </c>
      <c r="K31" s="159" t="s">
        <v>23</v>
      </c>
      <c r="L31" s="34"/>
      <c r="M31" s="18">
        <v>3318832.8</v>
      </c>
      <c r="N31" s="56">
        <v>4</v>
      </c>
      <c r="O31" s="57">
        <v>70</v>
      </c>
      <c r="P31" s="57">
        <v>574</v>
      </c>
      <c r="Q31" s="58">
        <v>6065</v>
      </c>
      <c r="R31" s="59">
        <v>61255</v>
      </c>
      <c r="V31" s="4"/>
    </row>
    <row r="32" spans="1:22" x14ac:dyDescent="0.15">
      <c r="A32" s="32">
        <v>25</v>
      </c>
      <c r="B32" s="26">
        <v>31948</v>
      </c>
      <c r="C32" s="76">
        <v>9</v>
      </c>
      <c r="D32" s="76">
        <v>2</v>
      </c>
      <c r="E32" s="76">
        <v>8</v>
      </c>
      <c r="F32" s="76">
        <v>9</v>
      </c>
      <c r="G32" s="76">
        <v>9</v>
      </c>
      <c r="H32" s="76">
        <v>3</v>
      </c>
      <c r="I32" s="13">
        <v>7</v>
      </c>
      <c r="J32" s="33">
        <v>13760356</v>
      </c>
      <c r="K32" s="159" t="s">
        <v>23</v>
      </c>
      <c r="L32" s="34"/>
      <c r="M32" s="18">
        <v>4388012.5</v>
      </c>
      <c r="N32" s="56">
        <v>9</v>
      </c>
      <c r="O32" s="57">
        <v>50</v>
      </c>
      <c r="P32" s="57">
        <v>625</v>
      </c>
      <c r="Q32" s="58">
        <v>6361</v>
      </c>
      <c r="R32" s="59">
        <v>62699</v>
      </c>
      <c r="V32" s="4"/>
    </row>
    <row r="33" spans="1:22" x14ac:dyDescent="0.15">
      <c r="A33" s="32">
        <v>26</v>
      </c>
      <c r="B33" s="26">
        <v>31955</v>
      </c>
      <c r="C33" s="76">
        <v>4</v>
      </c>
      <c r="D33" s="76">
        <v>5</v>
      </c>
      <c r="E33" s="76">
        <v>9</v>
      </c>
      <c r="F33" s="76">
        <v>2</v>
      </c>
      <c r="G33" s="76">
        <v>5</v>
      </c>
      <c r="H33" s="76">
        <v>1</v>
      </c>
      <c r="I33" s="13">
        <v>2</v>
      </c>
      <c r="J33" s="33">
        <v>15352028</v>
      </c>
      <c r="K33" s="77">
        <v>1</v>
      </c>
      <c r="L33" s="34">
        <v>5555555.4000000004</v>
      </c>
      <c r="M33" s="18">
        <v>25309.7</v>
      </c>
      <c r="N33" s="56">
        <v>1</v>
      </c>
      <c r="O33" s="57">
        <v>64</v>
      </c>
      <c r="P33" s="57">
        <v>680</v>
      </c>
      <c r="Q33" s="58">
        <v>7118</v>
      </c>
      <c r="R33" s="59">
        <v>69456</v>
      </c>
      <c r="V33" s="4"/>
    </row>
    <row r="34" spans="1:22" x14ac:dyDescent="0.15">
      <c r="A34" s="32">
        <v>27</v>
      </c>
      <c r="B34" s="26">
        <v>31962</v>
      </c>
      <c r="C34" s="76">
        <v>8</v>
      </c>
      <c r="D34" s="76">
        <v>9</v>
      </c>
      <c r="E34" s="76">
        <v>2</v>
      </c>
      <c r="F34" s="76">
        <v>7</v>
      </c>
      <c r="G34" s="76">
        <v>5</v>
      </c>
      <c r="H34" s="76">
        <v>0</v>
      </c>
      <c r="I34" s="113">
        <v>7</v>
      </c>
      <c r="J34" s="33">
        <v>13950650</v>
      </c>
      <c r="K34" s="159" t="s">
        <v>23</v>
      </c>
      <c r="L34" s="34"/>
      <c r="M34" s="117">
        <v>1109275.2</v>
      </c>
      <c r="N34" s="56">
        <v>3</v>
      </c>
      <c r="O34" s="57">
        <v>55</v>
      </c>
      <c r="P34" s="57">
        <v>634</v>
      </c>
      <c r="Q34" s="58">
        <v>6109</v>
      </c>
      <c r="R34" s="59">
        <v>61820</v>
      </c>
      <c r="V34" s="4"/>
    </row>
    <row r="35" spans="1:22" x14ac:dyDescent="0.15">
      <c r="A35" s="32">
        <v>28</v>
      </c>
      <c r="B35" s="26">
        <v>31969</v>
      </c>
      <c r="C35" s="76">
        <v>9</v>
      </c>
      <c r="D35" s="76">
        <v>6</v>
      </c>
      <c r="E35" s="76">
        <v>6</v>
      </c>
      <c r="F35" s="76">
        <v>8</v>
      </c>
      <c r="G35" s="76">
        <v>5</v>
      </c>
      <c r="H35" s="76">
        <v>8</v>
      </c>
      <c r="I35" s="13">
        <v>8</v>
      </c>
      <c r="J35" s="33">
        <v>13839362</v>
      </c>
      <c r="K35" s="77">
        <v>3</v>
      </c>
      <c r="L35" s="34">
        <v>555555.4</v>
      </c>
      <c r="M35" s="18">
        <v>517927.4</v>
      </c>
      <c r="N35" s="56">
        <v>4</v>
      </c>
      <c r="O35" s="57">
        <v>64</v>
      </c>
      <c r="P35" s="57">
        <v>640</v>
      </c>
      <c r="Q35" s="58">
        <v>6218</v>
      </c>
      <c r="R35" s="59">
        <v>62319</v>
      </c>
      <c r="V35" s="4"/>
    </row>
    <row r="36" spans="1:22" x14ac:dyDescent="0.15">
      <c r="A36" s="32">
        <v>29</v>
      </c>
      <c r="B36" s="26">
        <v>31976</v>
      </c>
      <c r="C36" s="76">
        <v>6</v>
      </c>
      <c r="D36" s="76">
        <v>1</v>
      </c>
      <c r="E36" s="76">
        <v>7</v>
      </c>
      <c r="F36" s="76">
        <v>4</v>
      </c>
      <c r="G36" s="76">
        <v>4</v>
      </c>
      <c r="H36" s="76">
        <v>0</v>
      </c>
      <c r="I36" s="13">
        <v>0</v>
      </c>
      <c r="J36" s="33">
        <v>13886784</v>
      </c>
      <c r="K36" s="159" t="s">
        <v>23</v>
      </c>
      <c r="L36" s="34"/>
      <c r="M36" s="18">
        <v>1596930.5</v>
      </c>
      <c r="N36" s="56">
        <v>7</v>
      </c>
      <c r="O36" s="57">
        <v>63</v>
      </c>
      <c r="P36" s="57">
        <v>628</v>
      </c>
      <c r="Q36" s="58">
        <v>6058</v>
      </c>
      <c r="R36" s="59">
        <v>59635</v>
      </c>
      <c r="V36" s="4"/>
    </row>
    <row r="37" spans="1:22" x14ac:dyDescent="0.15">
      <c r="A37" s="32">
        <v>30</v>
      </c>
      <c r="B37" s="26">
        <v>31983</v>
      </c>
      <c r="C37" s="76">
        <v>1</v>
      </c>
      <c r="D37" s="76">
        <v>2</v>
      </c>
      <c r="E37" s="76">
        <v>1</v>
      </c>
      <c r="F37" s="76">
        <v>0</v>
      </c>
      <c r="G37" s="76">
        <v>5</v>
      </c>
      <c r="H37" s="76">
        <v>1</v>
      </c>
      <c r="I37" s="13">
        <v>5</v>
      </c>
      <c r="J37" s="33">
        <v>13748112</v>
      </c>
      <c r="K37" s="77">
        <v>1</v>
      </c>
      <c r="L37" s="34">
        <v>2555555.4</v>
      </c>
      <c r="M37" s="18">
        <v>109603.4</v>
      </c>
      <c r="N37" s="56">
        <v>6</v>
      </c>
      <c r="O37" s="57">
        <v>64</v>
      </c>
      <c r="P37" s="57">
        <v>622</v>
      </c>
      <c r="Q37" s="58">
        <v>6173</v>
      </c>
      <c r="R37" s="59">
        <v>61868</v>
      </c>
      <c r="V37" s="4"/>
    </row>
    <row r="38" spans="1:22" x14ac:dyDescent="0.15">
      <c r="A38" s="32">
        <v>31</v>
      </c>
      <c r="B38" s="26">
        <v>31990</v>
      </c>
      <c r="C38" s="76">
        <v>8</v>
      </c>
      <c r="D38" s="76">
        <v>9</v>
      </c>
      <c r="E38" s="76">
        <v>6</v>
      </c>
      <c r="F38" s="76">
        <v>4</v>
      </c>
      <c r="G38" s="76">
        <v>2</v>
      </c>
      <c r="H38" s="76">
        <v>7</v>
      </c>
      <c r="I38" s="13">
        <v>8</v>
      </c>
      <c r="J38" s="33">
        <v>13812644</v>
      </c>
      <c r="K38" s="159" t="s">
        <v>23</v>
      </c>
      <c r="L38" s="34"/>
      <c r="M38" s="18">
        <v>1182845.8</v>
      </c>
      <c r="N38" s="56">
        <v>6</v>
      </c>
      <c r="O38" s="57">
        <v>77</v>
      </c>
      <c r="P38" s="57">
        <v>601</v>
      </c>
      <c r="Q38" s="58">
        <v>6414</v>
      </c>
      <c r="R38" s="59">
        <v>63069</v>
      </c>
      <c r="V38" s="4"/>
    </row>
    <row r="39" spans="1:22" x14ac:dyDescent="0.15">
      <c r="A39" s="32">
        <v>32</v>
      </c>
      <c r="B39" s="26">
        <v>31997</v>
      </c>
      <c r="C39" s="76">
        <v>6</v>
      </c>
      <c r="D39" s="76">
        <v>2</v>
      </c>
      <c r="E39" s="76">
        <v>7</v>
      </c>
      <c r="F39" s="76">
        <v>7</v>
      </c>
      <c r="G39" s="76">
        <v>2</v>
      </c>
      <c r="H39" s="76">
        <v>9</v>
      </c>
      <c r="I39" s="13">
        <v>5</v>
      </c>
      <c r="J39" s="33">
        <v>14059040</v>
      </c>
      <c r="K39" s="77">
        <v>1</v>
      </c>
      <c r="L39" s="34">
        <v>2155555.4</v>
      </c>
      <c r="M39" s="18">
        <v>119677.8</v>
      </c>
      <c r="N39" s="56">
        <v>6</v>
      </c>
      <c r="O39" s="57">
        <v>67</v>
      </c>
      <c r="P39" s="57">
        <v>679</v>
      </c>
      <c r="Q39" s="58">
        <v>6477</v>
      </c>
      <c r="R39" s="59">
        <v>63724</v>
      </c>
      <c r="V39" s="4"/>
    </row>
    <row r="40" spans="1:22" x14ac:dyDescent="0.15">
      <c r="A40" s="32">
        <v>33</v>
      </c>
      <c r="B40" s="26">
        <v>32004</v>
      </c>
      <c r="C40" s="76">
        <v>5</v>
      </c>
      <c r="D40" s="76">
        <v>8</v>
      </c>
      <c r="E40" s="76">
        <v>0</v>
      </c>
      <c r="F40" s="76">
        <v>8</v>
      </c>
      <c r="G40" s="76">
        <v>7</v>
      </c>
      <c r="H40" s="76">
        <v>0</v>
      </c>
      <c r="I40" s="13">
        <v>3</v>
      </c>
      <c r="J40" s="33">
        <v>13928164</v>
      </c>
      <c r="K40" s="77">
        <v>3</v>
      </c>
      <c r="L40" s="34">
        <v>355555.4</v>
      </c>
      <c r="M40" s="18">
        <v>135229.9</v>
      </c>
      <c r="N40" s="56">
        <v>2</v>
      </c>
      <c r="O40" s="57">
        <v>54</v>
      </c>
      <c r="P40" s="57">
        <v>624</v>
      </c>
      <c r="Q40" s="58">
        <v>6110</v>
      </c>
      <c r="R40" s="59">
        <v>61075</v>
      </c>
      <c r="V40" s="4"/>
    </row>
    <row r="41" spans="1:22" x14ac:dyDescent="0.15">
      <c r="A41" s="32">
        <v>34</v>
      </c>
      <c r="B41" s="26">
        <v>32011</v>
      </c>
      <c r="C41" s="76">
        <v>7</v>
      </c>
      <c r="D41" s="76">
        <v>3</v>
      </c>
      <c r="E41" s="76">
        <v>8</v>
      </c>
      <c r="F41" s="76">
        <v>7</v>
      </c>
      <c r="G41" s="76">
        <v>2</v>
      </c>
      <c r="H41" s="14">
        <v>1</v>
      </c>
      <c r="I41" s="14">
        <v>0</v>
      </c>
      <c r="J41" s="33">
        <v>13668798</v>
      </c>
      <c r="K41" s="77">
        <v>1</v>
      </c>
      <c r="L41" s="34">
        <v>1155555.3999999999</v>
      </c>
      <c r="M41" s="18">
        <v>41740.1</v>
      </c>
      <c r="N41" s="56">
        <v>5</v>
      </c>
      <c r="O41" s="57">
        <v>61</v>
      </c>
      <c r="P41" s="57">
        <v>600</v>
      </c>
      <c r="Q41" s="58">
        <v>6092</v>
      </c>
      <c r="R41" s="59">
        <v>60622</v>
      </c>
      <c r="V41" s="4"/>
    </row>
    <row r="42" spans="1:22" s="90" customFormat="1" x14ac:dyDescent="0.15">
      <c r="A42" s="32">
        <v>35</v>
      </c>
      <c r="B42" s="26">
        <v>32018</v>
      </c>
      <c r="C42" s="76">
        <v>8</v>
      </c>
      <c r="D42" s="76">
        <v>0</v>
      </c>
      <c r="E42" s="76">
        <v>7</v>
      </c>
      <c r="F42" s="76">
        <v>7</v>
      </c>
      <c r="G42" s="76">
        <v>7</v>
      </c>
      <c r="H42" s="115">
        <v>7</v>
      </c>
      <c r="I42" s="13">
        <v>8</v>
      </c>
      <c r="J42" s="33">
        <v>13906888</v>
      </c>
      <c r="K42" s="159" t="s">
        <v>23</v>
      </c>
      <c r="L42" s="34"/>
      <c r="M42" s="34">
        <v>1122305.3</v>
      </c>
      <c r="N42" s="56">
        <v>5</v>
      </c>
      <c r="O42" s="57">
        <v>51</v>
      </c>
      <c r="P42" s="57">
        <v>677</v>
      </c>
      <c r="Q42" s="58">
        <v>6251</v>
      </c>
      <c r="R42" s="59">
        <v>63083</v>
      </c>
      <c r="S42" s="91"/>
      <c r="V42" s="100"/>
    </row>
    <row r="43" spans="1:22" s="90" customFormat="1" x14ac:dyDescent="0.15">
      <c r="A43" s="32">
        <v>36</v>
      </c>
      <c r="B43" s="26">
        <v>32025</v>
      </c>
      <c r="C43" s="103">
        <v>3</v>
      </c>
      <c r="D43" s="103">
        <v>8</v>
      </c>
      <c r="E43" s="103">
        <v>8</v>
      </c>
      <c r="F43" s="103">
        <v>8</v>
      </c>
      <c r="G43" s="103">
        <v>0</v>
      </c>
      <c r="H43" s="115">
        <v>2</v>
      </c>
      <c r="I43" s="113">
        <v>2</v>
      </c>
      <c r="J43" s="33">
        <v>16360104</v>
      </c>
      <c r="K43" s="159" t="s">
        <v>23</v>
      </c>
      <c r="L43" s="34"/>
      <c r="M43" s="18">
        <v>2393485.4</v>
      </c>
      <c r="N43" s="56">
        <v>5</v>
      </c>
      <c r="O43" s="57">
        <v>63</v>
      </c>
      <c r="P43" s="57">
        <v>738</v>
      </c>
      <c r="Q43" s="58">
        <v>7298</v>
      </c>
      <c r="R43" s="59">
        <v>74389</v>
      </c>
      <c r="S43" s="91"/>
      <c r="V43" s="100"/>
    </row>
    <row r="44" spans="1:22" s="90" customFormat="1" x14ac:dyDescent="0.15">
      <c r="A44" s="32">
        <v>37</v>
      </c>
      <c r="B44" s="26">
        <v>32032</v>
      </c>
      <c r="C44" s="109">
        <v>8</v>
      </c>
      <c r="D44" s="110">
        <v>3</v>
      </c>
      <c r="E44" s="110">
        <v>8</v>
      </c>
      <c r="F44" s="110">
        <v>4</v>
      </c>
      <c r="G44" s="110">
        <v>2</v>
      </c>
      <c r="H44" s="110">
        <v>5</v>
      </c>
      <c r="I44" s="13">
        <v>2</v>
      </c>
      <c r="J44" s="33">
        <v>16771786</v>
      </c>
      <c r="K44" s="112">
        <v>1</v>
      </c>
      <c r="L44" s="34">
        <v>3555555.4</v>
      </c>
      <c r="M44" s="18">
        <v>141097.79999999999</v>
      </c>
      <c r="N44" s="56">
        <v>11</v>
      </c>
      <c r="O44" s="57">
        <v>79</v>
      </c>
      <c r="P44" s="57">
        <v>742</v>
      </c>
      <c r="Q44" s="58">
        <v>7567</v>
      </c>
      <c r="R44" s="59">
        <v>75179</v>
      </c>
      <c r="S44" s="91"/>
      <c r="V44" s="100"/>
    </row>
    <row r="45" spans="1:22" s="90" customFormat="1" x14ac:dyDescent="0.15">
      <c r="A45" s="32">
        <v>38</v>
      </c>
      <c r="B45" s="26">
        <v>32039</v>
      </c>
      <c r="C45" s="76">
        <v>7</v>
      </c>
      <c r="D45" s="76">
        <v>6</v>
      </c>
      <c r="E45" s="76">
        <v>9</v>
      </c>
      <c r="F45" s="76">
        <v>3</v>
      </c>
      <c r="G45" s="76">
        <v>9</v>
      </c>
      <c r="H45" s="76">
        <v>8</v>
      </c>
      <c r="I45" s="13">
        <v>0</v>
      </c>
      <c r="J45" s="33">
        <v>17056612</v>
      </c>
      <c r="K45" s="112">
        <v>1</v>
      </c>
      <c r="L45" s="34">
        <v>1355555.4</v>
      </c>
      <c r="M45" s="18">
        <v>110841.2</v>
      </c>
      <c r="N45" s="56">
        <v>9</v>
      </c>
      <c r="O45" s="57">
        <v>58</v>
      </c>
      <c r="P45" s="57">
        <v>735</v>
      </c>
      <c r="Q45" s="58">
        <v>7347</v>
      </c>
      <c r="R45" s="59">
        <v>73377</v>
      </c>
      <c r="S45" s="91"/>
      <c r="V45" s="100"/>
    </row>
    <row r="46" spans="1:22" s="90" customFormat="1" x14ac:dyDescent="0.15">
      <c r="A46" s="32">
        <v>39</v>
      </c>
      <c r="B46" s="26">
        <v>32046</v>
      </c>
      <c r="C46" s="76">
        <v>8</v>
      </c>
      <c r="D46" s="76">
        <v>9</v>
      </c>
      <c r="E46" s="76">
        <v>6</v>
      </c>
      <c r="F46" s="76">
        <v>1</v>
      </c>
      <c r="G46" s="76">
        <v>4</v>
      </c>
      <c r="H46" s="76">
        <v>4</v>
      </c>
      <c r="I46" s="13">
        <v>4</v>
      </c>
      <c r="J46" s="33">
        <v>17473902</v>
      </c>
      <c r="K46" s="112">
        <v>1</v>
      </c>
      <c r="L46" s="34">
        <v>1355555.4</v>
      </c>
      <c r="M46" s="18">
        <v>113008</v>
      </c>
      <c r="N46" s="56">
        <v>13</v>
      </c>
      <c r="O46" s="57">
        <v>92</v>
      </c>
      <c r="P46" s="57">
        <v>833</v>
      </c>
      <c r="Q46" s="58">
        <v>8177</v>
      </c>
      <c r="R46" s="59">
        <v>79318</v>
      </c>
      <c r="S46" s="91"/>
      <c r="V46" s="100"/>
    </row>
    <row r="47" spans="1:22" s="90" customFormat="1" x14ac:dyDescent="0.15">
      <c r="A47" s="32">
        <v>40</v>
      </c>
      <c r="B47" s="26">
        <v>32053</v>
      </c>
      <c r="C47" s="76">
        <v>0</v>
      </c>
      <c r="D47" s="76">
        <v>1</v>
      </c>
      <c r="E47" s="76">
        <v>9</v>
      </c>
      <c r="F47" s="76">
        <v>3</v>
      </c>
      <c r="G47" s="76">
        <v>1</v>
      </c>
      <c r="H47" s="76">
        <v>4</v>
      </c>
      <c r="I47" s="13">
        <v>2</v>
      </c>
      <c r="J47" s="33">
        <v>20726802</v>
      </c>
      <c r="K47" s="159" t="s">
        <v>23</v>
      </c>
      <c r="L47" s="34"/>
      <c r="M47" s="18">
        <v>1723480.5</v>
      </c>
      <c r="N47" s="56">
        <v>14</v>
      </c>
      <c r="O47" s="57">
        <v>100</v>
      </c>
      <c r="P47" s="57">
        <v>969</v>
      </c>
      <c r="Q47" s="58">
        <v>9196</v>
      </c>
      <c r="R47" s="59">
        <v>92386</v>
      </c>
      <c r="S47" s="91"/>
      <c r="V47" s="100"/>
    </row>
    <row r="48" spans="1:22" s="90" customFormat="1" x14ac:dyDescent="0.15">
      <c r="A48" s="32">
        <v>41</v>
      </c>
      <c r="B48" s="26">
        <v>32060</v>
      </c>
      <c r="C48" s="76">
        <v>0</v>
      </c>
      <c r="D48" s="76">
        <v>7</v>
      </c>
      <c r="E48" s="76">
        <v>6</v>
      </c>
      <c r="F48" s="76">
        <v>3</v>
      </c>
      <c r="G48" s="76">
        <v>0</v>
      </c>
      <c r="H48" s="76">
        <v>3</v>
      </c>
      <c r="I48" s="13">
        <v>7</v>
      </c>
      <c r="J48" s="33">
        <v>17425356</v>
      </c>
      <c r="K48" s="112">
        <v>1</v>
      </c>
      <c r="L48" s="34">
        <v>2955555.4</v>
      </c>
      <c r="M48" s="18">
        <v>121875.3</v>
      </c>
      <c r="N48" s="56">
        <v>9</v>
      </c>
      <c r="O48" s="57">
        <v>80</v>
      </c>
      <c r="P48" s="57">
        <v>812</v>
      </c>
      <c r="Q48" s="58">
        <v>7813</v>
      </c>
      <c r="R48" s="59">
        <v>80235</v>
      </c>
      <c r="S48" s="91"/>
      <c r="V48" s="100"/>
    </row>
    <row r="49" spans="1:22" s="90" customFormat="1" x14ac:dyDescent="0.15">
      <c r="A49" s="32">
        <v>42</v>
      </c>
      <c r="B49" s="26">
        <v>32067</v>
      </c>
      <c r="C49" s="76">
        <v>4</v>
      </c>
      <c r="D49" s="76">
        <v>7</v>
      </c>
      <c r="E49" s="76">
        <v>8</v>
      </c>
      <c r="F49" s="76">
        <v>0</v>
      </c>
      <c r="G49" s="76">
        <v>4</v>
      </c>
      <c r="H49" s="76">
        <v>2</v>
      </c>
      <c r="I49" s="13">
        <v>2</v>
      </c>
      <c r="J49" s="33">
        <v>17157506</v>
      </c>
      <c r="K49" s="112">
        <v>1</v>
      </c>
      <c r="L49" s="34">
        <v>1355555.4</v>
      </c>
      <c r="M49" s="18">
        <v>99458.1</v>
      </c>
      <c r="N49" s="56">
        <v>6</v>
      </c>
      <c r="O49" s="57">
        <v>72</v>
      </c>
      <c r="P49" s="57">
        <v>766</v>
      </c>
      <c r="Q49" s="58">
        <v>7810</v>
      </c>
      <c r="R49" s="59">
        <v>78146</v>
      </c>
      <c r="S49" s="91"/>
      <c r="V49" s="100"/>
    </row>
    <row r="50" spans="1:22" s="90" customFormat="1" x14ac:dyDescent="0.15">
      <c r="A50" s="32">
        <v>43</v>
      </c>
      <c r="B50" s="26">
        <v>32074</v>
      </c>
      <c r="C50" s="76">
        <v>0</v>
      </c>
      <c r="D50" s="76">
        <v>4</v>
      </c>
      <c r="E50" s="76">
        <v>7</v>
      </c>
      <c r="F50" s="76">
        <v>1</v>
      </c>
      <c r="G50" s="76">
        <v>3</v>
      </c>
      <c r="H50" s="76">
        <v>6</v>
      </c>
      <c r="I50" s="13">
        <v>6</v>
      </c>
      <c r="J50" s="33">
        <v>17334838</v>
      </c>
      <c r="K50" s="112">
        <v>1</v>
      </c>
      <c r="L50" s="34">
        <v>1355555.4</v>
      </c>
      <c r="M50" s="18">
        <v>90819.6</v>
      </c>
      <c r="N50" s="56">
        <v>1</v>
      </c>
      <c r="O50" s="57">
        <v>57</v>
      </c>
      <c r="P50" s="57">
        <v>773</v>
      </c>
      <c r="Q50" s="58">
        <v>7896</v>
      </c>
      <c r="R50" s="59">
        <v>78786</v>
      </c>
      <c r="S50" s="91"/>
      <c r="V50" s="100"/>
    </row>
    <row r="51" spans="1:22" s="90" customFormat="1" x14ac:dyDescent="0.15">
      <c r="A51" s="32">
        <v>44</v>
      </c>
      <c r="B51" s="26">
        <v>32081</v>
      </c>
      <c r="C51" s="76">
        <v>6</v>
      </c>
      <c r="D51" s="76">
        <v>0</v>
      </c>
      <c r="E51" s="76">
        <v>9</v>
      </c>
      <c r="F51" s="76">
        <v>2</v>
      </c>
      <c r="G51" s="76">
        <v>6</v>
      </c>
      <c r="H51" s="76">
        <v>8</v>
      </c>
      <c r="I51" s="13">
        <v>7</v>
      </c>
      <c r="J51" s="33">
        <v>17873168</v>
      </c>
      <c r="K51" s="159" t="s">
        <v>23</v>
      </c>
      <c r="L51" s="34"/>
      <c r="M51" s="117">
        <v>1479564.8</v>
      </c>
      <c r="N51" s="56">
        <v>12</v>
      </c>
      <c r="O51" s="57">
        <v>79</v>
      </c>
      <c r="P51" s="57">
        <v>831</v>
      </c>
      <c r="Q51" s="58">
        <v>8306</v>
      </c>
      <c r="R51" s="59">
        <v>82004</v>
      </c>
      <c r="S51" s="91"/>
      <c r="V51" s="100"/>
    </row>
    <row r="52" spans="1:22" s="90" customFormat="1" x14ac:dyDescent="0.15">
      <c r="A52" s="32">
        <v>45</v>
      </c>
      <c r="B52" s="26">
        <v>32088</v>
      </c>
      <c r="C52" s="76">
        <v>8</v>
      </c>
      <c r="D52" s="76">
        <v>8</v>
      </c>
      <c r="E52" s="76">
        <v>7</v>
      </c>
      <c r="F52" s="76">
        <v>2</v>
      </c>
      <c r="G52" s="76">
        <v>6</v>
      </c>
      <c r="H52" s="76">
        <v>5</v>
      </c>
      <c r="I52" s="13">
        <v>3</v>
      </c>
      <c r="J52" s="33">
        <v>17218170</v>
      </c>
      <c r="K52" s="112">
        <v>1</v>
      </c>
      <c r="L52" s="34">
        <v>2755555.4</v>
      </c>
      <c r="M52" s="18">
        <v>61861.2</v>
      </c>
      <c r="N52" s="56">
        <v>12</v>
      </c>
      <c r="O52" s="57">
        <v>100</v>
      </c>
      <c r="P52" s="57">
        <v>782</v>
      </c>
      <c r="Q52" s="58">
        <v>7776</v>
      </c>
      <c r="R52" s="59">
        <v>77617</v>
      </c>
      <c r="S52" s="91"/>
    </row>
    <row r="53" spans="1:22" s="90" customFormat="1" x14ac:dyDescent="0.15">
      <c r="A53" s="32">
        <v>46</v>
      </c>
      <c r="B53" s="26">
        <v>32095</v>
      </c>
      <c r="C53" s="76">
        <v>9</v>
      </c>
      <c r="D53" s="76">
        <v>9</v>
      </c>
      <c r="E53" s="76">
        <v>6</v>
      </c>
      <c r="F53" s="76">
        <v>0</v>
      </c>
      <c r="G53" s="76">
        <v>6</v>
      </c>
      <c r="H53" s="76">
        <v>2</v>
      </c>
      <c r="I53" s="13">
        <v>7</v>
      </c>
      <c r="J53" s="33">
        <v>17809388</v>
      </c>
      <c r="K53" s="159" t="s">
        <v>23</v>
      </c>
      <c r="L53" s="34"/>
      <c r="M53" s="18">
        <v>1445650.6</v>
      </c>
      <c r="N53" s="56">
        <v>9</v>
      </c>
      <c r="O53" s="57">
        <v>80</v>
      </c>
      <c r="P53" s="57">
        <v>804</v>
      </c>
      <c r="Q53" s="58">
        <v>8143</v>
      </c>
      <c r="R53" s="59">
        <v>81684</v>
      </c>
      <c r="S53" s="91"/>
    </row>
    <row r="54" spans="1:22" s="90" customFormat="1" x14ac:dyDescent="0.15">
      <c r="A54" s="32">
        <v>47</v>
      </c>
      <c r="B54" s="26">
        <v>32102</v>
      </c>
      <c r="C54" s="76">
        <v>5</v>
      </c>
      <c r="D54" s="76">
        <v>2</v>
      </c>
      <c r="E54" s="76">
        <v>1</v>
      </c>
      <c r="F54" s="76">
        <v>0</v>
      </c>
      <c r="G54" s="76">
        <v>8</v>
      </c>
      <c r="H54" s="76">
        <v>8</v>
      </c>
      <c r="I54" s="13">
        <v>8</v>
      </c>
      <c r="J54" s="33">
        <v>16984444</v>
      </c>
      <c r="K54" s="112">
        <v>4</v>
      </c>
      <c r="L54" s="34">
        <v>555555.4</v>
      </c>
      <c r="M54" s="18">
        <v>543120.30000000005</v>
      </c>
      <c r="N54" s="56">
        <v>8</v>
      </c>
      <c r="O54" s="57">
        <v>92</v>
      </c>
      <c r="P54" s="57">
        <v>779</v>
      </c>
      <c r="Q54" s="58">
        <v>7863</v>
      </c>
      <c r="R54" s="59">
        <v>76654</v>
      </c>
      <c r="S54" s="91"/>
    </row>
    <row r="55" spans="1:22" s="90" customFormat="1" x14ac:dyDescent="0.15">
      <c r="A55" s="32">
        <v>48</v>
      </c>
      <c r="B55" s="26">
        <v>32109</v>
      </c>
      <c r="C55" s="76">
        <v>5</v>
      </c>
      <c r="D55" s="76">
        <v>5</v>
      </c>
      <c r="E55" s="76">
        <v>6</v>
      </c>
      <c r="F55" s="76">
        <v>4</v>
      </c>
      <c r="G55" s="76">
        <v>5</v>
      </c>
      <c r="H55" s="76">
        <v>6</v>
      </c>
      <c r="I55" s="13">
        <v>7</v>
      </c>
      <c r="J55" s="33">
        <v>17316850</v>
      </c>
      <c r="K55" s="112">
        <v>1</v>
      </c>
      <c r="L55" s="34">
        <v>1755555.4</v>
      </c>
      <c r="M55" s="18">
        <v>133084.1</v>
      </c>
      <c r="N55" s="56">
        <v>6</v>
      </c>
      <c r="O55" s="57">
        <v>83</v>
      </c>
      <c r="P55" s="57">
        <v>792</v>
      </c>
      <c r="Q55" s="58">
        <v>7893</v>
      </c>
      <c r="R55" s="59">
        <v>79151</v>
      </c>
      <c r="S55" s="91"/>
    </row>
    <row r="56" spans="1:22" s="90" customFormat="1" x14ac:dyDescent="0.15">
      <c r="A56" s="32">
        <v>49</v>
      </c>
      <c r="B56" s="26">
        <v>32116</v>
      </c>
      <c r="C56" s="76">
        <v>1</v>
      </c>
      <c r="D56" s="76">
        <v>3</v>
      </c>
      <c r="E56" s="76">
        <v>4</v>
      </c>
      <c r="F56" s="76">
        <v>3</v>
      </c>
      <c r="G56" s="76">
        <v>9</v>
      </c>
      <c r="H56" s="76">
        <v>2</v>
      </c>
      <c r="I56" s="13">
        <v>4</v>
      </c>
      <c r="J56" s="33">
        <v>21869768</v>
      </c>
      <c r="K56" s="159" t="s">
        <v>23</v>
      </c>
      <c r="L56" s="34"/>
      <c r="M56" s="18">
        <v>1832365.1</v>
      </c>
      <c r="N56" s="56">
        <v>6</v>
      </c>
      <c r="O56" s="57">
        <v>104</v>
      </c>
      <c r="P56" s="57">
        <v>988</v>
      </c>
      <c r="Q56" s="58">
        <v>9937</v>
      </c>
      <c r="R56" s="59">
        <v>99116</v>
      </c>
      <c r="S56" s="91"/>
    </row>
    <row r="57" spans="1:22" s="90" customFormat="1" x14ac:dyDescent="0.15">
      <c r="A57" s="32">
        <v>50</v>
      </c>
      <c r="B57" s="26">
        <v>32123</v>
      </c>
      <c r="C57" s="76">
        <v>2</v>
      </c>
      <c r="D57" s="76">
        <v>1</v>
      </c>
      <c r="E57" s="76">
        <v>5</v>
      </c>
      <c r="F57" s="76">
        <v>7</v>
      </c>
      <c r="G57" s="76">
        <v>7</v>
      </c>
      <c r="H57" s="76">
        <v>0</v>
      </c>
      <c r="I57" s="13">
        <v>9</v>
      </c>
      <c r="J57" s="33">
        <v>17972626</v>
      </c>
      <c r="K57" s="112">
        <v>1</v>
      </c>
      <c r="L57" s="34">
        <v>3155555.4</v>
      </c>
      <c r="M57" s="18">
        <v>73282.7</v>
      </c>
      <c r="N57" s="56">
        <v>1</v>
      </c>
      <c r="O57" s="57">
        <v>83</v>
      </c>
      <c r="P57" s="57">
        <v>743</v>
      </c>
      <c r="Q57" s="58">
        <v>7951</v>
      </c>
      <c r="R57" s="59">
        <v>77919</v>
      </c>
      <c r="S57" s="91"/>
    </row>
    <row r="58" spans="1:22" s="90" customFormat="1" x14ac:dyDescent="0.15">
      <c r="A58" s="32">
        <v>51</v>
      </c>
      <c r="B58" s="26">
        <v>32130</v>
      </c>
      <c r="C58" s="76">
        <v>5</v>
      </c>
      <c r="D58" s="76">
        <v>6</v>
      </c>
      <c r="E58" s="76">
        <v>3</v>
      </c>
      <c r="F58" s="76">
        <v>9</v>
      </c>
      <c r="G58" s="76">
        <v>5</v>
      </c>
      <c r="H58" s="76">
        <v>2</v>
      </c>
      <c r="I58" s="13">
        <v>1</v>
      </c>
      <c r="J58" s="33">
        <v>20125640</v>
      </c>
      <c r="K58" s="159" t="s">
        <v>23</v>
      </c>
      <c r="L58" s="34"/>
      <c r="M58" s="18">
        <v>1637044.9</v>
      </c>
      <c r="N58" s="56">
        <v>11</v>
      </c>
      <c r="O58" s="57">
        <v>99</v>
      </c>
      <c r="P58" s="57">
        <v>905</v>
      </c>
      <c r="Q58" s="58">
        <v>9074</v>
      </c>
      <c r="R58" s="59">
        <v>91788</v>
      </c>
      <c r="S58" s="91"/>
    </row>
    <row r="59" spans="1:22" s="90" customFormat="1" x14ac:dyDescent="0.15">
      <c r="A59" s="32">
        <v>52</v>
      </c>
      <c r="B59" s="26">
        <v>32137</v>
      </c>
      <c r="C59" s="76">
        <v>7</v>
      </c>
      <c r="D59" s="76">
        <v>2</v>
      </c>
      <c r="E59" s="76">
        <v>9</v>
      </c>
      <c r="F59" s="76">
        <v>1</v>
      </c>
      <c r="G59" s="76">
        <v>9</v>
      </c>
      <c r="H59" s="76">
        <v>1</v>
      </c>
      <c r="I59" s="13">
        <v>6</v>
      </c>
      <c r="J59" s="33">
        <v>14019962</v>
      </c>
      <c r="K59" s="159">
        <v>2</v>
      </c>
      <c r="L59" s="34">
        <v>1355555.4</v>
      </c>
      <c r="M59" s="18">
        <v>15285.1</v>
      </c>
      <c r="N59" s="56">
        <v>7</v>
      </c>
      <c r="O59" s="57">
        <v>70</v>
      </c>
      <c r="P59" s="57">
        <v>652</v>
      </c>
      <c r="Q59" s="58">
        <v>6361</v>
      </c>
      <c r="R59" s="59">
        <v>63754</v>
      </c>
      <c r="S59" s="91"/>
    </row>
    <row r="60" spans="1:22" s="90" customFormat="1" x14ac:dyDescent="0.15">
      <c r="A60" s="32" t="s">
        <v>39</v>
      </c>
      <c r="B60" s="104">
        <v>32144</v>
      </c>
      <c r="C60" s="76">
        <v>1</v>
      </c>
      <c r="D60" s="76">
        <v>8</v>
      </c>
      <c r="E60" s="76">
        <v>4</v>
      </c>
      <c r="F60" s="76">
        <v>9</v>
      </c>
      <c r="G60" s="76">
        <v>8</v>
      </c>
      <c r="H60" s="14">
        <v>7</v>
      </c>
      <c r="I60" s="13">
        <v>9</v>
      </c>
      <c r="J60" s="33">
        <v>13813582</v>
      </c>
      <c r="K60" s="112">
        <v>2</v>
      </c>
      <c r="L60" s="34">
        <v>355555.4</v>
      </c>
      <c r="M60" s="85">
        <v>377489.6</v>
      </c>
      <c r="N60" s="218">
        <v>5</v>
      </c>
      <c r="O60" s="57">
        <v>67</v>
      </c>
      <c r="P60" s="219">
        <v>647</v>
      </c>
      <c r="Q60" s="58">
        <v>6400</v>
      </c>
      <c r="R60" s="139">
        <v>62499</v>
      </c>
      <c r="S60" s="91"/>
    </row>
    <row r="61" spans="1:22" s="90" customFormat="1" x14ac:dyDescent="0.15">
      <c r="A61" s="101"/>
      <c r="B61" s="265"/>
      <c r="C61" s="97"/>
      <c r="D61" s="97"/>
      <c r="E61" s="97"/>
      <c r="F61" s="97"/>
      <c r="G61" s="97"/>
      <c r="H61" s="97" t="s">
        <v>24</v>
      </c>
      <c r="I61" s="97"/>
      <c r="J61" s="97"/>
      <c r="K61" s="262">
        <f>SUM(K8:K60)</f>
        <v>46</v>
      </c>
      <c r="L61" s="262"/>
      <c r="M61" s="262"/>
      <c r="N61" s="262">
        <f>SUM(N8:N60)</f>
        <v>361</v>
      </c>
      <c r="O61" s="262">
        <f>SUM(O8:O60)</f>
        <v>3745</v>
      </c>
      <c r="P61" s="262">
        <f>SUM(P8:P60)</f>
        <v>36861</v>
      </c>
      <c r="Q61" s="262">
        <f>SUM(Q8:Q60)</f>
        <v>369950</v>
      </c>
      <c r="R61" s="268">
        <f>SUM(R8:R60)</f>
        <v>3680891</v>
      </c>
      <c r="S61" s="91"/>
    </row>
    <row r="62" spans="1:22" s="90" customFormat="1" x14ac:dyDescent="0.15">
      <c r="A62" s="81"/>
      <c r="B62" s="82"/>
      <c r="C62" s="76"/>
      <c r="D62" s="76"/>
      <c r="E62" s="76"/>
      <c r="F62" s="76"/>
      <c r="G62" s="76"/>
      <c r="H62" s="76"/>
      <c r="I62" s="76"/>
      <c r="J62" s="83"/>
      <c r="K62" s="77"/>
      <c r="L62" s="8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103"/>
      <c r="D64" s="103"/>
      <c r="E64" s="103"/>
      <c r="F64" s="103"/>
      <c r="G64" s="103"/>
      <c r="H64" s="103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82"/>
      <c r="C65" s="92"/>
      <c r="D65" s="92"/>
      <c r="E65" s="92"/>
      <c r="F65" s="92"/>
      <c r="G65" s="92"/>
      <c r="H65" s="92"/>
      <c r="I65" s="92"/>
      <c r="J65" s="83"/>
      <c r="K65" s="77"/>
      <c r="L65" s="94"/>
      <c r="M65" s="85"/>
      <c r="N65" s="86"/>
      <c r="O65" s="87"/>
      <c r="P65" s="87"/>
      <c r="Q65" s="88"/>
      <c r="R65" s="89"/>
      <c r="S65" s="91"/>
    </row>
    <row r="66" spans="1:22" s="90" customFormat="1" x14ac:dyDescent="0.15">
      <c r="A66" s="81"/>
      <c r="B66" s="92"/>
      <c r="C66" s="92"/>
      <c r="D66" s="92"/>
      <c r="E66" s="92"/>
      <c r="F66" s="92"/>
      <c r="G66" s="92"/>
      <c r="H66" s="92"/>
      <c r="I66" s="92"/>
      <c r="J66" s="92"/>
      <c r="K66" s="93"/>
      <c r="L66" s="93"/>
      <c r="M66" s="93"/>
      <c r="N66" s="93"/>
      <c r="O66" s="93"/>
      <c r="P66" s="93"/>
      <c r="Q66" s="93"/>
      <c r="R66" s="93"/>
      <c r="S66" s="91"/>
      <c r="V66" s="111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  <row r="174" spans="12:12" s="90" customFormat="1" x14ac:dyDescent="0.15">
      <c r="L174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3"/>
  <sheetViews>
    <sheetView workbookViewId="0">
      <pane ySplit="7" topLeftCell="A35" activePane="bottomLeft" state="frozenSplit"/>
      <selection activeCell="A62" sqref="A62:IV62"/>
      <selection pane="bottomLeft" activeCell="F63" sqref="F63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46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/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1988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19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43</v>
      </c>
      <c r="L6" s="209"/>
      <c r="M6" s="14" t="s">
        <v>14</v>
      </c>
      <c r="N6" s="75" t="s">
        <v>33</v>
      </c>
      <c r="O6" s="75" t="s">
        <v>34</v>
      </c>
      <c r="P6" s="75" t="s">
        <v>35</v>
      </c>
      <c r="Q6" s="75" t="s">
        <v>36</v>
      </c>
      <c r="R6" s="75" t="s">
        <v>37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32">
        <v>1</v>
      </c>
      <c r="B8" s="26">
        <v>32151</v>
      </c>
      <c r="C8" s="76">
        <v>4</v>
      </c>
      <c r="D8" s="76">
        <v>3</v>
      </c>
      <c r="E8" s="76">
        <v>9</v>
      </c>
      <c r="F8" s="76">
        <v>0</v>
      </c>
      <c r="G8" s="76">
        <v>8</v>
      </c>
      <c r="H8" s="76">
        <v>9</v>
      </c>
      <c r="I8" s="13">
        <v>9</v>
      </c>
      <c r="J8" s="33">
        <v>15191294</v>
      </c>
      <c r="K8" s="159" t="s">
        <v>23</v>
      </c>
      <c r="L8" s="34"/>
      <c r="M8" s="18">
        <v>1557853.1</v>
      </c>
      <c r="N8" s="56">
        <v>5</v>
      </c>
      <c r="O8" s="57">
        <v>56</v>
      </c>
      <c r="P8" s="57">
        <v>688</v>
      </c>
      <c r="Q8" s="58">
        <v>6831</v>
      </c>
      <c r="R8" s="59">
        <v>67945</v>
      </c>
      <c r="V8" s="4"/>
    </row>
    <row r="9" spans="1:22" x14ac:dyDescent="0.15">
      <c r="A9" s="32">
        <v>2</v>
      </c>
      <c r="B9" s="26">
        <v>32158</v>
      </c>
      <c r="C9" s="76">
        <v>4</v>
      </c>
      <c r="D9" s="76">
        <v>8</v>
      </c>
      <c r="E9" s="76">
        <v>8</v>
      </c>
      <c r="F9" s="76">
        <v>9</v>
      </c>
      <c r="G9" s="76">
        <v>6</v>
      </c>
      <c r="H9" s="76">
        <v>7</v>
      </c>
      <c r="I9" s="13">
        <v>4</v>
      </c>
      <c r="J9" s="33">
        <v>15214478</v>
      </c>
      <c r="K9" s="77">
        <v>2</v>
      </c>
      <c r="L9" s="34">
        <v>1355555.4</v>
      </c>
      <c r="M9" s="18">
        <v>28907.200000000001</v>
      </c>
      <c r="N9" s="56">
        <v>3</v>
      </c>
      <c r="O9" s="57">
        <v>68</v>
      </c>
      <c r="P9" s="57">
        <v>719</v>
      </c>
      <c r="Q9" s="58">
        <v>6904</v>
      </c>
      <c r="R9" s="59">
        <v>69023</v>
      </c>
      <c r="V9" s="4"/>
    </row>
    <row r="10" spans="1:22" x14ac:dyDescent="0.15">
      <c r="A10" s="32">
        <v>3</v>
      </c>
      <c r="B10" s="26">
        <v>32165</v>
      </c>
      <c r="C10" s="76">
        <v>4</v>
      </c>
      <c r="D10" s="76">
        <v>6</v>
      </c>
      <c r="E10" s="76">
        <v>5</v>
      </c>
      <c r="F10" s="76">
        <v>6</v>
      </c>
      <c r="G10" s="76">
        <v>3</v>
      </c>
      <c r="H10" s="76">
        <v>4</v>
      </c>
      <c r="I10" s="13">
        <v>5</v>
      </c>
      <c r="J10" s="33">
        <v>24027896</v>
      </c>
      <c r="K10" s="77">
        <v>1</v>
      </c>
      <c r="L10" s="34">
        <v>1755555.4</v>
      </c>
      <c r="M10" s="18">
        <v>140319.29999999999</v>
      </c>
      <c r="N10" s="56">
        <v>10</v>
      </c>
      <c r="O10" s="57">
        <v>106</v>
      </c>
      <c r="P10" s="57">
        <v>1082</v>
      </c>
      <c r="Q10" s="58">
        <v>10821</v>
      </c>
      <c r="R10" s="59">
        <v>107129</v>
      </c>
      <c r="V10" s="4"/>
    </row>
    <row r="11" spans="1:22" x14ac:dyDescent="0.15">
      <c r="A11" s="32">
        <v>4</v>
      </c>
      <c r="B11" s="26">
        <v>32172</v>
      </c>
      <c r="C11" s="76">
        <v>0</v>
      </c>
      <c r="D11" s="76">
        <v>0</v>
      </c>
      <c r="E11" s="76">
        <v>2</v>
      </c>
      <c r="F11" s="76">
        <v>3</v>
      </c>
      <c r="G11" s="76">
        <v>1</v>
      </c>
      <c r="H11" s="76">
        <v>2</v>
      </c>
      <c r="I11" s="13">
        <v>6</v>
      </c>
      <c r="J11" s="33">
        <v>17256000</v>
      </c>
      <c r="K11" s="77">
        <v>1</v>
      </c>
      <c r="L11" s="34">
        <v>1355555.4</v>
      </c>
      <c r="M11" s="18">
        <v>125555.1</v>
      </c>
      <c r="N11" s="56">
        <v>9</v>
      </c>
      <c r="O11" s="57">
        <v>99</v>
      </c>
      <c r="P11" s="57">
        <v>813</v>
      </c>
      <c r="Q11" s="58">
        <v>8091</v>
      </c>
      <c r="R11" s="59">
        <v>79956</v>
      </c>
      <c r="V11" s="4"/>
    </row>
    <row r="12" spans="1:22" x14ac:dyDescent="0.15">
      <c r="A12" s="32">
        <v>5</v>
      </c>
      <c r="B12" s="26">
        <v>32179</v>
      </c>
      <c r="C12" s="76">
        <v>0</v>
      </c>
      <c r="D12" s="76">
        <v>5</v>
      </c>
      <c r="E12" s="76">
        <v>5</v>
      </c>
      <c r="F12" s="76">
        <v>5</v>
      </c>
      <c r="G12" s="76">
        <v>7</v>
      </c>
      <c r="H12" s="76">
        <v>5</v>
      </c>
      <c r="I12" s="13">
        <v>0</v>
      </c>
      <c r="J12" s="33">
        <v>17063050</v>
      </c>
      <c r="K12" s="159" t="s">
        <v>23</v>
      </c>
      <c r="L12" s="34"/>
      <c r="M12" s="18">
        <v>1451354.1</v>
      </c>
      <c r="N12" s="56">
        <v>7</v>
      </c>
      <c r="O12" s="57">
        <v>72</v>
      </c>
      <c r="P12" s="57">
        <v>794</v>
      </c>
      <c r="Q12" s="58">
        <v>7734</v>
      </c>
      <c r="R12" s="59">
        <v>75434</v>
      </c>
      <c r="V12" s="4"/>
    </row>
    <row r="13" spans="1:22" x14ac:dyDescent="0.15">
      <c r="A13" s="32">
        <v>6</v>
      </c>
      <c r="B13" s="26">
        <v>32186</v>
      </c>
      <c r="C13" s="76">
        <v>8</v>
      </c>
      <c r="D13" s="76">
        <v>0</v>
      </c>
      <c r="E13" s="76">
        <v>0</v>
      </c>
      <c r="F13" s="76">
        <v>4</v>
      </c>
      <c r="G13" s="76">
        <v>6</v>
      </c>
      <c r="H13" s="76">
        <v>5</v>
      </c>
      <c r="I13" s="13">
        <v>3</v>
      </c>
      <c r="J13" s="33">
        <v>20638802</v>
      </c>
      <c r="K13" s="77">
        <v>2</v>
      </c>
      <c r="L13" s="34">
        <v>1355555.4</v>
      </c>
      <c r="M13" s="18">
        <v>343878.2</v>
      </c>
      <c r="N13" s="56">
        <v>12</v>
      </c>
      <c r="O13" s="57">
        <v>87</v>
      </c>
      <c r="P13" s="57">
        <v>942</v>
      </c>
      <c r="Q13" s="58">
        <v>9169</v>
      </c>
      <c r="R13" s="59">
        <v>91067</v>
      </c>
      <c r="V13" s="4"/>
    </row>
    <row r="14" spans="1:22" x14ac:dyDescent="0.15">
      <c r="A14" s="32">
        <v>7</v>
      </c>
      <c r="B14" s="26">
        <v>32193</v>
      </c>
      <c r="C14" s="76">
        <v>7</v>
      </c>
      <c r="D14" s="76">
        <v>0</v>
      </c>
      <c r="E14" s="76">
        <v>5</v>
      </c>
      <c r="F14" s="76">
        <v>5</v>
      </c>
      <c r="G14" s="76">
        <v>7</v>
      </c>
      <c r="H14" s="76">
        <v>0</v>
      </c>
      <c r="I14" s="13">
        <v>3</v>
      </c>
      <c r="J14" s="33">
        <v>16338000</v>
      </c>
      <c r="K14" s="159" t="s">
        <v>23</v>
      </c>
      <c r="L14" s="34"/>
      <c r="M14" s="18">
        <v>1613340.8</v>
      </c>
      <c r="N14" s="56">
        <v>10</v>
      </c>
      <c r="O14" s="57">
        <v>64</v>
      </c>
      <c r="P14" s="57">
        <v>692</v>
      </c>
      <c r="Q14" s="58">
        <v>7005</v>
      </c>
      <c r="R14" s="59">
        <v>69509</v>
      </c>
      <c r="V14" s="4"/>
    </row>
    <row r="15" spans="1:22" x14ac:dyDescent="0.15">
      <c r="A15" s="32">
        <v>8</v>
      </c>
      <c r="B15" s="26">
        <v>32200</v>
      </c>
      <c r="C15" s="76">
        <v>0</v>
      </c>
      <c r="D15" s="76">
        <v>8</v>
      </c>
      <c r="E15" s="76">
        <v>6</v>
      </c>
      <c r="F15" s="76">
        <v>9</v>
      </c>
      <c r="G15" s="76">
        <v>2</v>
      </c>
      <c r="H15" s="76">
        <v>0</v>
      </c>
      <c r="I15" s="13">
        <v>6</v>
      </c>
      <c r="J15" s="33">
        <v>15958582</v>
      </c>
      <c r="K15" s="159" t="s">
        <v>23</v>
      </c>
      <c r="L15" s="34"/>
      <c r="M15" s="18">
        <v>2853322.6</v>
      </c>
      <c r="N15" s="56">
        <v>3</v>
      </c>
      <c r="O15" s="57">
        <v>76</v>
      </c>
      <c r="P15" s="57">
        <v>684</v>
      </c>
      <c r="Q15" s="58">
        <v>7118</v>
      </c>
      <c r="R15" s="59">
        <v>68624</v>
      </c>
      <c r="V15" s="4"/>
    </row>
    <row r="16" spans="1:22" x14ac:dyDescent="0.15">
      <c r="A16" s="32">
        <v>9</v>
      </c>
      <c r="B16" s="26">
        <v>32207</v>
      </c>
      <c r="C16" s="76">
        <v>4</v>
      </c>
      <c r="D16" s="76">
        <v>0</v>
      </c>
      <c r="E16" s="76">
        <v>7</v>
      </c>
      <c r="F16" s="76">
        <v>2</v>
      </c>
      <c r="G16" s="76">
        <v>0</v>
      </c>
      <c r="H16" s="76">
        <v>6</v>
      </c>
      <c r="I16" s="13">
        <v>7</v>
      </c>
      <c r="J16" s="33">
        <v>18773470</v>
      </c>
      <c r="K16" s="77">
        <v>3</v>
      </c>
      <c r="L16" s="34">
        <v>1355555.4</v>
      </c>
      <c r="M16" s="18">
        <v>245355</v>
      </c>
      <c r="N16" s="56">
        <v>11</v>
      </c>
      <c r="O16" s="57">
        <v>78</v>
      </c>
      <c r="P16" s="57">
        <v>832</v>
      </c>
      <c r="Q16" s="58">
        <v>8741</v>
      </c>
      <c r="R16" s="59">
        <v>85044</v>
      </c>
      <c r="V16" s="4"/>
    </row>
    <row r="17" spans="1:22" x14ac:dyDescent="0.15">
      <c r="A17" s="32">
        <v>10</v>
      </c>
      <c r="B17" s="26">
        <v>32214</v>
      </c>
      <c r="C17" s="76">
        <v>8</v>
      </c>
      <c r="D17" s="76">
        <v>7</v>
      </c>
      <c r="E17" s="76">
        <v>2</v>
      </c>
      <c r="F17" s="76">
        <v>2</v>
      </c>
      <c r="G17" s="76">
        <v>6</v>
      </c>
      <c r="H17" s="76">
        <v>8</v>
      </c>
      <c r="I17" s="13">
        <v>1</v>
      </c>
      <c r="J17" s="33">
        <v>15895086</v>
      </c>
      <c r="K17" s="159" t="s">
        <v>23</v>
      </c>
      <c r="L17" s="34"/>
      <c r="M17" s="18">
        <v>1480403.2</v>
      </c>
      <c r="N17" s="56">
        <v>7</v>
      </c>
      <c r="O17" s="57">
        <v>62</v>
      </c>
      <c r="P17" s="57">
        <v>720</v>
      </c>
      <c r="Q17" s="58">
        <v>7091</v>
      </c>
      <c r="R17" s="59">
        <v>71090</v>
      </c>
      <c r="V17" s="4"/>
    </row>
    <row r="18" spans="1:22" x14ac:dyDescent="0.15">
      <c r="A18" s="32">
        <v>11</v>
      </c>
      <c r="B18" s="26">
        <v>32221</v>
      </c>
      <c r="C18" s="76">
        <v>4</v>
      </c>
      <c r="D18" s="76">
        <v>6</v>
      </c>
      <c r="E18" s="76">
        <v>7</v>
      </c>
      <c r="F18" s="76">
        <v>0</v>
      </c>
      <c r="G18" s="76">
        <v>2</v>
      </c>
      <c r="H18" s="76">
        <v>8</v>
      </c>
      <c r="I18" s="13">
        <v>4</v>
      </c>
      <c r="J18" s="33">
        <v>15612448</v>
      </c>
      <c r="K18" s="77">
        <v>1</v>
      </c>
      <c r="L18" s="34">
        <v>2555555.4</v>
      </c>
      <c r="M18" s="18">
        <v>137935</v>
      </c>
      <c r="N18" s="56">
        <v>12</v>
      </c>
      <c r="O18" s="57">
        <v>82</v>
      </c>
      <c r="P18" s="57">
        <v>744</v>
      </c>
      <c r="Q18" s="58">
        <v>6959</v>
      </c>
      <c r="R18" s="59">
        <v>70325</v>
      </c>
      <c r="V18" s="4"/>
    </row>
    <row r="19" spans="1:22" x14ac:dyDescent="0.15">
      <c r="A19" s="32">
        <v>12</v>
      </c>
      <c r="B19" s="26">
        <v>32228</v>
      </c>
      <c r="C19" s="76">
        <v>1</v>
      </c>
      <c r="D19" s="76">
        <v>1</v>
      </c>
      <c r="E19" s="76">
        <v>9</v>
      </c>
      <c r="F19" s="76">
        <v>8</v>
      </c>
      <c r="G19" s="76">
        <v>9</v>
      </c>
      <c r="H19" s="76">
        <v>9</v>
      </c>
      <c r="I19" s="13">
        <v>9</v>
      </c>
      <c r="J19" s="33">
        <v>15373054</v>
      </c>
      <c r="K19" s="77">
        <v>1</v>
      </c>
      <c r="L19" s="34">
        <v>1155555.3999999999</v>
      </c>
      <c r="M19" s="18">
        <v>176865.9</v>
      </c>
      <c r="N19" s="56">
        <v>9</v>
      </c>
      <c r="O19" s="57">
        <v>66</v>
      </c>
      <c r="P19" s="57">
        <v>639</v>
      </c>
      <c r="Q19" s="58">
        <v>6647</v>
      </c>
      <c r="R19" s="59">
        <v>68232</v>
      </c>
      <c r="V19" s="4"/>
    </row>
    <row r="20" spans="1:22" x14ac:dyDescent="0.15">
      <c r="A20" s="32">
        <v>13</v>
      </c>
      <c r="B20" s="26">
        <v>32235</v>
      </c>
      <c r="C20" s="76">
        <v>0</v>
      </c>
      <c r="D20" s="76">
        <v>9</v>
      </c>
      <c r="E20" s="76">
        <v>8</v>
      </c>
      <c r="F20" s="76">
        <v>2</v>
      </c>
      <c r="G20" s="76">
        <v>9</v>
      </c>
      <c r="H20" s="76">
        <v>4</v>
      </c>
      <c r="I20" s="13">
        <v>2</v>
      </c>
      <c r="J20" s="33">
        <v>14898522</v>
      </c>
      <c r="K20" s="77">
        <v>1</v>
      </c>
      <c r="L20" s="34">
        <v>1155555.3999999999</v>
      </c>
      <c r="M20" s="18">
        <v>178925.1</v>
      </c>
      <c r="N20" s="56">
        <v>9</v>
      </c>
      <c r="O20" s="57">
        <v>86</v>
      </c>
      <c r="P20" s="57">
        <v>670</v>
      </c>
      <c r="Q20" s="58">
        <v>6741</v>
      </c>
      <c r="R20" s="59">
        <v>68113</v>
      </c>
      <c r="V20" s="4"/>
    </row>
    <row r="21" spans="1:22" x14ac:dyDescent="0.15">
      <c r="A21" s="32">
        <v>14</v>
      </c>
      <c r="B21" s="26">
        <v>32242</v>
      </c>
      <c r="C21" s="76">
        <v>7</v>
      </c>
      <c r="D21" s="76">
        <v>1</v>
      </c>
      <c r="E21" s="76">
        <v>8</v>
      </c>
      <c r="F21" s="76">
        <v>0</v>
      </c>
      <c r="G21" s="76">
        <v>9</v>
      </c>
      <c r="H21" s="76">
        <v>4</v>
      </c>
      <c r="I21" s="13">
        <v>2</v>
      </c>
      <c r="J21" s="33">
        <v>14781994</v>
      </c>
      <c r="K21" s="159" t="s">
        <v>23</v>
      </c>
      <c r="L21" s="34"/>
      <c r="M21" s="18">
        <v>1327486</v>
      </c>
      <c r="N21" s="56">
        <v>11</v>
      </c>
      <c r="O21" s="57">
        <v>72</v>
      </c>
      <c r="P21" s="57">
        <v>630</v>
      </c>
      <c r="Q21" s="58">
        <v>6351</v>
      </c>
      <c r="R21" s="59">
        <v>64619</v>
      </c>
      <c r="V21" s="4"/>
    </row>
    <row r="22" spans="1:22" x14ac:dyDescent="0.15">
      <c r="A22" s="32">
        <v>15</v>
      </c>
      <c r="B22" s="26">
        <v>32249</v>
      </c>
      <c r="C22" s="76">
        <v>0</v>
      </c>
      <c r="D22" s="76">
        <v>8</v>
      </c>
      <c r="E22" s="76">
        <v>8</v>
      </c>
      <c r="F22" s="76">
        <v>0</v>
      </c>
      <c r="G22" s="76">
        <v>4</v>
      </c>
      <c r="H22" s="76">
        <v>9</v>
      </c>
      <c r="I22" s="13">
        <v>0</v>
      </c>
      <c r="J22" s="33">
        <v>15043776</v>
      </c>
      <c r="K22" s="77">
        <v>3</v>
      </c>
      <c r="L22" s="34">
        <v>755555.4</v>
      </c>
      <c r="M22" s="18">
        <v>229721.1</v>
      </c>
      <c r="N22" s="56">
        <v>5</v>
      </c>
      <c r="O22" s="57">
        <v>72</v>
      </c>
      <c r="P22" s="57">
        <v>627</v>
      </c>
      <c r="Q22" s="58">
        <v>6589</v>
      </c>
      <c r="R22" s="59">
        <v>65657</v>
      </c>
      <c r="V22" s="4"/>
    </row>
    <row r="23" spans="1:22" x14ac:dyDescent="0.15">
      <c r="A23" s="32">
        <v>16</v>
      </c>
      <c r="B23" s="26">
        <v>32256</v>
      </c>
      <c r="C23" s="76">
        <v>5</v>
      </c>
      <c r="D23" s="76">
        <v>6</v>
      </c>
      <c r="E23" s="76">
        <v>2</v>
      </c>
      <c r="F23" s="76">
        <v>7</v>
      </c>
      <c r="G23" s="76">
        <v>3</v>
      </c>
      <c r="H23" s="76">
        <v>9</v>
      </c>
      <c r="I23" s="13">
        <v>8</v>
      </c>
      <c r="J23" s="33">
        <v>14696478</v>
      </c>
      <c r="K23" s="77">
        <v>1</v>
      </c>
      <c r="L23" s="34">
        <v>1355555.4</v>
      </c>
      <c r="M23" s="18">
        <v>16082</v>
      </c>
      <c r="N23" s="56">
        <v>8</v>
      </c>
      <c r="O23" s="57">
        <v>61</v>
      </c>
      <c r="P23" s="57">
        <v>641</v>
      </c>
      <c r="Q23" s="58">
        <v>6792</v>
      </c>
      <c r="R23" s="59">
        <v>65977</v>
      </c>
      <c r="V23" s="4"/>
    </row>
    <row r="24" spans="1:22" x14ac:dyDescent="0.15">
      <c r="A24" s="32">
        <v>17</v>
      </c>
      <c r="B24" s="26">
        <v>32263</v>
      </c>
      <c r="C24" s="76">
        <v>5</v>
      </c>
      <c r="D24" s="76">
        <v>7</v>
      </c>
      <c r="E24" s="76">
        <v>2</v>
      </c>
      <c r="F24" s="76">
        <v>0</v>
      </c>
      <c r="G24" s="76">
        <v>0</v>
      </c>
      <c r="H24" s="76">
        <v>7</v>
      </c>
      <c r="I24" s="13">
        <v>9</v>
      </c>
      <c r="J24" s="33">
        <v>14966352</v>
      </c>
      <c r="K24" s="77">
        <v>1</v>
      </c>
      <c r="L24" s="34">
        <v>1155555.3999999999</v>
      </c>
      <c r="M24" s="18">
        <v>23412.1</v>
      </c>
      <c r="N24" s="56">
        <v>5</v>
      </c>
      <c r="O24" s="57">
        <v>70</v>
      </c>
      <c r="P24" s="57">
        <v>673</v>
      </c>
      <c r="Q24" s="58">
        <v>6637</v>
      </c>
      <c r="R24" s="59">
        <v>68258</v>
      </c>
      <c r="V24" s="4"/>
    </row>
    <row r="25" spans="1:22" x14ac:dyDescent="0.15">
      <c r="A25" s="32">
        <v>18</v>
      </c>
      <c r="B25" s="26">
        <v>32270</v>
      </c>
      <c r="C25" s="76">
        <v>2</v>
      </c>
      <c r="D25" s="76">
        <v>0</v>
      </c>
      <c r="E25" s="76">
        <v>5</v>
      </c>
      <c r="F25" s="76">
        <v>2</v>
      </c>
      <c r="G25" s="76">
        <v>7</v>
      </c>
      <c r="H25" s="76">
        <v>3</v>
      </c>
      <c r="I25" s="13">
        <v>4</v>
      </c>
      <c r="J25" s="33">
        <v>14649536</v>
      </c>
      <c r="K25" s="159" t="s">
        <v>23</v>
      </c>
      <c r="L25" s="34"/>
      <c r="M25" s="18">
        <v>1161681</v>
      </c>
      <c r="N25" s="56">
        <v>5</v>
      </c>
      <c r="O25" s="57">
        <v>66</v>
      </c>
      <c r="P25" s="57">
        <v>703</v>
      </c>
      <c r="Q25" s="58">
        <v>6723</v>
      </c>
      <c r="R25" s="59">
        <v>66592</v>
      </c>
      <c r="V25" s="4"/>
    </row>
    <row r="26" spans="1:22" x14ac:dyDescent="0.15">
      <c r="A26" s="32">
        <v>19</v>
      </c>
      <c r="B26" s="26">
        <v>32277</v>
      </c>
      <c r="C26" s="76">
        <v>4</v>
      </c>
      <c r="D26" s="76">
        <v>3</v>
      </c>
      <c r="E26" s="76">
        <v>7</v>
      </c>
      <c r="F26" s="76">
        <v>1</v>
      </c>
      <c r="G26" s="76">
        <v>4</v>
      </c>
      <c r="H26" s="76">
        <v>0</v>
      </c>
      <c r="I26" s="13">
        <v>7</v>
      </c>
      <c r="J26" s="33">
        <v>14325566</v>
      </c>
      <c r="K26" s="77">
        <v>2</v>
      </c>
      <c r="L26" s="34">
        <v>955555.4</v>
      </c>
      <c r="M26" s="18">
        <v>363666.6</v>
      </c>
      <c r="N26" s="56">
        <v>4</v>
      </c>
      <c r="O26" s="57">
        <v>73</v>
      </c>
      <c r="P26" s="57">
        <v>625</v>
      </c>
      <c r="Q26" s="58">
        <v>6325</v>
      </c>
      <c r="R26" s="59">
        <v>63657</v>
      </c>
      <c r="V26" s="4"/>
    </row>
    <row r="27" spans="1:22" x14ac:dyDescent="0.15">
      <c r="A27" s="32">
        <v>20</v>
      </c>
      <c r="B27" s="26">
        <v>32284</v>
      </c>
      <c r="C27" s="76">
        <v>6</v>
      </c>
      <c r="D27" s="76">
        <v>3</v>
      </c>
      <c r="E27" s="76">
        <v>1</v>
      </c>
      <c r="F27" s="76">
        <v>6</v>
      </c>
      <c r="G27" s="76">
        <v>6</v>
      </c>
      <c r="H27" s="76">
        <v>6</v>
      </c>
      <c r="I27" s="13">
        <v>3</v>
      </c>
      <c r="J27" s="33">
        <v>14567680</v>
      </c>
      <c r="K27" s="159" t="s">
        <v>23</v>
      </c>
      <c r="L27" s="34"/>
      <c r="M27" s="18">
        <v>1495575.3</v>
      </c>
      <c r="N27" s="56">
        <v>9</v>
      </c>
      <c r="O27" s="57">
        <v>61</v>
      </c>
      <c r="P27" s="57">
        <v>665</v>
      </c>
      <c r="Q27" s="58">
        <v>6567</v>
      </c>
      <c r="R27" s="59">
        <v>65607</v>
      </c>
      <c r="V27" s="4"/>
    </row>
    <row r="28" spans="1:22" x14ac:dyDescent="0.15">
      <c r="A28" s="32">
        <v>21</v>
      </c>
      <c r="B28" s="26">
        <v>32291</v>
      </c>
      <c r="C28" s="76">
        <v>2</v>
      </c>
      <c r="D28" s="76">
        <v>7</v>
      </c>
      <c r="E28" s="76">
        <v>1</v>
      </c>
      <c r="F28" s="76">
        <v>1</v>
      </c>
      <c r="G28" s="76">
        <v>4</v>
      </c>
      <c r="H28" s="76">
        <v>6</v>
      </c>
      <c r="I28" s="13">
        <v>7</v>
      </c>
      <c r="J28" s="33">
        <v>14017742</v>
      </c>
      <c r="K28" s="159" t="s">
        <v>23</v>
      </c>
      <c r="L28" s="34"/>
      <c r="M28" s="18">
        <v>2584753.7999999998</v>
      </c>
      <c r="N28" s="56">
        <v>5</v>
      </c>
      <c r="O28" s="57">
        <v>55</v>
      </c>
      <c r="P28" s="57">
        <v>631</v>
      </c>
      <c r="Q28" s="58">
        <v>6431</v>
      </c>
      <c r="R28" s="59">
        <v>62697</v>
      </c>
      <c r="V28" s="4"/>
    </row>
    <row r="29" spans="1:22" x14ac:dyDescent="0.15">
      <c r="A29" s="32">
        <v>22</v>
      </c>
      <c r="B29" s="26">
        <v>32298</v>
      </c>
      <c r="C29" s="76">
        <v>7</v>
      </c>
      <c r="D29" s="76">
        <v>4</v>
      </c>
      <c r="E29" s="76">
        <v>6</v>
      </c>
      <c r="F29" s="76">
        <v>8</v>
      </c>
      <c r="G29" s="76">
        <v>8</v>
      </c>
      <c r="H29" s="76">
        <v>5</v>
      </c>
      <c r="I29" s="13">
        <v>6</v>
      </c>
      <c r="J29" s="33">
        <v>14248534</v>
      </c>
      <c r="K29" s="77">
        <v>1</v>
      </c>
      <c r="L29" s="34">
        <v>3555555.4</v>
      </c>
      <c r="M29" s="18">
        <v>136309.4</v>
      </c>
      <c r="N29" s="56">
        <v>3</v>
      </c>
      <c r="O29" s="57">
        <v>63</v>
      </c>
      <c r="P29" s="57">
        <v>670</v>
      </c>
      <c r="Q29" s="58">
        <v>6601</v>
      </c>
      <c r="R29" s="59">
        <v>65576</v>
      </c>
      <c r="V29" s="4"/>
    </row>
    <row r="30" spans="1:22" x14ac:dyDescent="0.15">
      <c r="A30" s="32">
        <v>23</v>
      </c>
      <c r="B30" s="26">
        <v>32305</v>
      </c>
      <c r="C30" s="76">
        <v>5</v>
      </c>
      <c r="D30" s="76">
        <v>0</v>
      </c>
      <c r="E30" s="76">
        <v>7</v>
      </c>
      <c r="F30" s="76">
        <v>9</v>
      </c>
      <c r="G30" s="76">
        <v>3</v>
      </c>
      <c r="H30" s="76">
        <v>1</v>
      </c>
      <c r="I30" s="13">
        <v>1</v>
      </c>
      <c r="J30" s="33">
        <v>14727132</v>
      </c>
      <c r="K30" s="77">
        <v>1</v>
      </c>
      <c r="L30" s="34">
        <v>1155555.3999999999</v>
      </c>
      <c r="M30" s="18">
        <v>125052.1</v>
      </c>
      <c r="N30" s="56">
        <v>4</v>
      </c>
      <c r="O30" s="57">
        <v>61</v>
      </c>
      <c r="P30" s="57">
        <v>623</v>
      </c>
      <c r="Q30" s="58">
        <v>6622</v>
      </c>
      <c r="R30" s="59">
        <v>66051</v>
      </c>
      <c r="V30" s="4"/>
    </row>
    <row r="31" spans="1:22" x14ac:dyDescent="0.15">
      <c r="A31" s="32">
        <v>24</v>
      </c>
      <c r="B31" s="26">
        <v>32312</v>
      </c>
      <c r="C31" s="76">
        <v>5</v>
      </c>
      <c r="D31" s="76">
        <v>1</v>
      </c>
      <c r="E31" s="76">
        <v>2</v>
      </c>
      <c r="F31" s="76">
        <v>3</v>
      </c>
      <c r="G31" s="76">
        <v>0</v>
      </c>
      <c r="H31" s="76">
        <v>7</v>
      </c>
      <c r="I31" s="13">
        <v>8</v>
      </c>
      <c r="J31" s="33">
        <v>13443942</v>
      </c>
      <c r="K31" s="159" t="s">
        <v>23</v>
      </c>
      <c r="L31" s="34"/>
      <c r="M31" s="18">
        <v>1169646.3</v>
      </c>
      <c r="N31" s="56">
        <v>3</v>
      </c>
      <c r="O31" s="57">
        <v>66</v>
      </c>
      <c r="P31" s="57">
        <v>568</v>
      </c>
      <c r="Q31" s="58">
        <v>5933</v>
      </c>
      <c r="R31" s="59">
        <v>62255</v>
      </c>
      <c r="V31" s="4"/>
    </row>
    <row r="32" spans="1:22" x14ac:dyDescent="0.15">
      <c r="A32" s="32">
        <v>25</v>
      </c>
      <c r="B32" s="26">
        <v>32319</v>
      </c>
      <c r="C32" s="76">
        <v>9</v>
      </c>
      <c r="D32" s="76">
        <v>8</v>
      </c>
      <c r="E32" s="76">
        <v>7</v>
      </c>
      <c r="F32" s="76">
        <v>5</v>
      </c>
      <c r="G32" s="76">
        <v>1</v>
      </c>
      <c r="H32" s="76">
        <v>1</v>
      </c>
      <c r="I32" s="13">
        <v>4</v>
      </c>
      <c r="J32" s="33">
        <v>14219404</v>
      </c>
      <c r="K32" s="159" t="s">
        <v>23</v>
      </c>
      <c r="L32" s="34"/>
      <c r="M32" s="18">
        <v>2274493.9</v>
      </c>
      <c r="N32" s="56">
        <v>5</v>
      </c>
      <c r="O32" s="57">
        <v>75</v>
      </c>
      <c r="P32" s="57">
        <v>662</v>
      </c>
      <c r="Q32" s="58">
        <v>6354</v>
      </c>
      <c r="R32" s="59">
        <v>64245</v>
      </c>
      <c r="V32" s="4"/>
    </row>
    <row r="33" spans="1:22" x14ac:dyDescent="0.15">
      <c r="A33" s="32">
        <v>26</v>
      </c>
      <c r="B33" s="26">
        <v>32326</v>
      </c>
      <c r="C33" s="76">
        <v>7</v>
      </c>
      <c r="D33" s="76">
        <v>6</v>
      </c>
      <c r="E33" s="76">
        <v>4</v>
      </c>
      <c r="F33" s="76">
        <v>2</v>
      </c>
      <c r="G33" s="76">
        <v>0</v>
      </c>
      <c r="H33" s="76">
        <v>3</v>
      </c>
      <c r="I33" s="13">
        <v>0</v>
      </c>
      <c r="J33" s="33">
        <v>14512680</v>
      </c>
      <c r="K33" s="159" t="s">
        <v>23</v>
      </c>
      <c r="L33" s="34"/>
      <c r="M33" s="18">
        <v>3402129.1</v>
      </c>
      <c r="N33" s="56">
        <v>12</v>
      </c>
      <c r="O33" s="57">
        <v>63</v>
      </c>
      <c r="P33" s="57">
        <v>632</v>
      </c>
      <c r="Q33" s="58">
        <v>6273</v>
      </c>
      <c r="R33" s="59">
        <v>63716</v>
      </c>
      <c r="V33" s="4"/>
    </row>
    <row r="34" spans="1:22" x14ac:dyDescent="0.15">
      <c r="A34" s="32">
        <v>27</v>
      </c>
      <c r="B34" s="26">
        <v>32333</v>
      </c>
      <c r="C34" s="76">
        <v>3</v>
      </c>
      <c r="D34" s="76">
        <v>7</v>
      </c>
      <c r="E34" s="76">
        <v>5</v>
      </c>
      <c r="F34" s="76">
        <v>6</v>
      </c>
      <c r="G34" s="76">
        <v>9</v>
      </c>
      <c r="H34" s="76">
        <v>6</v>
      </c>
      <c r="I34" s="13">
        <v>2</v>
      </c>
      <c r="J34" s="33">
        <v>14675076</v>
      </c>
      <c r="K34" s="159" t="s">
        <v>23</v>
      </c>
      <c r="L34" s="34"/>
      <c r="M34" s="18">
        <v>4542382.5</v>
      </c>
      <c r="N34" s="56">
        <v>10</v>
      </c>
      <c r="O34" s="57">
        <v>55</v>
      </c>
      <c r="P34" s="57">
        <v>634</v>
      </c>
      <c r="Q34" s="58">
        <v>6621</v>
      </c>
      <c r="R34" s="59">
        <v>65718</v>
      </c>
      <c r="V34" s="4"/>
    </row>
    <row r="35" spans="1:22" x14ac:dyDescent="0.15">
      <c r="A35" s="32">
        <v>28</v>
      </c>
      <c r="B35" s="26">
        <v>32340</v>
      </c>
      <c r="C35" s="76">
        <v>6</v>
      </c>
      <c r="D35" s="76">
        <v>6</v>
      </c>
      <c r="E35" s="76">
        <v>7</v>
      </c>
      <c r="F35" s="76">
        <v>2</v>
      </c>
      <c r="G35" s="76">
        <v>9</v>
      </c>
      <c r="H35" s="76">
        <v>4</v>
      </c>
      <c r="I35" s="13">
        <v>4</v>
      </c>
      <c r="J35" s="33">
        <v>15156264</v>
      </c>
      <c r="K35" s="77">
        <v>1</v>
      </c>
      <c r="L35" s="34">
        <v>5555555.4000000004</v>
      </c>
      <c r="M35" s="18">
        <v>164468.79999999999</v>
      </c>
      <c r="N35" s="56">
        <v>9</v>
      </c>
      <c r="O35" s="57">
        <v>60</v>
      </c>
      <c r="P35" s="57">
        <v>711</v>
      </c>
      <c r="Q35" s="58">
        <v>6765</v>
      </c>
      <c r="R35" s="59">
        <v>69221</v>
      </c>
      <c r="V35" s="4"/>
    </row>
    <row r="36" spans="1:22" x14ac:dyDescent="0.15">
      <c r="A36" s="32">
        <v>29</v>
      </c>
      <c r="B36" s="26">
        <v>32347</v>
      </c>
      <c r="C36" s="76">
        <v>5</v>
      </c>
      <c r="D36" s="76">
        <v>3</v>
      </c>
      <c r="E36" s="76">
        <v>7</v>
      </c>
      <c r="F36" s="76">
        <v>8</v>
      </c>
      <c r="G36" s="76">
        <v>4</v>
      </c>
      <c r="H36" s="76">
        <v>0</v>
      </c>
      <c r="I36" s="13">
        <v>7</v>
      </c>
      <c r="J36" s="33">
        <v>14232308</v>
      </c>
      <c r="K36" s="77">
        <v>3</v>
      </c>
      <c r="L36" s="34">
        <v>355555.4</v>
      </c>
      <c r="M36" s="18">
        <v>203652.9</v>
      </c>
      <c r="N36" s="56">
        <v>6</v>
      </c>
      <c r="O36" s="57">
        <v>74</v>
      </c>
      <c r="P36" s="57">
        <v>678</v>
      </c>
      <c r="Q36" s="58">
        <v>6380</v>
      </c>
      <c r="R36" s="59">
        <v>63202</v>
      </c>
      <c r="V36" s="4"/>
    </row>
    <row r="37" spans="1:22" x14ac:dyDescent="0.15">
      <c r="A37" s="32">
        <v>30</v>
      </c>
      <c r="B37" s="26">
        <v>32354</v>
      </c>
      <c r="C37" s="76">
        <v>6</v>
      </c>
      <c r="D37" s="76">
        <v>5</v>
      </c>
      <c r="E37" s="76">
        <v>0</v>
      </c>
      <c r="F37" s="76">
        <v>1</v>
      </c>
      <c r="G37" s="76">
        <v>7</v>
      </c>
      <c r="H37" s="76">
        <v>5</v>
      </c>
      <c r="I37" s="13">
        <v>0</v>
      </c>
      <c r="J37" s="33">
        <v>14387042</v>
      </c>
      <c r="K37" s="159" t="s">
        <v>23</v>
      </c>
      <c r="L37" s="34"/>
      <c r="M37" s="18">
        <v>1321526</v>
      </c>
      <c r="N37" s="56">
        <v>5</v>
      </c>
      <c r="O37" s="57">
        <v>52</v>
      </c>
      <c r="P37" s="57">
        <v>670</v>
      </c>
      <c r="Q37" s="58">
        <v>6485</v>
      </c>
      <c r="R37" s="59">
        <v>63772</v>
      </c>
      <c r="V37" s="4"/>
    </row>
    <row r="38" spans="1:22" x14ac:dyDescent="0.15">
      <c r="A38" s="32">
        <v>31</v>
      </c>
      <c r="B38" s="26">
        <v>32361</v>
      </c>
      <c r="C38" s="76">
        <v>3</v>
      </c>
      <c r="D38" s="76">
        <v>1</v>
      </c>
      <c r="E38" s="76">
        <v>5</v>
      </c>
      <c r="F38" s="76">
        <v>9</v>
      </c>
      <c r="G38" s="76">
        <v>1</v>
      </c>
      <c r="H38" s="76">
        <v>8</v>
      </c>
      <c r="I38" s="13">
        <v>1</v>
      </c>
      <c r="J38" s="33">
        <v>14434162</v>
      </c>
      <c r="K38" s="159" t="s">
        <v>23</v>
      </c>
      <c r="L38" s="34"/>
      <c r="M38" s="18">
        <v>2443060.2999999998</v>
      </c>
      <c r="N38" s="56">
        <v>8</v>
      </c>
      <c r="O38" s="57">
        <v>56</v>
      </c>
      <c r="P38" s="57">
        <v>631</v>
      </c>
      <c r="Q38" s="58">
        <v>6407</v>
      </c>
      <c r="R38" s="59">
        <v>64279</v>
      </c>
      <c r="V38" s="4"/>
    </row>
    <row r="39" spans="1:22" x14ac:dyDescent="0.15">
      <c r="A39" s="32">
        <v>32</v>
      </c>
      <c r="B39" s="26">
        <v>32368</v>
      </c>
      <c r="C39" s="76">
        <v>4</v>
      </c>
      <c r="D39" s="76">
        <v>0</v>
      </c>
      <c r="E39" s="76">
        <v>9</v>
      </c>
      <c r="F39" s="76">
        <v>4</v>
      </c>
      <c r="G39" s="76">
        <v>0</v>
      </c>
      <c r="H39" s="76">
        <v>4</v>
      </c>
      <c r="I39" s="13">
        <v>2</v>
      </c>
      <c r="J39" s="33">
        <v>14162610</v>
      </c>
      <c r="K39" s="159" t="s">
        <v>23</v>
      </c>
      <c r="L39" s="34"/>
      <c r="M39" s="18">
        <v>3543495</v>
      </c>
      <c r="N39" s="56">
        <v>5</v>
      </c>
      <c r="O39" s="57">
        <v>57</v>
      </c>
      <c r="P39" s="57">
        <v>657</v>
      </c>
      <c r="Q39" s="58">
        <v>6231</v>
      </c>
      <c r="R39" s="59">
        <v>64530</v>
      </c>
      <c r="V39" s="4"/>
    </row>
    <row r="40" spans="1:22" x14ac:dyDescent="0.15">
      <c r="A40" s="32">
        <v>33</v>
      </c>
      <c r="B40" s="26">
        <v>32375</v>
      </c>
      <c r="C40" s="76">
        <v>8</v>
      </c>
      <c r="D40" s="76">
        <v>1</v>
      </c>
      <c r="E40" s="76">
        <v>2</v>
      </c>
      <c r="F40" s="76">
        <v>2</v>
      </c>
      <c r="G40" s="76">
        <v>5</v>
      </c>
      <c r="H40" s="76">
        <v>5</v>
      </c>
      <c r="I40" s="13">
        <v>5</v>
      </c>
      <c r="J40" s="33">
        <v>14114588</v>
      </c>
      <c r="K40" s="77">
        <v>1</v>
      </c>
      <c r="L40" s="34">
        <v>4555555.4000000004</v>
      </c>
      <c r="M40" s="18">
        <v>84643</v>
      </c>
      <c r="N40" s="56">
        <v>4</v>
      </c>
      <c r="O40" s="57">
        <v>79</v>
      </c>
      <c r="P40" s="57">
        <v>701</v>
      </c>
      <c r="Q40" s="58">
        <v>6661</v>
      </c>
      <c r="R40" s="59">
        <v>63751</v>
      </c>
      <c r="V40" s="4"/>
    </row>
    <row r="41" spans="1:22" x14ac:dyDescent="0.15">
      <c r="A41" s="32">
        <v>34</v>
      </c>
      <c r="B41" s="26">
        <v>32382</v>
      </c>
      <c r="C41" s="76">
        <v>5</v>
      </c>
      <c r="D41" s="76">
        <v>8</v>
      </c>
      <c r="E41" s="76">
        <v>3</v>
      </c>
      <c r="F41" s="76">
        <v>3</v>
      </c>
      <c r="G41" s="76">
        <v>5</v>
      </c>
      <c r="H41" s="14">
        <v>7</v>
      </c>
      <c r="I41" s="14">
        <v>2</v>
      </c>
      <c r="J41" s="33">
        <v>16097938</v>
      </c>
      <c r="K41" s="159" t="s">
        <v>23</v>
      </c>
      <c r="L41" s="34"/>
      <c r="M41" s="18">
        <v>1335452.7</v>
      </c>
      <c r="N41" s="56">
        <v>9</v>
      </c>
      <c r="O41" s="57">
        <v>71</v>
      </c>
      <c r="P41" s="57">
        <v>703</v>
      </c>
      <c r="Q41" s="58">
        <v>7235</v>
      </c>
      <c r="R41" s="59">
        <v>72744</v>
      </c>
      <c r="V41" s="4"/>
    </row>
    <row r="42" spans="1:22" s="90" customFormat="1" x14ac:dyDescent="0.15">
      <c r="A42" s="32">
        <v>35</v>
      </c>
      <c r="B42" s="26">
        <v>32389</v>
      </c>
      <c r="C42" s="76">
        <v>3</v>
      </c>
      <c r="D42" s="76">
        <v>0</v>
      </c>
      <c r="E42" s="76">
        <v>9</v>
      </c>
      <c r="F42" s="76">
        <v>1</v>
      </c>
      <c r="G42" s="76">
        <v>4</v>
      </c>
      <c r="H42" s="115">
        <v>5</v>
      </c>
      <c r="I42" s="13">
        <v>5</v>
      </c>
      <c r="J42" s="33">
        <v>17262674</v>
      </c>
      <c r="K42" s="112">
        <v>3</v>
      </c>
      <c r="L42" s="34">
        <v>755555.4</v>
      </c>
      <c r="M42" s="117">
        <v>410096.2</v>
      </c>
      <c r="N42" s="56">
        <v>8</v>
      </c>
      <c r="O42" s="57">
        <v>79</v>
      </c>
      <c r="P42" s="57">
        <v>798</v>
      </c>
      <c r="Q42" s="58">
        <v>7863</v>
      </c>
      <c r="R42" s="59">
        <v>77705</v>
      </c>
      <c r="S42" s="91"/>
      <c r="V42" s="100"/>
    </row>
    <row r="43" spans="1:22" s="90" customFormat="1" x14ac:dyDescent="0.15">
      <c r="A43" s="32">
        <v>36</v>
      </c>
      <c r="B43" s="26">
        <v>32396</v>
      </c>
      <c r="C43" s="103">
        <v>0</v>
      </c>
      <c r="D43" s="103">
        <v>6</v>
      </c>
      <c r="E43" s="103">
        <v>4</v>
      </c>
      <c r="F43" s="103">
        <v>7</v>
      </c>
      <c r="G43" s="103">
        <v>5</v>
      </c>
      <c r="H43" s="115">
        <v>0</v>
      </c>
      <c r="I43" s="113">
        <v>3</v>
      </c>
      <c r="J43" s="33">
        <v>17481010</v>
      </c>
      <c r="K43" s="159" t="s">
        <v>23</v>
      </c>
      <c r="L43" s="34"/>
      <c r="M43" s="18">
        <v>1768370.6</v>
      </c>
      <c r="N43" s="56">
        <v>9</v>
      </c>
      <c r="O43" s="57">
        <v>63</v>
      </c>
      <c r="P43" s="57">
        <v>770</v>
      </c>
      <c r="Q43" s="58">
        <v>7531</v>
      </c>
      <c r="R43" s="59">
        <v>75374</v>
      </c>
      <c r="S43" s="91"/>
      <c r="V43" s="100"/>
    </row>
    <row r="44" spans="1:22" s="90" customFormat="1" x14ac:dyDescent="0.15">
      <c r="A44" s="32">
        <v>37</v>
      </c>
      <c r="B44" s="26">
        <v>32403</v>
      </c>
      <c r="C44" s="109">
        <v>4</v>
      </c>
      <c r="D44" s="110">
        <v>5</v>
      </c>
      <c r="E44" s="110">
        <v>9</v>
      </c>
      <c r="F44" s="110">
        <v>9</v>
      </c>
      <c r="G44" s="110">
        <v>9</v>
      </c>
      <c r="H44" s="110">
        <v>4</v>
      </c>
      <c r="I44" s="13">
        <v>4</v>
      </c>
      <c r="J44" s="33">
        <v>17761128</v>
      </c>
      <c r="K44" s="112">
        <v>1</v>
      </c>
      <c r="L44" s="34">
        <v>2955555.4</v>
      </c>
      <c r="M44" s="18">
        <v>192854.8</v>
      </c>
      <c r="N44" s="56">
        <v>5</v>
      </c>
      <c r="O44" s="57">
        <v>105</v>
      </c>
      <c r="P44" s="57">
        <v>766</v>
      </c>
      <c r="Q44" s="58">
        <v>8121</v>
      </c>
      <c r="R44" s="59">
        <v>82203</v>
      </c>
      <c r="S44" s="91"/>
      <c r="V44" s="100"/>
    </row>
    <row r="45" spans="1:22" s="90" customFormat="1" x14ac:dyDescent="0.15">
      <c r="A45" s="32">
        <v>38</v>
      </c>
      <c r="B45" s="26">
        <v>32410</v>
      </c>
      <c r="C45" s="76">
        <v>4</v>
      </c>
      <c r="D45" s="76">
        <v>7</v>
      </c>
      <c r="E45" s="76">
        <v>4</v>
      </c>
      <c r="F45" s="76">
        <v>5</v>
      </c>
      <c r="G45" s="76">
        <v>3</v>
      </c>
      <c r="H45" s="76">
        <v>5</v>
      </c>
      <c r="I45" s="13">
        <v>5</v>
      </c>
      <c r="J45" s="33">
        <v>17103538</v>
      </c>
      <c r="K45" s="112">
        <v>1</v>
      </c>
      <c r="L45" s="34">
        <v>1355555.4</v>
      </c>
      <c r="M45" s="18">
        <v>166244.29999999999</v>
      </c>
      <c r="N45" s="56">
        <v>9</v>
      </c>
      <c r="O45" s="57">
        <v>70</v>
      </c>
      <c r="P45" s="57">
        <v>774</v>
      </c>
      <c r="Q45" s="58">
        <v>7800</v>
      </c>
      <c r="R45" s="59">
        <v>78551</v>
      </c>
      <c r="S45" s="91"/>
      <c r="V45" s="100"/>
    </row>
    <row r="46" spans="1:22" s="90" customFormat="1" x14ac:dyDescent="0.15">
      <c r="A46" s="32">
        <v>39</v>
      </c>
      <c r="B46" s="26">
        <v>32417</v>
      </c>
      <c r="C46" s="76">
        <v>1</v>
      </c>
      <c r="D46" s="76">
        <v>1</v>
      </c>
      <c r="E46" s="76">
        <v>0</v>
      </c>
      <c r="F46" s="76">
        <v>7</v>
      </c>
      <c r="G46" s="76">
        <v>9</v>
      </c>
      <c r="H46" s="76">
        <v>6</v>
      </c>
      <c r="I46" s="13">
        <v>4</v>
      </c>
      <c r="J46" s="33">
        <v>17494292</v>
      </c>
      <c r="K46" s="159" t="s">
        <v>23</v>
      </c>
      <c r="L46" s="34"/>
      <c r="M46" s="18">
        <v>1525550.7</v>
      </c>
      <c r="N46" s="56">
        <v>9</v>
      </c>
      <c r="O46" s="57">
        <v>82</v>
      </c>
      <c r="P46" s="57">
        <v>811</v>
      </c>
      <c r="Q46" s="58">
        <v>7993</v>
      </c>
      <c r="R46" s="59">
        <v>78978</v>
      </c>
      <c r="S46" s="91"/>
      <c r="V46" s="100"/>
    </row>
    <row r="47" spans="1:22" s="90" customFormat="1" x14ac:dyDescent="0.15">
      <c r="A47" s="32">
        <v>40</v>
      </c>
      <c r="B47" s="26">
        <v>32424</v>
      </c>
      <c r="C47" s="76">
        <v>8</v>
      </c>
      <c r="D47" s="76">
        <v>4</v>
      </c>
      <c r="E47" s="76">
        <v>8</v>
      </c>
      <c r="F47" s="76">
        <v>5</v>
      </c>
      <c r="G47" s="76">
        <v>0</v>
      </c>
      <c r="H47" s="76">
        <v>1</v>
      </c>
      <c r="I47" s="13">
        <v>3</v>
      </c>
      <c r="J47" s="33">
        <v>17279816</v>
      </c>
      <c r="K47" s="112">
        <v>1</v>
      </c>
      <c r="L47" s="34">
        <v>2755555.4</v>
      </c>
      <c r="M47" s="18">
        <v>112637</v>
      </c>
      <c r="N47" s="56">
        <v>6</v>
      </c>
      <c r="O47" s="57">
        <v>69</v>
      </c>
      <c r="P47" s="57">
        <v>806</v>
      </c>
      <c r="Q47" s="58">
        <v>8046</v>
      </c>
      <c r="R47" s="59">
        <v>82042</v>
      </c>
      <c r="S47" s="91"/>
      <c r="V47" s="100"/>
    </row>
    <row r="48" spans="1:22" s="90" customFormat="1" x14ac:dyDescent="0.15">
      <c r="A48" s="32">
        <v>41</v>
      </c>
      <c r="B48" s="26">
        <v>32431</v>
      </c>
      <c r="C48" s="76">
        <v>7</v>
      </c>
      <c r="D48" s="76">
        <v>5</v>
      </c>
      <c r="E48" s="76">
        <v>2</v>
      </c>
      <c r="F48" s="76">
        <v>3</v>
      </c>
      <c r="G48" s="76">
        <v>9</v>
      </c>
      <c r="H48" s="76">
        <v>2</v>
      </c>
      <c r="I48" s="13">
        <v>8</v>
      </c>
      <c r="J48" s="33">
        <v>17026284</v>
      </c>
      <c r="K48" s="112">
        <v>1</v>
      </c>
      <c r="L48" s="34">
        <v>1355555.4</v>
      </c>
      <c r="M48" s="18">
        <v>80023.8</v>
      </c>
      <c r="N48" s="56">
        <v>5</v>
      </c>
      <c r="O48" s="57">
        <v>70</v>
      </c>
      <c r="P48" s="57">
        <v>811</v>
      </c>
      <c r="Q48" s="58">
        <v>7862</v>
      </c>
      <c r="R48" s="59">
        <v>78576</v>
      </c>
      <c r="S48" s="91"/>
      <c r="V48" s="100"/>
    </row>
    <row r="49" spans="1:22" s="90" customFormat="1" x14ac:dyDescent="0.15">
      <c r="A49" s="32">
        <v>42</v>
      </c>
      <c r="B49" s="26">
        <v>32438</v>
      </c>
      <c r="C49" s="76">
        <v>9</v>
      </c>
      <c r="D49" s="76">
        <v>3</v>
      </c>
      <c r="E49" s="76">
        <v>5</v>
      </c>
      <c r="F49" s="76">
        <v>8</v>
      </c>
      <c r="G49" s="76">
        <v>5</v>
      </c>
      <c r="H49" s="76">
        <v>9</v>
      </c>
      <c r="I49" s="13">
        <v>5</v>
      </c>
      <c r="J49" s="33">
        <v>17042796</v>
      </c>
      <c r="K49" s="159" t="s">
        <v>23</v>
      </c>
      <c r="L49" s="34"/>
      <c r="M49" s="18">
        <v>1404249</v>
      </c>
      <c r="N49" s="56">
        <v>8</v>
      </c>
      <c r="O49" s="57">
        <v>69</v>
      </c>
      <c r="P49" s="57">
        <v>807</v>
      </c>
      <c r="Q49" s="58">
        <v>7735</v>
      </c>
      <c r="R49" s="59">
        <v>76133</v>
      </c>
      <c r="S49" s="91"/>
      <c r="V49" s="100"/>
    </row>
    <row r="50" spans="1:22" s="90" customFormat="1" x14ac:dyDescent="0.15">
      <c r="A50" s="32">
        <v>43</v>
      </c>
      <c r="B50" s="26">
        <v>32445</v>
      </c>
      <c r="C50" s="76">
        <v>3</v>
      </c>
      <c r="D50" s="76">
        <v>1</v>
      </c>
      <c r="E50" s="76">
        <v>5</v>
      </c>
      <c r="F50" s="76">
        <v>2</v>
      </c>
      <c r="G50" s="76">
        <v>9</v>
      </c>
      <c r="H50" s="76">
        <v>3</v>
      </c>
      <c r="I50" s="13">
        <v>5</v>
      </c>
      <c r="J50" s="33">
        <v>17009494</v>
      </c>
      <c r="K50" s="159" t="s">
        <v>23</v>
      </c>
      <c r="L50" s="34"/>
      <c r="M50" s="18">
        <v>2725886.6</v>
      </c>
      <c r="N50" s="56">
        <v>8</v>
      </c>
      <c r="O50" s="57">
        <v>64</v>
      </c>
      <c r="P50" s="57">
        <v>814</v>
      </c>
      <c r="Q50" s="58">
        <v>7721</v>
      </c>
      <c r="R50" s="59">
        <v>77083</v>
      </c>
      <c r="S50" s="91"/>
      <c r="V50" s="100"/>
    </row>
    <row r="51" spans="1:22" s="90" customFormat="1" x14ac:dyDescent="0.15">
      <c r="A51" s="32">
        <v>44</v>
      </c>
      <c r="B51" s="26">
        <v>32452</v>
      </c>
      <c r="C51" s="76">
        <v>9</v>
      </c>
      <c r="D51" s="76">
        <v>6</v>
      </c>
      <c r="E51" s="76">
        <v>0</v>
      </c>
      <c r="F51" s="76">
        <v>5</v>
      </c>
      <c r="G51" s="76">
        <v>7</v>
      </c>
      <c r="H51" s="76">
        <v>5</v>
      </c>
      <c r="I51" s="13">
        <v>4</v>
      </c>
      <c r="J51" s="33">
        <v>17354948</v>
      </c>
      <c r="K51" s="159" t="s">
        <v>23</v>
      </c>
      <c r="L51" s="34"/>
      <c r="M51" s="117">
        <v>4074366</v>
      </c>
      <c r="N51" s="56">
        <v>5</v>
      </c>
      <c r="O51" s="57">
        <v>88</v>
      </c>
      <c r="P51" s="57">
        <v>783</v>
      </c>
      <c r="Q51" s="58">
        <v>8072</v>
      </c>
      <c r="R51" s="59">
        <v>79412</v>
      </c>
      <c r="S51" s="91"/>
      <c r="V51" s="100"/>
    </row>
    <row r="52" spans="1:22" s="90" customFormat="1" x14ac:dyDescent="0.15">
      <c r="A52" s="32">
        <v>45</v>
      </c>
      <c r="B52" s="26">
        <v>32459</v>
      </c>
      <c r="C52" s="76">
        <v>0</v>
      </c>
      <c r="D52" s="76">
        <v>8</v>
      </c>
      <c r="E52" s="76">
        <v>1</v>
      </c>
      <c r="F52" s="76">
        <v>8</v>
      </c>
      <c r="G52" s="76">
        <v>4</v>
      </c>
      <c r="H52" s="76">
        <v>6</v>
      </c>
      <c r="I52" s="13">
        <v>1</v>
      </c>
      <c r="J52" s="33">
        <v>18492890</v>
      </c>
      <c r="K52" s="112">
        <v>3</v>
      </c>
      <c r="L52" s="34">
        <v>1755555.4</v>
      </c>
      <c r="M52" s="18">
        <v>244597.3</v>
      </c>
      <c r="N52" s="56">
        <v>4</v>
      </c>
      <c r="O52" s="57">
        <v>76</v>
      </c>
      <c r="P52" s="57">
        <v>764</v>
      </c>
      <c r="Q52" s="58">
        <v>8411</v>
      </c>
      <c r="R52" s="59">
        <v>82716</v>
      </c>
      <c r="S52" s="91"/>
    </row>
    <row r="53" spans="1:22" s="90" customFormat="1" x14ac:dyDescent="0.15">
      <c r="A53" s="32">
        <v>46</v>
      </c>
      <c r="B53" s="26">
        <v>32466</v>
      </c>
      <c r="C53" s="76">
        <v>9</v>
      </c>
      <c r="D53" s="76">
        <v>0</v>
      </c>
      <c r="E53" s="76">
        <v>8</v>
      </c>
      <c r="F53" s="76">
        <v>5</v>
      </c>
      <c r="G53" s="76">
        <v>8</v>
      </c>
      <c r="H53" s="76">
        <v>1</v>
      </c>
      <c r="I53" s="13">
        <v>6</v>
      </c>
      <c r="J53" s="33">
        <v>17201994</v>
      </c>
      <c r="K53" s="112">
        <v>1</v>
      </c>
      <c r="L53" s="34">
        <v>1555555.4</v>
      </c>
      <c r="M53" s="18">
        <v>25636.799999999999</v>
      </c>
      <c r="N53" s="56">
        <v>7</v>
      </c>
      <c r="O53" s="57">
        <v>82</v>
      </c>
      <c r="P53" s="57">
        <v>803</v>
      </c>
      <c r="Q53" s="58">
        <v>7904</v>
      </c>
      <c r="R53" s="59">
        <v>77379</v>
      </c>
      <c r="S53" s="91"/>
    </row>
    <row r="54" spans="1:22" s="90" customFormat="1" x14ac:dyDescent="0.15">
      <c r="A54" s="32">
        <v>47</v>
      </c>
      <c r="B54" s="26">
        <v>32473</v>
      </c>
      <c r="C54" s="76">
        <v>4</v>
      </c>
      <c r="D54" s="76">
        <v>7</v>
      </c>
      <c r="E54" s="76">
        <v>2</v>
      </c>
      <c r="F54" s="76">
        <v>6</v>
      </c>
      <c r="G54" s="76">
        <v>9</v>
      </c>
      <c r="H54" s="76">
        <v>4</v>
      </c>
      <c r="I54" s="13">
        <v>9</v>
      </c>
      <c r="J54" s="33">
        <v>17117698</v>
      </c>
      <c r="K54" s="159" t="s">
        <v>23</v>
      </c>
      <c r="L54" s="34"/>
      <c r="M54" s="18">
        <v>1355681.9</v>
      </c>
      <c r="N54" s="56">
        <v>7</v>
      </c>
      <c r="O54" s="57">
        <v>84</v>
      </c>
      <c r="P54" s="57">
        <v>741</v>
      </c>
      <c r="Q54" s="58">
        <v>7860</v>
      </c>
      <c r="R54" s="59">
        <v>78634</v>
      </c>
      <c r="S54" s="91"/>
    </row>
    <row r="55" spans="1:22" s="90" customFormat="1" x14ac:dyDescent="0.15">
      <c r="A55" s="32">
        <v>48</v>
      </c>
      <c r="B55" s="26">
        <v>32480</v>
      </c>
      <c r="C55" s="76">
        <v>1</v>
      </c>
      <c r="D55" s="76">
        <v>3</v>
      </c>
      <c r="E55" s="76">
        <v>8</v>
      </c>
      <c r="F55" s="76">
        <v>2</v>
      </c>
      <c r="G55" s="76">
        <v>8</v>
      </c>
      <c r="H55" s="76">
        <v>6</v>
      </c>
      <c r="I55" s="13">
        <v>9</v>
      </c>
      <c r="J55" s="33">
        <v>22700104</v>
      </c>
      <c r="K55" s="112">
        <v>1</v>
      </c>
      <c r="L55" s="34">
        <v>2955555.4</v>
      </c>
      <c r="M55" s="18">
        <v>163924.5</v>
      </c>
      <c r="N55" s="56">
        <v>13</v>
      </c>
      <c r="O55" s="57">
        <v>100</v>
      </c>
      <c r="P55" s="57">
        <v>1010</v>
      </c>
      <c r="Q55" s="58">
        <v>10411</v>
      </c>
      <c r="R55" s="59">
        <v>103170</v>
      </c>
      <c r="S55" s="91"/>
    </row>
    <row r="56" spans="1:22" s="90" customFormat="1" x14ac:dyDescent="0.15">
      <c r="A56" s="32">
        <v>49</v>
      </c>
      <c r="B56" s="26">
        <v>32487</v>
      </c>
      <c r="C56" s="76">
        <v>1</v>
      </c>
      <c r="D56" s="76">
        <v>5</v>
      </c>
      <c r="E56" s="76">
        <v>2</v>
      </c>
      <c r="F56" s="76">
        <v>6</v>
      </c>
      <c r="G56" s="76">
        <v>7</v>
      </c>
      <c r="H56" s="76">
        <v>7</v>
      </c>
      <c r="I56" s="13">
        <v>9</v>
      </c>
      <c r="J56" s="33">
        <v>18230866</v>
      </c>
      <c r="K56" s="112">
        <v>2</v>
      </c>
      <c r="L56" s="34">
        <v>755555.4</v>
      </c>
      <c r="M56" s="18">
        <v>69351.899999999994</v>
      </c>
      <c r="N56" s="56">
        <v>8</v>
      </c>
      <c r="O56" s="57">
        <v>100</v>
      </c>
      <c r="P56" s="57">
        <v>782</v>
      </c>
      <c r="Q56" s="58">
        <v>8040</v>
      </c>
      <c r="R56" s="59">
        <v>82394</v>
      </c>
      <c r="S56" s="91"/>
    </row>
    <row r="57" spans="1:22" s="90" customFormat="1" x14ac:dyDescent="0.15">
      <c r="A57" s="32">
        <v>50</v>
      </c>
      <c r="B57" s="26">
        <v>32494</v>
      </c>
      <c r="C57" s="76">
        <v>9</v>
      </c>
      <c r="D57" s="76">
        <v>8</v>
      </c>
      <c r="E57" s="76">
        <v>2</v>
      </c>
      <c r="F57" s="76">
        <v>0</v>
      </c>
      <c r="G57" s="76">
        <v>0</v>
      </c>
      <c r="H57" s="76">
        <v>3</v>
      </c>
      <c r="I57" s="13">
        <v>6</v>
      </c>
      <c r="J57" s="33">
        <v>19101046</v>
      </c>
      <c r="K57" s="112">
        <v>3</v>
      </c>
      <c r="L57" s="34">
        <v>355555.4</v>
      </c>
      <c r="M57" s="18">
        <v>486836.9</v>
      </c>
      <c r="N57" s="56">
        <v>15</v>
      </c>
      <c r="O57" s="57">
        <v>86</v>
      </c>
      <c r="P57" s="57">
        <v>775</v>
      </c>
      <c r="Q57" s="58">
        <v>8518</v>
      </c>
      <c r="R57" s="59">
        <v>87669</v>
      </c>
      <c r="S57" s="91"/>
    </row>
    <row r="58" spans="1:22" s="90" customFormat="1" x14ac:dyDescent="0.15">
      <c r="A58" s="32">
        <v>51</v>
      </c>
      <c r="B58" s="26">
        <v>32501</v>
      </c>
      <c r="C58" s="76">
        <v>7</v>
      </c>
      <c r="D58" s="76">
        <v>5</v>
      </c>
      <c r="E58" s="76">
        <v>0</v>
      </c>
      <c r="F58" s="76">
        <v>0</v>
      </c>
      <c r="G58" s="76">
        <v>5</v>
      </c>
      <c r="H58" s="76">
        <v>9</v>
      </c>
      <c r="I58" s="13">
        <v>4</v>
      </c>
      <c r="J58" s="33">
        <v>16088768</v>
      </c>
      <c r="K58" s="112">
        <v>1</v>
      </c>
      <c r="L58" s="34">
        <v>1555555.4</v>
      </c>
      <c r="M58" s="18">
        <v>181378.7</v>
      </c>
      <c r="N58" s="56">
        <v>6</v>
      </c>
      <c r="O58" s="57">
        <v>95</v>
      </c>
      <c r="P58" s="57">
        <v>754</v>
      </c>
      <c r="Q58" s="58">
        <v>7376</v>
      </c>
      <c r="R58" s="59">
        <v>72305</v>
      </c>
      <c r="S58" s="91"/>
    </row>
    <row r="59" spans="1:22" s="90" customFormat="1" x14ac:dyDescent="0.15">
      <c r="A59" s="36">
        <v>52</v>
      </c>
      <c r="B59" s="37">
        <v>32508</v>
      </c>
      <c r="C59" s="38">
        <v>6</v>
      </c>
      <c r="D59" s="38">
        <v>1</v>
      </c>
      <c r="E59" s="38">
        <v>1</v>
      </c>
      <c r="F59" s="38">
        <v>6</v>
      </c>
      <c r="G59" s="38">
        <v>7</v>
      </c>
      <c r="H59" s="21">
        <v>4</v>
      </c>
      <c r="I59" s="39">
        <v>4</v>
      </c>
      <c r="J59" s="40">
        <v>15947790</v>
      </c>
      <c r="K59" s="188" t="s">
        <v>23</v>
      </c>
      <c r="L59" s="42"/>
      <c r="M59" s="144">
        <v>1420521.9</v>
      </c>
      <c r="N59" s="99">
        <v>4</v>
      </c>
      <c r="O59" s="62">
        <v>70</v>
      </c>
      <c r="P59" s="98">
        <v>739</v>
      </c>
      <c r="Q59" s="63">
        <v>7215</v>
      </c>
      <c r="R59" s="142">
        <v>71943</v>
      </c>
      <c r="S59" s="91"/>
    </row>
    <row r="60" spans="1:22" s="90" customFormat="1" x14ac:dyDescent="0.15">
      <c r="A60" s="101"/>
      <c r="B60" s="265"/>
      <c r="C60" s="97"/>
      <c r="D60" s="97"/>
      <c r="E60" s="97"/>
      <c r="F60" s="97"/>
      <c r="G60" s="97"/>
      <c r="H60" s="97" t="s">
        <v>24</v>
      </c>
      <c r="I60" s="97"/>
      <c r="J60" s="97"/>
      <c r="K60" s="262">
        <f>SUM(K8:K59)</f>
        <v>44</v>
      </c>
      <c r="L60" s="262"/>
      <c r="M60" s="262"/>
      <c r="N60" s="262">
        <f>SUM(N8:N59)</f>
        <v>378</v>
      </c>
      <c r="O60" s="262">
        <f>SUM(O8:O59)</f>
        <v>3816</v>
      </c>
      <c r="P60" s="262">
        <f>SUM(P8:P59)</f>
        <v>38062</v>
      </c>
      <c r="Q60" s="262">
        <f>SUM(Q8:Q59)</f>
        <v>381314</v>
      </c>
      <c r="R60" s="268">
        <f>SUM(R8:R59)</f>
        <v>3805882</v>
      </c>
      <c r="S60" s="91"/>
    </row>
    <row r="61" spans="1:22" s="90" customFormat="1" x14ac:dyDescent="0.15">
      <c r="A61" s="81"/>
      <c r="B61" s="173"/>
      <c r="C61" s="27"/>
      <c r="D61" s="76"/>
      <c r="E61" s="76"/>
      <c r="F61" s="76"/>
      <c r="G61" s="76"/>
      <c r="H61" s="76"/>
      <c r="I61" s="76"/>
      <c r="J61" s="83"/>
      <c r="K61" s="77"/>
      <c r="L61" s="84"/>
      <c r="M61" s="85"/>
      <c r="N61" s="86"/>
      <c r="O61" s="87"/>
      <c r="P61" s="87"/>
      <c r="Q61" s="88"/>
      <c r="R61" s="89"/>
      <c r="S61" s="91"/>
    </row>
    <row r="62" spans="1:22" s="90" customFormat="1" x14ac:dyDescent="0.15">
      <c r="A62" s="81"/>
      <c r="B62" s="82"/>
      <c r="C62" s="103"/>
      <c r="D62" s="103"/>
      <c r="E62" s="103"/>
      <c r="F62" s="103"/>
      <c r="G62" s="103"/>
      <c r="H62" s="103"/>
      <c r="I62" s="92"/>
      <c r="J62" s="83"/>
      <c r="K62" s="77"/>
      <c r="L62" s="9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92"/>
      <c r="D64" s="92"/>
      <c r="E64" s="92"/>
      <c r="F64" s="92"/>
      <c r="G64" s="92"/>
      <c r="H64" s="92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92"/>
      <c r="C65" s="92"/>
      <c r="D65" s="92"/>
      <c r="E65" s="92"/>
      <c r="F65" s="92"/>
      <c r="G65" s="92"/>
      <c r="H65" s="92"/>
      <c r="I65" s="92"/>
      <c r="J65" s="92"/>
      <c r="K65" s="93"/>
      <c r="L65" s="93"/>
      <c r="M65" s="93"/>
      <c r="N65" s="93"/>
      <c r="O65" s="93"/>
      <c r="P65" s="93"/>
      <c r="Q65" s="93"/>
      <c r="R65" s="93"/>
      <c r="S65" s="91"/>
      <c r="V65" s="111"/>
    </row>
    <row r="66" spans="1:22" s="90" customFormat="1" x14ac:dyDescent="0.15">
      <c r="L66" s="85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73"/>
  <sheetViews>
    <sheetView workbookViewId="0">
      <pane ySplit="7" topLeftCell="A35" activePane="bottomLeft" state="frozenSplit"/>
      <selection activeCell="A62" sqref="A62:IV62"/>
      <selection pane="bottomLeft" activeCell="M63" sqref="M63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</cols>
  <sheetData>
    <row r="2" spans="1:22" ht="12.75" x14ac:dyDescent="0.2">
      <c r="A2" s="1" t="s">
        <v>0</v>
      </c>
      <c r="R2" s="3" t="s">
        <v>47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/>
      <c r="L4" s="244"/>
      <c r="M4" s="11"/>
      <c r="N4" s="8"/>
      <c r="O4" s="8"/>
      <c r="P4" s="8"/>
      <c r="Q4" s="8"/>
      <c r="R4" s="8"/>
      <c r="V4" s="4"/>
    </row>
    <row r="5" spans="1:22" x14ac:dyDescent="0.15">
      <c r="A5" s="13" t="s">
        <v>3</v>
      </c>
      <c r="B5" s="14">
        <v>1989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19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43</v>
      </c>
      <c r="L6" s="209"/>
      <c r="M6" s="14" t="s">
        <v>14</v>
      </c>
      <c r="N6" s="75" t="s">
        <v>33</v>
      </c>
      <c r="O6" s="75" t="s">
        <v>34</v>
      </c>
      <c r="P6" s="75" t="s">
        <v>35</v>
      </c>
      <c r="Q6" s="75" t="s">
        <v>36</v>
      </c>
      <c r="R6" s="75" t="s">
        <v>37</v>
      </c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V7" s="4"/>
    </row>
    <row r="8" spans="1:22" x14ac:dyDescent="0.15">
      <c r="A8" s="32">
        <v>1</v>
      </c>
      <c r="B8" s="26">
        <v>32515</v>
      </c>
      <c r="C8" s="76">
        <v>2</v>
      </c>
      <c r="D8" s="76">
        <v>7</v>
      </c>
      <c r="E8" s="76">
        <v>3</v>
      </c>
      <c r="F8" s="76">
        <v>2</v>
      </c>
      <c r="G8" s="76">
        <v>4</v>
      </c>
      <c r="H8" s="76">
        <v>8</v>
      </c>
      <c r="I8" s="13">
        <v>7</v>
      </c>
      <c r="J8" s="33">
        <v>15111316</v>
      </c>
      <c r="K8" s="77">
        <v>2</v>
      </c>
      <c r="L8" s="34">
        <v>1155555.3999999999</v>
      </c>
      <c r="M8" s="18">
        <v>283560.3</v>
      </c>
      <c r="N8" s="56">
        <v>3</v>
      </c>
      <c r="O8" s="57">
        <v>72</v>
      </c>
      <c r="P8" s="57">
        <v>719</v>
      </c>
      <c r="Q8" s="58">
        <v>6863</v>
      </c>
      <c r="R8" s="59">
        <v>69595</v>
      </c>
      <c r="V8" s="4"/>
    </row>
    <row r="9" spans="1:22" x14ac:dyDescent="0.15">
      <c r="A9" s="32">
        <v>2</v>
      </c>
      <c r="B9" s="26">
        <v>32522</v>
      </c>
      <c r="C9" s="76">
        <v>5</v>
      </c>
      <c r="D9" s="76">
        <v>2</v>
      </c>
      <c r="E9" s="76">
        <v>5</v>
      </c>
      <c r="F9" s="76">
        <v>9</v>
      </c>
      <c r="G9" s="76">
        <v>6</v>
      </c>
      <c r="H9" s="76">
        <v>3</v>
      </c>
      <c r="I9" s="13">
        <v>5</v>
      </c>
      <c r="J9" s="33">
        <v>15630908</v>
      </c>
      <c r="K9" s="159" t="s">
        <v>23</v>
      </c>
      <c r="L9" s="34"/>
      <c r="M9" s="18">
        <v>1498081.8</v>
      </c>
      <c r="N9" s="56">
        <v>9</v>
      </c>
      <c r="O9" s="57">
        <v>65</v>
      </c>
      <c r="P9" s="57">
        <v>703</v>
      </c>
      <c r="Q9" s="58">
        <v>7086</v>
      </c>
      <c r="R9" s="59">
        <v>70802</v>
      </c>
      <c r="V9" s="4"/>
    </row>
    <row r="10" spans="1:22" x14ac:dyDescent="0.15">
      <c r="A10" s="32">
        <v>3</v>
      </c>
      <c r="B10" s="26">
        <v>32529</v>
      </c>
      <c r="C10" s="76">
        <v>8</v>
      </c>
      <c r="D10" s="76">
        <v>4</v>
      </c>
      <c r="E10" s="76">
        <v>5</v>
      </c>
      <c r="F10" s="76">
        <v>3</v>
      </c>
      <c r="G10" s="76">
        <v>1</v>
      </c>
      <c r="H10" s="76">
        <v>3</v>
      </c>
      <c r="I10" s="13">
        <v>6</v>
      </c>
      <c r="J10" s="33">
        <v>15786858</v>
      </c>
      <c r="K10" s="77">
        <v>1</v>
      </c>
      <c r="L10" s="34">
        <v>2555555.4</v>
      </c>
      <c r="M10" s="18">
        <v>169165.2</v>
      </c>
      <c r="N10" s="56">
        <v>7</v>
      </c>
      <c r="O10" s="57">
        <v>70</v>
      </c>
      <c r="P10" s="57">
        <v>685</v>
      </c>
      <c r="Q10" s="58">
        <v>7173</v>
      </c>
      <c r="R10" s="59">
        <v>70589</v>
      </c>
      <c r="V10" s="4"/>
    </row>
    <row r="11" spans="1:22" x14ac:dyDescent="0.15">
      <c r="A11" s="32">
        <v>4</v>
      </c>
      <c r="B11" s="26">
        <v>32536</v>
      </c>
      <c r="C11" s="76">
        <v>8</v>
      </c>
      <c r="D11" s="76">
        <v>4</v>
      </c>
      <c r="E11" s="76">
        <v>5</v>
      </c>
      <c r="F11" s="76">
        <v>0</v>
      </c>
      <c r="G11" s="76">
        <v>5</v>
      </c>
      <c r="H11" s="76">
        <v>7</v>
      </c>
      <c r="I11" s="13">
        <v>2</v>
      </c>
      <c r="J11" s="33">
        <v>15488418</v>
      </c>
      <c r="K11" s="77">
        <v>2</v>
      </c>
      <c r="L11" s="34">
        <v>555555.4</v>
      </c>
      <c r="M11" s="18">
        <v>261504.4</v>
      </c>
      <c r="N11" s="56">
        <v>11</v>
      </c>
      <c r="O11" s="57">
        <v>64</v>
      </c>
      <c r="P11" s="57">
        <v>689</v>
      </c>
      <c r="Q11" s="58">
        <v>7133</v>
      </c>
      <c r="R11" s="59">
        <v>70667</v>
      </c>
      <c r="V11" s="4"/>
    </row>
    <row r="12" spans="1:22" x14ac:dyDescent="0.15">
      <c r="A12" s="32">
        <v>5</v>
      </c>
      <c r="B12" s="26">
        <v>32543</v>
      </c>
      <c r="C12" s="76">
        <v>4</v>
      </c>
      <c r="D12" s="76">
        <v>4</v>
      </c>
      <c r="E12" s="76">
        <v>1</v>
      </c>
      <c r="F12" s="76">
        <v>5</v>
      </c>
      <c r="G12" s="76">
        <v>1</v>
      </c>
      <c r="H12" s="76">
        <v>4</v>
      </c>
      <c r="I12" s="13">
        <v>8</v>
      </c>
      <c r="J12" s="33">
        <v>15289642</v>
      </c>
      <c r="K12" s="159" t="s">
        <v>23</v>
      </c>
      <c r="L12" s="34"/>
      <c r="M12" s="18">
        <v>1449509.5</v>
      </c>
      <c r="N12" s="56">
        <v>10</v>
      </c>
      <c r="O12" s="57">
        <v>62</v>
      </c>
      <c r="P12" s="57">
        <v>720</v>
      </c>
      <c r="Q12" s="58">
        <v>7173</v>
      </c>
      <c r="R12" s="59">
        <v>69991</v>
      </c>
      <c r="V12" s="4"/>
    </row>
    <row r="13" spans="1:22" x14ac:dyDescent="0.15">
      <c r="A13" s="32">
        <v>6</v>
      </c>
      <c r="B13" s="26">
        <v>32550</v>
      </c>
      <c r="C13" s="76">
        <v>2</v>
      </c>
      <c r="D13" s="76">
        <v>1</v>
      </c>
      <c r="E13" s="76">
        <v>0</v>
      </c>
      <c r="F13" s="76">
        <v>4</v>
      </c>
      <c r="G13" s="76">
        <v>9</v>
      </c>
      <c r="H13" s="76">
        <v>7</v>
      </c>
      <c r="I13" s="13">
        <v>3</v>
      </c>
      <c r="J13" s="33">
        <v>15330500</v>
      </c>
      <c r="K13" s="77">
        <v>1</v>
      </c>
      <c r="L13" s="34">
        <v>2555555.4</v>
      </c>
      <c r="M13" s="18">
        <v>85133.9</v>
      </c>
      <c r="N13" s="56">
        <v>4</v>
      </c>
      <c r="O13" s="57">
        <v>63</v>
      </c>
      <c r="P13" s="57">
        <v>667</v>
      </c>
      <c r="Q13" s="58">
        <v>6999</v>
      </c>
      <c r="R13" s="59">
        <v>69312</v>
      </c>
      <c r="V13" s="4"/>
    </row>
    <row r="14" spans="1:22" x14ac:dyDescent="0.15">
      <c r="A14" s="32">
        <v>7</v>
      </c>
      <c r="B14" s="26">
        <v>32557</v>
      </c>
      <c r="C14" s="76">
        <v>7</v>
      </c>
      <c r="D14" s="76">
        <v>4</v>
      </c>
      <c r="E14" s="76">
        <v>6</v>
      </c>
      <c r="F14" s="76">
        <v>6</v>
      </c>
      <c r="G14" s="76">
        <v>5</v>
      </c>
      <c r="H14" s="76">
        <v>9</v>
      </c>
      <c r="I14" s="13">
        <v>0</v>
      </c>
      <c r="J14" s="33">
        <v>15601652</v>
      </c>
      <c r="K14" s="77">
        <v>1</v>
      </c>
      <c r="L14" s="34">
        <v>1155555.3999999999</v>
      </c>
      <c r="M14" s="18">
        <v>141826.79999999999</v>
      </c>
      <c r="N14" s="56">
        <v>3</v>
      </c>
      <c r="O14" s="57">
        <v>56</v>
      </c>
      <c r="P14" s="57">
        <v>674</v>
      </c>
      <c r="Q14" s="58">
        <v>6798</v>
      </c>
      <c r="R14" s="59">
        <v>67704</v>
      </c>
      <c r="V14" s="4"/>
    </row>
    <row r="15" spans="1:22" x14ac:dyDescent="0.15">
      <c r="A15" s="32">
        <v>8</v>
      </c>
      <c r="B15" s="26">
        <v>32564</v>
      </c>
      <c r="C15" s="76">
        <v>1</v>
      </c>
      <c r="D15" s="76">
        <v>8</v>
      </c>
      <c r="E15" s="76">
        <v>7</v>
      </c>
      <c r="F15" s="76">
        <v>5</v>
      </c>
      <c r="G15" s="76">
        <v>0</v>
      </c>
      <c r="H15" s="76">
        <v>6</v>
      </c>
      <c r="I15" s="13">
        <v>4</v>
      </c>
      <c r="J15" s="33">
        <v>15493988</v>
      </c>
      <c r="K15" s="77">
        <v>1</v>
      </c>
      <c r="L15" s="34">
        <v>1155555.3999999999</v>
      </c>
      <c r="M15" s="18">
        <v>190154.2</v>
      </c>
      <c r="N15" s="56">
        <v>6</v>
      </c>
      <c r="O15" s="57">
        <v>68</v>
      </c>
      <c r="P15" s="57">
        <v>646</v>
      </c>
      <c r="Q15" s="58">
        <v>7036</v>
      </c>
      <c r="R15" s="59">
        <v>70432</v>
      </c>
      <c r="V15" s="4"/>
    </row>
    <row r="16" spans="1:22" x14ac:dyDescent="0.15">
      <c r="A16" s="32">
        <v>9</v>
      </c>
      <c r="B16" s="26">
        <v>32571</v>
      </c>
      <c r="C16" s="76">
        <v>3</v>
      </c>
      <c r="D16" s="76">
        <v>5</v>
      </c>
      <c r="E16" s="76">
        <v>2</v>
      </c>
      <c r="F16" s="76">
        <v>8</v>
      </c>
      <c r="G16" s="76">
        <v>2</v>
      </c>
      <c r="H16" s="76">
        <v>5</v>
      </c>
      <c r="I16" s="13">
        <v>1</v>
      </c>
      <c r="J16" s="33">
        <v>18452854</v>
      </c>
      <c r="K16" s="159" t="s">
        <v>23</v>
      </c>
      <c r="L16" s="34"/>
      <c r="M16" s="18">
        <v>1623940.9</v>
      </c>
      <c r="N16" s="56">
        <v>13</v>
      </c>
      <c r="O16" s="57">
        <v>77</v>
      </c>
      <c r="P16" s="57">
        <v>834</v>
      </c>
      <c r="Q16" s="58">
        <v>8382</v>
      </c>
      <c r="R16" s="59">
        <v>83152</v>
      </c>
      <c r="V16" s="4"/>
    </row>
    <row r="17" spans="1:22" x14ac:dyDescent="0.15">
      <c r="A17" s="32">
        <v>10</v>
      </c>
      <c r="B17" s="26">
        <v>32578</v>
      </c>
      <c r="C17" s="76">
        <v>1</v>
      </c>
      <c r="D17" s="76">
        <v>6</v>
      </c>
      <c r="E17" s="76">
        <v>2</v>
      </c>
      <c r="F17" s="76">
        <v>5</v>
      </c>
      <c r="G17" s="76">
        <v>3</v>
      </c>
      <c r="H17" s="76">
        <v>5</v>
      </c>
      <c r="I17" s="13">
        <v>1</v>
      </c>
      <c r="J17" s="33">
        <v>15538938</v>
      </c>
      <c r="K17" s="77">
        <v>2</v>
      </c>
      <c r="L17" s="34">
        <v>1355555.4</v>
      </c>
      <c r="M17" s="18">
        <v>120205.5</v>
      </c>
      <c r="N17" s="56">
        <v>4</v>
      </c>
      <c r="O17" s="57">
        <v>57</v>
      </c>
      <c r="P17" s="57">
        <v>664</v>
      </c>
      <c r="Q17" s="58">
        <v>6706</v>
      </c>
      <c r="R17" s="59">
        <v>67016</v>
      </c>
      <c r="V17" s="4"/>
    </row>
    <row r="18" spans="1:22" x14ac:dyDescent="0.15">
      <c r="A18" s="32">
        <v>11</v>
      </c>
      <c r="B18" s="26">
        <v>32585</v>
      </c>
      <c r="C18" s="76">
        <v>0</v>
      </c>
      <c r="D18" s="76">
        <v>5</v>
      </c>
      <c r="E18" s="76">
        <v>3</v>
      </c>
      <c r="F18" s="76">
        <v>3</v>
      </c>
      <c r="G18" s="76">
        <v>9</v>
      </c>
      <c r="H18" s="76">
        <v>6</v>
      </c>
      <c r="I18" s="13">
        <v>0</v>
      </c>
      <c r="J18" s="33">
        <v>15469306</v>
      </c>
      <c r="K18" s="77">
        <v>2</v>
      </c>
      <c r="L18" s="34">
        <v>555555.4</v>
      </c>
      <c r="M18" s="18">
        <v>211059.7</v>
      </c>
      <c r="N18" s="56">
        <v>8</v>
      </c>
      <c r="O18" s="57">
        <v>65</v>
      </c>
      <c r="P18" s="57">
        <v>655</v>
      </c>
      <c r="Q18" s="58">
        <v>6781</v>
      </c>
      <c r="R18" s="59">
        <v>67238</v>
      </c>
      <c r="V18" s="4"/>
    </row>
    <row r="19" spans="1:22" x14ac:dyDescent="0.15">
      <c r="A19" s="32">
        <v>12</v>
      </c>
      <c r="B19" s="26">
        <v>32592</v>
      </c>
      <c r="C19" s="76">
        <v>6</v>
      </c>
      <c r="D19" s="76">
        <v>0</v>
      </c>
      <c r="E19" s="76">
        <v>8</v>
      </c>
      <c r="F19" s="76">
        <v>8</v>
      </c>
      <c r="G19" s="76">
        <v>1</v>
      </c>
      <c r="H19" s="76">
        <v>5</v>
      </c>
      <c r="I19" s="13">
        <v>5</v>
      </c>
      <c r="J19" s="33">
        <v>14983848</v>
      </c>
      <c r="K19" s="159" t="s">
        <v>23</v>
      </c>
      <c r="L19" s="34"/>
      <c r="M19" s="18">
        <v>1375304.6</v>
      </c>
      <c r="N19" s="56">
        <v>5</v>
      </c>
      <c r="O19" s="57">
        <v>70</v>
      </c>
      <c r="P19" s="57">
        <v>684</v>
      </c>
      <c r="Q19" s="58">
        <v>6731</v>
      </c>
      <c r="R19" s="59">
        <v>68451</v>
      </c>
      <c r="V19" s="4"/>
    </row>
    <row r="20" spans="1:22" x14ac:dyDescent="0.15">
      <c r="A20" s="32">
        <v>13</v>
      </c>
      <c r="B20" s="26">
        <v>32599</v>
      </c>
      <c r="C20" s="76">
        <v>5</v>
      </c>
      <c r="D20" s="76">
        <v>2</v>
      </c>
      <c r="E20" s="76">
        <v>2</v>
      </c>
      <c r="F20" s="76">
        <v>4</v>
      </c>
      <c r="G20" s="76">
        <v>7</v>
      </c>
      <c r="H20" s="76">
        <v>1</v>
      </c>
      <c r="I20" s="13">
        <v>3</v>
      </c>
      <c r="J20" s="33">
        <v>15220824</v>
      </c>
      <c r="K20" s="77">
        <v>1</v>
      </c>
      <c r="L20" s="34">
        <v>2555555.4</v>
      </c>
      <c r="M20" s="18">
        <v>2407.1999999999998</v>
      </c>
      <c r="N20" s="56">
        <v>5</v>
      </c>
      <c r="O20" s="57">
        <v>69</v>
      </c>
      <c r="P20" s="57">
        <v>709</v>
      </c>
      <c r="Q20" s="58">
        <v>7246</v>
      </c>
      <c r="R20" s="59">
        <v>71366</v>
      </c>
      <c r="V20" s="4"/>
    </row>
    <row r="21" spans="1:22" x14ac:dyDescent="0.15">
      <c r="A21" s="32">
        <v>14</v>
      </c>
      <c r="B21" s="26">
        <v>32606</v>
      </c>
      <c r="C21" s="76">
        <v>7</v>
      </c>
      <c r="D21" s="76">
        <v>4</v>
      </c>
      <c r="E21" s="76">
        <v>5</v>
      </c>
      <c r="F21" s="76">
        <v>6</v>
      </c>
      <c r="G21" s="76">
        <v>5</v>
      </c>
      <c r="H21" s="76">
        <v>6</v>
      </c>
      <c r="I21" s="13">
        <v>9</v>
      </c>
      <c r="J21" s="33">
        <v>15642716</v>
      </c>
      <c r="K21" s="159" t="s">
        <v>23</v>
      </c>
      <c r="L21" s="34"/>
      <c r="M21" s="18">
        <v>1217846.2</v>
      </c>
      <c r="N21" s="56">
        <v>6</v>
      </c>
      <c r="O21" s="57">
        <v>71</v>
      </c>
      <c r="P21" s="57">
        <v>697</v>
      </c>
      <c r="Q21" s="58">
        <v>7049</v>
      </c>
      <c r="R21" s="59">
        <v>70637</v>
      </c>
      <c r="V21" s="4"/>
    </row>
    <row r="22" spans="1:22" x14ac:dyDescent="0.15">
      <c r="A22" s="32">
        <v>15</v>
      </c>
      <c r="B22" s="26">
        <v>32613</v>
      </c>
      <c r="C22" s="76">
        <v>0</v>
      </c>
      <c r="D22" s="76">
        <v>3</v>
      </c>
      <c r="E22" s="76">
        <v>2</v>
      </c>
      <c r="F22" s="76">
        <v>5</v>
      </c>
      <c r="G22" s="76">
        <v>0</v>
      </c>
      <c r="H22" s="76">
        <v>6</v>
      </c>
      <c r="I22" s="13">
        <v>7</v>
      </c>
      <c r="J22" s="33">
        <v>15341874</v>
      </c>
      <c r="K22" s="77">
        <v>1</v>
      </c>
      <c r="L22" s="34">
        <v>2355555.4</v>
      </c>
      <c r="M22" s="18">
        <v>54354.400000000001</v>
      </c>
      <c r="N22" s="56">
        <v>5</v>
      </c>
      <c r="O22" s="57">
        <v>63</v>
      </c>
      <c r="P22" s="57">
        <v>737</v>
      </c>
      <c r="Q22" s="58">
        <v>6808</v>
      </c>
      <c r="R22" s="59">
        <v>69104</v>
      </c>
      <c r="V22" s="4"/>
    </row>
    <row r="23" spans="1:22" x14ac:dyDescent="0.15">
      <c r="A23" s="32">
        <v>16</v>
      </c>
      <c r="B23" s="26">
        <v>32620</v>
      </c>
      <c r="C23" s="76">
        <v>1</v>
      </c>
      <c r="D23" s="76">
        <v>3</v>
      </c>
      <c r="E23" s="76">
        <v>0</v>
      </c>
      <c r="F23" s="76">
        <v>2</v>
      </c>
      <c r="G23" s="76">
        <v>2</v>
      </c>
      <c r="H23" s="76">
        <v>3</v>
      </c>
      <c r="I23" s="13">
        <v>1</v>
      </c>
      <c r="J23" s="33">
        <v>15898480</v>
      </c>
      <c r="K23" s="77">
        <v>1</v>
      </c>
      <c r="L23" s="34">
        <v>1155555.3999999999</v>
      </c>
      <c r="M23" s="18">
        <v>134110.79999999999</v>
      </c>
      <c r="N23" s="56">
        <v>9</v>
      </c>
      <c r="O23" s="57">
        <v>79</v>
      </c>
      <c r="P23" s="57">
        <v>721</v>
      </c>
      <c r="Q23" s="58">
        <v>7129</v>
      </c>
      <c r="R23" s="59">
        <v>71759</v>
      </c>
      <c r="V23" s="4"/>
    </row>
    <row r="24" spans="1:22" x14ac:dyDescent="0.15">
      <c r="A24" s="32">
        <v>17</v>
      </c>
      <c r="B24" s="26">
        <v>32627</v>
      </c>
      <c r="C24" s="76">
        <v>0</v>
      </c>
      <c r="D24" s="76">
        <v>5</v>
      </c>
      <c r="E24" s="76">
        <v>7</v>
      </c>
      <c r="F24" s="76">
        <v>9</v>
      </c>
      <c r="G24" s="76">
        <v>0</v>
      </c>
      <c r="H24" s="76">
        <v>3</v>
      </c>
      <c r="I24" s="13">
        <v>5</v>
      </c>
      <c r="J24" s="33">
        <v>15280412</v>
      </c>
      <c r="K24" s="77">
        <v>2</v>
      </c>
      <c r="L24" s="34">
        <v>555555.4</v>
      </c>
      <c r="M24" s="18">
        <v>210288</v>
      </c>
      <c r="N24" s="56">
        <v>11</v>
      </c>
      <c r="O24" s="57">
        <v>77</v>
      </c>
      <c r="P24" s="57">
        <v>702</v>
      </c>
      <c r="Q24" s="58">
        <v>6939</v>
      </c>
      <c r="R24" s="59">
        <v>69420</v>
      </c>
      <c r="V24" s="4"/>
    </row>
    <row r="25" spans="1:22" x14ac:dyDescent="0.15">
      <c r="A25" s="32">
        <v>18</v>
      </c>
      <c r="B25" s="26">
        <v>32634</v>
      </c>
      <c r="C25" s="76">
        <v>8</v>
      </c>
      <c r="D25" s="76">
        <v>8</v>
      </c>
      <c r="E25" s="76">
        <v>1</v>
      </c>
      <c r="F25" s="76">
        <v>9</v>
      </c>
      <c r="G25" s="76">
        <v>3</v>
      </c>
      <c r="H25" s="76">
        <v>4</v>
      </c>
      <c r="I25" s="13">
        <v>1</v>
      </c>
      <c r="J25" s="33">
        <v>14115846</v>
      </c>
      <c r="K25" s="159" t="s">
        <v>23</v>
      </c>
      <c r="L25" s="34"/>
      <c r="M25" s="18">
        <v>1307089.2</v>
      </c>
      <c r="N25" s="56">
        <v>6</v>
      </c>
      <c r="O25" s="57">
        <v>72</v>
      </c>
      <c r="P25" s="57">
        <v>681</v>
      </c>
      <c r="Q25" s="58">
        <v>6383</v>
      </c>
      <c r="R25" s="59">
        <v>63555</v>
      </c>
      <c r="V25" s="4"/>
    </row>
    <row r="26" spans="1:22" x14ac:dyDescent="0.15">
      <c r="A26" s="32">
        <v>19</v>
      </c>
      <c r="B26" s="26">
        <v>32641</v>
      </c>
      <c r="C26" s="76">
        <v>2</v>
      </c>
      <c r="D26" s="76">
        <v>5</v>
      </c>
      <c r="E26" s="76">
        <v>2</v>
      </c>
      <c r="F26" s="76">
        <v>0</v>
      </c>
      <c r="G26" s="76">
        <v>4</v>
      </c>
      <c r="H26" s="76">
        <v>1</v>
      </c>
      <c r="I26" s="13">
        <v>2</v>
      </c>
      <c r="J26" s="33">
        <v>14905214</v>
      </c>
      <c r="K26" s="77">
        <v>1</v>
      </c>
      <c r="L26" s="34">
        <v>2355555.4</v>
      </c>
      <c r="M26" s="18">
        <v>109668.9</v>
      </c>
      <c r="N26" s="56">
        <v>7</v>
      </c>
      <c r="O26" s="57">
        <v>63</v>
      </c>
      <c r="P26" s="57">
        <v>700</v>
      </c>
      <c r="Q26" s="58">
        <v>6924</v>
      </c>
      <c r="R26" s="59">
        <v>67856</v>
      </c>
      <c r="V26" s="4"/>
    </row>
    <row r="27" spans="1:22" x14ac:dyDescent="0.15">
      <c r="A27" s="32">
        <v>20</v>
      </c>
      <c r="B27" s="26">
        <v>32648</v>
      </c>
      <c r="C27" s="76">
        <v>9</v>
      </c>
      <c r="D27" s="76">
        <v>6</v>
      </c>
      <c r="E27" s="76">
        <v>6</v>
      </c>
      <c r="F27" s="76">
        <v>8</v>
      </c>
      <c r="G27" s="76">
        <v>2</v>
      </c>
      <c r="H27" s="76">
        <v>2</v>
      </c>
      <c r="I27" s="13">
        <v>8</v>
      </c>
      <c r="J27" s="33">
        <v>14217410</v>
      </c>
      <c r="K27" s="77">
        <v>1</v>
      </c>
      <c r="L27" s="34">
        <v>1155555.3999999999</v>
      </c>
      <c r="M27" s="18">
        <v>58806.2</v>
      </c>
      <c r="N27" s="56">
        <v>5</v>
      </c>
      <c r="O27" s="57">
        <v>62</v>
      </c>
      <c r="P27" s="57">
        <v>621</v>
      </c>
      <c r="Q27" s="58">
        <v>6698</v>
      </c>
      <c r="R27" s="59">
        <v>65314</v>
      </c>
      <c r="V27" s="4"/>
    </row>
    <row r="28" spans="1:22" x14ac:dyDescent="0.15">
      <c r="A28" s="32">
        <v>21</v>
      </c>
      <c r="B28" s="26">
        <v>32655</v>
      </c>
      <c r="C28" s="76">
        <v>2</v>
      </c>
      <c r="D28" s="76">
        <v>6</v>
      </c>
      <c r="E28" s="76">
        <v>6</v>
      </c>
      <c r="F28" s="76">
        <v>9</v>
      </c>
      <c r="G28" s="76">
        <v>7</v>
      </c>
      <c r="H28" s="76">
        <v>4</v>
      </c>
      <c r="I28" s="13">
        <v>5</v>
      </c>
      <c r="J28" s="33">
        <v>13845092</v>
      </c>
      <c r="K28" s="77">
        <v>1</v>
      </c>
      <c r="L28" s="34">
        <v>955555.4</v>
      </c>
      <c r="M28" s="18">
        <v>179014.39999999999</v>
      </c>
      <c r="N28" s="56">
        <v>7</v>
      </c>
      <c r="O28" s="57">
        <v>53</v>
      </c>
      <c r="P28" s="57">
        <v>660</v>
      </c>
      <c r="Q28" s="58">
        <v>6197</v>
      </c>
      <c r="R28" s="59">
        <v>62842</v>
      </c>
      <c r="V28" s="4"/>
    </row>
    <row r="29" spans="1:22" x14ac:dyDescent="0.15">
      <c r="A29" s="32">
        <v>22</v>
      </c>
      <c r="B29" s="26">
        <v>32662</v>
      </c>
      <c r="C29" s="76">
        <v>4</v>
      </c>
      <c r="D29" s="76">
        <v>3</v>
      </c>
      <c r="E29" s="76">
        <v>0</v>
      </c>
      <c r="F29" s="76">
        <v>5</v>
      </c>
      <c r="G29" s="76">
        <v>0</v>
      </c>
      <c r="H29" s="76">
        <v>0</v>
      </c>
      <c r="I29" s="13">
        <v>0</v>
      </c>
      <c r="J29" s="33">
        <v>14878180</v>
      </c>
      <c r="K29" s="77">
        <v>1</v>
      </c>
      <c r="L29" s="34">
        <v>1155555.3999999999</v>
      </c>
      <c r="M29" s="18">
        <v>179493.5</v>
      </c>
      <c r="N29" s="56">
        <v>9</v>
      </c>
      <c r="O29" s="57">
        <v>69</v>
      </c>
      <c r="P29" s="57">
        <v>633</v>
      </c>
      <c r="Q29" s="58">
        <v>6151</v>
      </c>
      <c r="R29" s="59">
        <v>64761</v>
      </c>
      <c r="V29" s="4"/>
    </row>
    <row r="30" spans="1:22" x14ac:dyDescent="0.15">
      <c r="A30" s="32">
        <v>23</v>
      </c>
      <c r="B30" s="26">
        <v>32669</v>
      </c>
      <c r="C30" s="76">
        <v>1</v>
      </c>
      <c r="D30" s="76">
        <v>1</v>
      </c>
      <c r="E30" s="76">
        <v>6</v>
      </c>
      <c r="F30" s="76">
        <v>0</v>
      </c>
      <c r="G30" s="76">
        <v>4</v>
      </c>
      <c r="H30" s="76">
        <v>7</v>
      </c>
      <c r="I30" s="13">
        <v>4</v>
      </c>
      <c r="J30" s="33">
        <v>14627656</v>
      </c>
      <c r="K30" s="159" t="s">
        <v>23</v>
      </c>
      <c r="L30" s="34"/>
      <c r="M30" s="18">
        <v>1316062.3</v>
      </c>
      <c r="N30" s="56">
        <v>6</v>
      </c>
      <c r="O30" s="57">
        <v>62</v>
      </c>
      <c r="P30" s="57">
        <v>676</v>
      </c>
      <c r="Q30" s="58">
        <v>6616</v>
      </c>
      <c r="R30" s="59">
        <v>66247</v>
      </c>
      <c r="V30" s="4"/>
    </row>
    <row r="31" spans="1:22" x14ac:dyDescent="0.15">
      <c r="A31" s="32">
        <v>24</v>
      </c>
      <c r="B31" s="26">
        <v>32676</v>
      </c>
      <c r="C31" s="76">
        <v>0</v>
      </c>
      <c r="D31" s="76">
        <v>7</v>
      </c>
      <c r="E31" s="76">
        <v>1</v>
      </c>
      <c r="F31" s="76">
        <v>9</v>
      </c>
      <c r="G31" s="76">
        <v>2</v>
      </c>
      <c r="H31" s="76">
        <v>6</v>
      </c>
      <c r="I31" s="13">
        <v>2</v>
      </c>
      <c r="J31" s="33">
        <v>14599040</v>
      </c>
      <c r="K31" s="77">
        <v>1</v>
      </c>
      <c r="L31" s="34">
        <v>2355555.4</v>
      </c>
      <c r="M31" s="18">
        <v>94852.3</v>
      </c>
      <c r="N31" s="56">
        <v>7</v>
      </c>
      <c r="O31" s="57">
        <v>63</v>
      </c>
      <c r="P31" s="57">
        <v>683</v>
      </c>
      <c r="Q31" s="58">
        <v>6560</v>
      </c>
      <c r="R31" s="59">
        <v>66381</v>
      </c>
      <c r="V31" s="4"/>
    </row>
    <row r="32" spans="1:22" x14ac:dyDescent="0.15">
      <c r="A32" s="32">
        <v>25</v>
      </c>
      <c r="B32" s="26">
        <v>32683</v>
      </c>
      <c r="C32" s="76">
        <v>0</v>
      </c>
      <c r="D32" s="76">
        <v>3</v>
      </c>
      <c r="E32" s="76">
        <v>7</v>
      </c>
      <c r="F32" s="76">
        <v>1</v>
      </c>
      <c r="G32" s="76">
        <v>0</v>
      </c>
      <c r="H32" s="76">
        <v>7</v>
      </c>
      <c r="I32" s="13">
        <v>0</v>
      </c>
      <c r="J32" s="33">
        <v>14305668</v>
      </c>
      <c r="K32" s="77">
        <v>2</v>
      </c>
      <c r="L32" s="34">
        <v>555555.4</v>
      </c>
      <c r="M32" s="18">
        <v>95291.9</v>
      </c>
      <c r="N32" s="56">
        <v>3</v>
      </c>
      <c r="O32" s="57">
        <v>66</v>
      </c>
      <c r="P32" s="57">
        <v>640</v>
      </c>
      <c r="Q32" s="58">
        <v>6245</v>
      </c>
      <c r="R32" s="59">
        <v>63045</v>
      </c>
      <c r="V32" s="4"/>
    </row>
    <row r="33" spans="1:22" x14ac:dyDescent="0.15">
      <c r="A33" s="32">
        <v>26</v>
      </c>
      <c r="B33" s="26">
        <v>32690</v>
      </c>
      <c r="C33" s="76">
        <v>7</v>
      </c>
      <c r="D33" s="76">
        <v>2</v>
      </c>
      <c r="E33" s="76">
        <v>3</v>
      </c>
      <c r="F33" s="76">
        <v>3</v>
      </c>
      <c r="G33" s="76">
        <v>4</v>
      </c>
      <c r="H33" s="76">
        <v>0</v>
      </c>
      <c r="I33" s="13">
        <v>2</v>
      </c>
      <c r="J33" s="33">
        <v>14604604</v>
      </c>
      <c r="K33" s="77">
        <v>1</v>
      </c>
      <c r="L33" s="34">
        <v>1155555.3999999999</v>
      </c>
      <c r="M33" s="18">
        <v>74514.2</v>
      </c>
      <c r="N33" s="56">
        <v>6</v>
      </c>
      <c r="O33" s="57">
        <v>68</v>
      </c>
      <c r="P33" s="57">
        <v>639</v>
      </c>
      <c r="Q33" s="58">
        <v>6442</v>
      </c>
      <c r="R33" s="59">
        <v>63736</v>
      </c>
      <c r="V33" s="4"/>
    </row>
    <row r="34" spans="1:22" x14ac:dyDescent="0.15">
      <c r="A34" s="32">
        <v>27</v>
      </c>
      <c r="B34" s="26">
        <v>32697</v>
      </c>
      <c r="C34" s="76">
        <v>8</v>
      </c>
      <c r="D34" s="76">
        <v>6</v>
      </c>
      <c r="E34" s="76">
        <v>6</v>
      </c>
      <c r="F34" s="76">
        <v>6</v>
      </c>
      <c r="G34" s="76">
        <v>2</v>
      </c>
      <c r="H34" s="76">
        <v>7</v>
      </c>
      <c r="I34" s="13">
        <v>2</v>
      </c>
      <c r="J34" s="33">
        <v>14025708</v>
      </c>
      <c r="K34" s="77">
        <v>1</v>
      </c>
      <c r="L34" s="34">
        <v>1155555.3999999999</v>
      </c>
      <c r="M34" s="18">
        <v>8756.2999999999993</v>
      </c>
      <c r="N34" s="56">
        <v>9</v>
      </c>
      <c r="O34" s="57">
        <v>66</v>
      </c>
      <c r="P34" s="57">
        <v>629</v>
      </c>
      <c r="Q34" s="58">
        <v>6176</v>
      </c>
      <c r="R34" s="59">
        <v>62995</v>
      </c>
      <c r="V34" s="4"/>
    </row>
    <row r="35" spans="1:22" x14ac:dyDescent="0.15">
      <c r="A35" s="32">
        <v>28</v>
      </c>
      <c r="B35" s="26">
        <v>32704</v>
      </c>
      <c r="C35" s="76">
        <v>4</v>
      </c>
      <c r="D35" s="76">
        <v>6</v>
      </c>
      <c r="E35" s="76">
        <v>8</v>
      </c>
      <c r="F35" s="76">
        <v>1</v>
      </c>
      <c r="G35" s="76">
        <v>2</v>
      </c>
      <c r="H35" s="76">
        <v>7</v>
      </c>
      <c r="I35" s="13">
        <v>3</v>
      </c>
      <c r="J35" s="33">
        <v>14274844</v>
      </c>
      <c r="K35" s="77">
        <v>1</v>
      </c>
      <c r="L35" s="34">
        <v>955555.4</v>
      </c>
      <c r="M35" s="18">
        <v>162356.20000000001</v>
      </c>
      <c r="N35" s="56">
        <v>7</v>
      </c>
      <c r="O35" s="57">
        <v>62</v>
      </c>
      <c r="P35" s="57">
        <v>614</v>
      </c>
      <c r="Q35" s="58">
        <v>6316</v>
      </c>
      <c r="R35" s="59">
        <v>62717</v>
      </c>
      <c r="V35" s="4"/>
    </row>
    <row r="36" spans="1:22" x14ac:dyDescent="0.15">
      <c r="A36" s="32">
        <v>29</v>
      </c>
      <c r="B36" s="26">
        <v>32711</v>
      </c>
      <c r="C36" s="76">
        <v>5</v>
      </c>
      <c r="D36" s="76">
        <v>3</v>
      </c>
      <c r="E36" s="76">
        <v>6</v>
      </c>
      <c r="F36" s="76">
        <v>2</v>
      </c>
      <c r="G36" s="76">
        <v>1</v>
      </c>
      <c r="H36" s="76">
        <v>1</v>
      </c>
      <c r="I36" s="13">
        <v>7</v>
      </c>
      <c r="J36" s="33">
        <v>14071802</v>
      </c>
      <c r="K36" s="77">
        <v>2</v>
      </c>
      <c r="L36" s="34">
        <v>555555.4</v>
      </c>
      <c r="M36" s="18">
        <v>144624.4</v>
      </c>
      <c r="N36" s="56">
        <v>3</v>
      </c>
      <c r="O36" s="57">
        <v>63</v>
      </c>
      <c r="P36" s="57">
        <v>629</v>
      </c>
      <c r="Q36" s="58">
        <v>6390</v>
      </c>
      <c r="R36" s="59">
        <v>64604</v>
      </c>
      <c r="V36" s="4"/>
    </row>
    <row r="37" spans="1:22" x14ac:dyDescent="0.15">
      <c r="A37" s="32">
        <v>30</v>
      </c>
      <c r="B37" s="26">
        <v>32718</v>
      </c>
      <c r="C37" s="76">
        <v>6</v>
      </c>
      <c r="D37" s="76">
        <v>4</v>
      </c>
      <c r="E37" s="76">
        <v>9</v>
      </c>
      <c r="F37" s="76">
        <v>3</v>
      </c>
      <c r="G37" s="76">
        <v>0</v>
      </c>
      <c r="H37" s="76">
        <v>3</v>
      </c>
      <c r="I37" s="13">
        <v>9</v>
      </c>
      <c r="J37" s="33">
        <v>14207036</v>
      </c>
      <c r="K37" s="77">
        <v>1</v>
      </c>
      <c r="L37" s="34">
        <v>1155555.3999999999</v>
      </c>
      <c r="M37" s="18">
        <v>92955.6</v>
      </c>
      <c r="N37" s="56">
        <v>7</v>
      </c>
      <c r="O37" s="57">
        <v>70</v>
      </c>
      <c r="P37" s="57">
        <v>656</v>
      </c>
      <c r="Q37" s="58">
        <v>6278</v>
      </c>
      <c r="R37" s="59">
        <v>65400</v>
      </c>
      <c r="V37" s="4"/>
    </row>
    <row r="38" spans="1:22" x14ac:dyDescent="0.15">
      <c r="A38" s="32">
        <v>31</v>
      </c>
      <c r="B38" s="26">
        <v>32725</v>
      </c>
      <c r="C38" s="76">
        <v>1</v>
      </c>
      <c r="D38" s="76">
        <v>5</v>
      </c>
      <c r="E38" s="76">
        <v>8</v>
      </c>
      <c r="F38" s="76">
        <v>0</v>
      </c>
      <c r="G38" s="76">
        <v>0</v>
      </c>
      <c r="H38" s="76">
        <v>6</v>
      </c>
      <c r="I38" s="13">
        <v>5</v>
      </c>
      <c r="J38" s="33">
        <v>14253822</v>
      </c>
      <c r="K38" s="77">
        <v>3</v>
      </c>
      <c r="L38" s="34">
        <v>355555.4</v>
      </c>
      <c r="M38" s="18">
        <v>133811.29999999999</v>
      </c>
      <c r="N38" s="56">
        <v>12</v>
      </c>
      <c r="O38" s="57">
        <v>72</v>
      </c>
      <c r="P38" s="57">
        <v>686</v>
      </c>
      <c r="Q38" s="58">
        <v>6361</v>
      </c>
      <c r="R38" s="59">
        <v>64661</v>
      </c>
      <c r="V38" s="4"/>
    </row>
    <row r="39" spans="1:22" x14ac:dyDescent="0.15">
      <c r="A39" s="32">
        <v>32</v>
      </c>
      <c r="B39" s="26">
        <v>32732</v>
      </c>
      <c r="C39" s="76">
        <v>6</v>
      </c>
      <c r="D39" s="76">
        <v>9</v>
      </c>
      <c r="E39" s="76">
        <v>8</v>
      </c>
      <c r="F39" s="76">
        <v>6</v>
      </c>
      <c r="G39" s="76">
        <v>7</v>
      </c>
      <c r="H39" s="76">
        <v>9</v>
      </c>
      <c r="I39" s="13">
        <v>9</v>
      </c>
      <c r="J39" s="33">
        <v>14208694</v>
      </c>
      <c r="K39" s="77">
        <v>3</v>
      </c>
      <c r="L39" s="34">
        <v>355555.4</v>
      </c>
      <c r="M39" s="18">
        <v>171160.6</v>
      </c>
      <c r="N39" s="56">
        <v>5</v>
      </c>
      <c r="O39" s="57">
        <v>60</v>
      </c>
      <c r="P39" s="57">
        <v>628</v>
      </c>
      <c r="Q39" s="58">
        <v>6481</v>
      </c>
      <c r="R39" s="59">
        <v>63944</v>
      </c>
      <c r="V39" s="4"/>
    </row>
    <row r="40" spans="1:22" x14ac:dyDescent="0.15">
      <c r="A40" s="32">
        <v>33</v>
      </c>
      <c r="B40" s="26">
        <v>32739</v>
      </c>
      <c r="C40" s="76">
        <v>4</v>
      </c>
      <c r="D40" s="76">
        <v>5</v>
      </c>
      <c r="E40" s="76">
        <v>5</v>
      </c>
      <c r="F40" s="76">
        <v>3</v>
      </c>
      <c r="G40" s="76">
        <v>0</v>
      </c>
      <c r="H40" s="76">
        <v>9</v>
      </c>
      <c r="I40" s="13">
        <v>9</v>
      </c>
      <c r="J40" s="33">
        <v>14218464</v>
      </c>
      <c r="K40" s="77">
        <v>2</v>
      </c>
      <c r="L40" s="34">
        <v>555555.4</v>
      </c>
      <c r="M40" s="18">
        <v>164824.4</v>
      </c>
      <c r="N40" s="56">
        <v>5</v>
      </c>
      <c r="O40" s="57">
        <v>61</v>
      </c>
      <c r="P40" s="57">
        <v>575</v>
      </c>
      <c r="Q40" s="58">
        <v>5885</v>
      </c>
      <c r="R40" s="59">
        <v>60456</v>
      </c>
      <c r="V40" s="4"/>
    </row>
    <row r="41" spans="1:22" x14ac:dyDescent="0.15">
      <c r="A41" s="32">
        <v>34</v>
      </c>
      <c r="B41" s="26">
        <v>32746</v>
      </c>
      <c r="C41" s="76">
        <v>2</v>
      </c>
      <c r="D41" s="76">
        <v>2</v>
      </c>
      <c r="E41" s="76">
        <v>7</v>
      </c>
      <c r="F41" s="76">
        <v>5</v>
      </c>
      <c r="G41" s="76">
        <v>6</v>
      </c>
      <c r="H41" s="14">
        <v>0</v>
      </c>
      <c r="I41" s="14">
        <v>6</v>
      </c>
      <c r="J41" s="33">
        <v>15495902</v>
      </c>
      <c r="K41" s="159" t="s">
        <v>23</v>
      </c>
      <c r="L41" s="34"/>
      <c r="M41" s="18">
        <v>1368855.9</v>
      </c>
      <c r="N41" s="56">
        <v>9</v>
      </c>
      <c r="O41" s="57">
        <v>58</v>
      </c>
      <c r="P41" s="57">
        <v>664</v>
      </c>
      <c r="Q41" s="58">
        <v>6719</v>
      </c>
      <c r="R41" s="59">
        <v>67188</v>
      </c>
      <c r="V41" s="4"/>
    </row>
    <row r="42" spans="1:22" s="90" customFormat="1" x14ac:dyDescent="0.15">
      <c r="A42" s="32">
        <v>35</v>
      </c>
      <c r="B42" s="26">
        <v>32753</v>
      </c>
      <c r="C42" s="76">
        <v>5</v>
      </c>
      <c r="D42" s="76">
        <v>6</v>
      </c>
      <c r="E42" s="76">
        <v>3</v>
      </c>
      <c r="F42" s="76">
        <v>8</v>
      </c>
      <c r="G42" s="76">
        <v>0</v>
      </c>
      <c r="H42" s="115">
        <v>6</v>
      </c>
      <c r="I42" s="13">
        <v>0</v>
      </c>
      <c r="J42" s="116">
        <v>20041422</v>
      </c>
      <c r="K42" s="159" t="s">
        <v>23</v>
      </c>
      <c r="L42" s="34"/>
      <c r="M42" s="117">
        <v>2926074.3</v>
      </c>
      <c r="N42" s="56">
        <v>5</v>
      </c>
      <c r="O42" s="57">
        <v>84</v>
      </c>
      <c r="P42" s="57">
        <v>826</v>
      </c>
      <c r="Q42" s="58">
        <v>8559</v>
      </c>
      <c r="R42" s="59">
        <v>87048</v>
      </c>
      <c r="S42" s="91"/>
      <c r="V42" s="100"/>
    </row>
    <row r="43" spans="1:22" s="90" customFormat="1" x14ac:dyDescent="0.15">
      <c r="A43" s="32">
        <v>36</v>
      </c>
      <c r="B43" s="26">
        <v>32760</v>
      </c>
      <c r="C43" s="103">
        <v>0</v>
      </c>
      <c r="D43" s="103">
        <v>7</v>
      </c>
      <c r="E43" s="103">
        <v>3</v>
      </c>
      <c r="F43" s="103">
        <v>3</v>
      </c>
      <c r="G43" s="103">
        <v>9</v>
      </c>
      <c r="H43" s="115">
        <v>9</v>
      </c>
      <c r="I43" s="113">
        <v>0</v>
      </c>
      <c r="J43" s="116">
        <v>17276052</v>
      </c>
      <c r="K43" s="114">
        <v>1</v>
      </c>
      <c r="L43" s="34">
        <v>4155555.4</v>
      </c>
      <c r="M43" s="18">
        <v>112868.1</v>
      </c>
      <c r="N43" s="56">
        <v>6</v>
      </c>
      <c r="O43" s="57">
        <v>70.0555555555556</v>
      </c>
      <c r="P43" s="57">
        <v>776</v>
      </c>
      <c r="Q43" s="58">
        <v>7546</v>
      </c>
      <c r="R43" s="59">
        <v>74447</v>
      </c>
      <c r="S43" s="91"/>
      <c r="V43" s="100"/>
    </row>
    <row r="44" spans="1:22" s="90" customFormat="1" x14ac:dyDescent="0.15">
      <c r="A44" s="32">
        <v>37</v>
      </c>
      <c r="B44" s="26">
        <v>32767</v>
      </c>
      <c r="C44" s="109">
        <v>3</v>
      </c>
      <c r="D44" s="110">
        <v>1</v>
      </c>
      <c r="E44" s="110">
        <v>8</v>
      </c>
      <c r="F44" s="110">
        <v>1</v>
      </c>
      <c r="G44" s="110">
        <v>5</v>
      </c>
      <c r="H44" s="110">
        <v>3</v>
      </c>
      <c r="I44" s="13">
        <v>2</v>
      </c>
      <c r="J44" s="33">
        <v>17544602</v>
      </c>
      <c r="K44" s="159" t="s">
        <v>23</v>
      </c>
      <c r="L44" s="34"/>
      <c r="M44" s="18">
        <v>1476083.6</v>
      </c>
      <c r="N44" s="56">
        <v>10</v>
      </c>
      <c r="O44" s="57">
        <v>70.822222222222294</v>
      </c>
      <c r="P44" s="57">
        <v>762</v>
      </c>
      <c r="Q44" s="58">
        <v>7761</v>
      </c>
      <c r="R44" s="59">
        <v>79525</v>
      </c>
      <c r="S44" s="91"/>
      <c r="V44" s="100"/>
    </row>
    <row r="45" spans="1:22" s="90" customFormat="1" x14ac:dyDescent="0.15">
      <c r="A45" s="32">
        <v>38</v>
      </c>
      <c r="B45" s="26">
        <v>32774</v>
      </c>
      <c r="C45" s="76">
        <v>1</v>
      </c>
      <c r="D45" s="76">
        <v>2</v>
      </c>
      <c r="E45" s="76">
        <v>4</v>
      </c>
      <c r="F45" s="76">
        <v>8</v>
      </c>
      <c r="G45" s="76">
        <v>7</v>
      </c>
      <c r="H45" s="76">
        <v>1</v>
      </c>
      <c r="I45" s="13">
        <v>1</v>
      </c>
      <c r="J45" s="33">
        <v>17166620</v>
      </c>
      <c r="K45" s="112">
        <v>2</v>
      </c>
      <c r="L45" s="18">
        <v>1355555.4</v>
      </c>
      <c r="M45" s="18">
        <v>98819.1</v>
      </c>
      <c r="N45" s="56">
        <v>11</v>
      </c>
      <c r="O45" s="57">
        <v>80</v>
      </c>
      <c r="P45" s="57">
        <v>764</v>
      </c>
      <c r="Q45" s="58">
        <v>7792</v>
      </c>
      <c r="R45" s="59">
        <v>77056</v>
      </c>
      <c r="S45" s="91"/>
      <c r="V45" s="100"/>
    </row>
    <row r="46" spans="1:22" s="90" customFormat="1" x14ac:dyDescent="0.15">
      <c r="A46" s="32">
        <v>39</v>
      </c>
      <c r="B46" s="26">
        <v>32781</v>
      </c>
      <c r="C46" s="76">
        <v>5</v>
      </c>
      <c r="D46" s="76">
        <v>0</v>
      </c>
      <c r="E46" s="76">
        <v>9</v>
      </c>
      <c r="F46" s="76">
        <v>4</v>
      </c>
      <c r="G46" s="76">
        <v>1</v>
      </c>
      <c r="H46" s="76">
        <v>3</v>
      </c>
      <c r="I46" s="13">
        <v>8</v>
      </c>
      <c r="J46" s="33">
        <v>17150272</v>
      </c>
      <c r="K46" s="159" t="s">
        <v>23</v>
      </c>
      <c r="L46" s="34"/>
      <c r="M46" s="18">
        <v>1431395.2</v>
      </c>
      <c r="N46" s="56">
        <v>9</v>
      </c>
      <c r="O46" s="57">
        <v>81</v>
      </c>
      <c r="P46" s="57">
        <v>800</v>
      </c>
      <c r="Q46" s="58">
        <v>7904</v>
      </c>
      <c r="R46" s="59">
        <v>77909</v>
      </c>
      <c r="S46" s="91"/>
      <c r="V46" s="100"/>
    </row>
    <row r="47" spans="1:22" s="90" customFormat="1" x14ac:dyDescent="0.15">
      <c r="A47" s="32">
        <v>40</v>
      </c>
      <c r="B47" s="26">
        <v>32788</v>
      </c>
      <c r="C47" s="76">
        <v>4</v>
      </c>
      <c r="D47" s="76">
        <v>1</v>
      </c>
      <c r="E47" s="76">
        <v>9</v>
      </c>
      <c r="F47" s="76">
        <v>6</v>
      </c>
      <c r="G47" s="76">
        <v>2</v>
      </c>
      <c r="H47" s="76">
        <v>8</v>
      </c>
      <c r="I47" s="13">
        <v>9</v>
      </c>
      <c r="J47" s="33">
        <v>17447720</v>
      </c>
      <c r="K47" s="159" t="s">
        <v>23</v>
      </c>
      <c r="L47" s="34"/>
      <c r="M47" s="18">
        <v>2787083</v>
      </c>
      <c r="N47" s="56">
        <v>8</v>
      </c>
      <c r="O47" s="57">
        <v>68</v>
      </c>
      <c r="P47" s="57">
        <v>844</v>
      </c>
      <c r="Q47" s="58">
        <v>7931</v>
      </c>
      <c r="R47" s="59">
        <v>79172</v>
      </c>
      <c r="S47" s="91"/>
      <c r="V47" s="100"/>
    </row>
    <row r="48" spans="1:22" s="90" customFormat="1" x14ac:dyDescent="0.15">
      <c r="A48" s="32">
        <v>41</v>
      </c>
      <c r="B48" s="26">
        <v>32795</v>
      </c>
      <c r="C48" s="76">
        <v>2</v>
      </c>
      <c r="D48" s="76">
        <v>2</v>
      </c>
      <c r="E48" s="76">
        <v>2</v>
      </c>
      <c r="F48" s="76">
        <v>0</v>
      </c>
      <c r="G48" s="76">
        <v>9</v>
      </c>
      <c r="H48" s="76">
        <v>6</v>
      </c>
      <c r="I48" s="13">
        <v>3</v>
      </c>
      <c r="J48" s="33">
        <v>17515142</v>
      </c>
      <c r="K48" s="112">
        <v>1</v>
      </c>
      <c r="L48" s="34">
        <v>3955555.4</v>
      </c>
      <c r="M48" s="18">
        <v>192454.1</v>
      </c>
      <c r="N48" s="56">
        <v>6</v>
      </c>
      <c r="O48" s="57">
        <v>82</v>
      </c>
      <c r="P48" s="57">
        <v>834</v>
      </c>
      <c r="Q48" s="58">
        <v>8164</v>
      </c>
      <c r="R48" s="59">
        <v>80860</v>
      </c>
      <c r="S48" s="91"/>
      <c r="V48" s="100"/>
    </row>
    <row r="49" spans="1:22" s="90" customFormat="1" x14ac:dyDescent="0.15">
      <c r="A49" s="32">
        <v>42</v>
      </c>
      <c r="B49" s="26">
        <v>32802</v>
      </c>
      <c r="C49" s="76">
        <v>9</v>
      </c>
      <c r="D49" s="76">
        <v>2</v>
      </c>
      <c r="E49" s="76">
        <v>8</v>
      </c>
      <c r="F49" s="76">
        <v>2</v>
      </c>
      <c r="G49" s="76">
        <v>4</v>
      </c>
      <c r="H49" s="76">
        <v>1</v>
      </c>
      <c r="I49" s="13">
        <v>8</v>
      </c>
      <c r="J49" s="33">
        <v>17060928</v>
      </c>
      <c r="K49" s="112">
        <v>1</v>
      </c>
      <c r="L49" s="34">
        <v>1355555.4</v>
      </c>
      <c r="M49" s="18">
        <v>162532.79999999999</v>
      </c>
      <c r="N49" s="56">
        <v>8</v>
      </c>
      <c r="O49" s="57">
        <v>63</v>
      </c>
      <c r="P49" s="57">
        <v>762</v>
      </c>
      <c r="Q49" s="58">
        <v>7800</v>
      </c>
      <c r="R49" s="59">
        <v>76876</v>
      </c>
      <c r="S49" s="91"/>
      <c r="V49" s="100"/>
    </row>
    <row r="50" spans="1:22" s="90" customFormat="1" x14ac:dyDescent="0.15">
      <c r="A50" s="32">
        <v>43</v>
      </c>
      <c r="B50" s="26">
        <v>32809</v>
      </c>
      <c r="C50" s="76">
        <v>9</v>
      </c>
      <c r="D50" s="76">
        <v>8</v>
      </c>
      <c r="E50" s="76">
        <v>9</v>
      </c>
      <c r="F50" s="76">
        <v>4</v>
      </c>
      <c r="G50" s="76">
        <v>5</v>
      </c>
      <c r="H50" s="76">
        <v>3</v>
      </c>
      <c r="I50" s="13">
        <v>2</v>
      </c>
      <c r="J50" s="33">
        <v>16990116</v>
      </c>
      <c r="K50" s="159" t="s">
        <v>23</v>
      </c>
      <c r="L50" s="34"/>
      <c r="M50" s="18">
        <v>1482664.8</v>
      </c>
      <c r="N50" s="56">
        <v>6</v>
      </c>
      <c r="O50" s="57">
        <v>81</v>
      </c>
      <c r="P50" s="57">
        <v>761</v>
      </c>
      <c r="Q50" s="58">
        <v>7887</v>
      </c>
      <c r="R50" s="59">
        <v>77544</v>
      </c>
      <c r="S50" s="91"/>
      <c r="V50" s="100"/>
    </row>
    <row r="51" spans="1:22" s="90" customFormat="1" x14ac:dyDescent="0.15">
      <c r="A51" s="32">
        <v>44</v>
      </c>
      <c r="B51" s="26">
        <v>32816</v>
      </c>
      <c r="C51" s="76">
        <v>1</v>
      </c>
      <c r="D51" s="76">
        <v>4</v>
      </c>
      <c r="E51" s="76">
        <v>3</v>
      </c>
      <c r="F51" s="76">
        <v>9</v>
      </c>
      <c r="G51" s="76">
        <v>9</v>
      </c>
      <c r="H51" s="76">
        <v>4</v>
      </c>
      <c r="I51" s="13">
        <v>2</v>
      </c>
      <c r="J51" s="33">
        <v>18087756</v>
      </c>
      <c r="K51" s="159" t="s">
        <v>23</v>
      </c>
      <c r="L51" s="34"/>
      <c r="M51" s="117">
        <v>2888083.4</v>
      </c>
      <c r="N51" s="56">
        <v>6</v>
      </c>
      <c r="O51" s="57">
        <v>79</v>
      </c>
      <c r="P51" s="57">
        <v>783</v>
      </c>
      <c r="Q51" s="58">
        <v>8191</v>
      </c>
      <c r="R51" s="59">
        <v>81944</v>
      </c>
      <c r="S51" s="91"/>
      <c r="V51" s="100"/>
    </row>
    <row r="52" spans="1:22" s="90" customFormat="1" x14ac:dyDescent="0.15">
      <c r="A52" s="32">
        <v>45</v>
      </c>
      <c r="B52" s="26">
        <v>32823</v>
      </c>
      <c r="C52" s="76">
        <v>8</v>
      </c>
      <c r="D52" s="76">
        <v>1</v>
      </c>
      <c r="E52" s="76">
        <v>7</v>
      </c>
      <c r="F52" s="76">
        <v>2</v>
      </c>
      <c r="G52" s="76">
        <v>7</v>
      </c>
      <c r="H52" s="76">
        <v>6</v>
      </c>
      <c r="I52" s="13">
        <v>7</v>
      </c>
      <c r="J52" s="116">
        <v>17522280</v>
      </c>
      <c r="K52" s="112">
        <v>1</v>
      </c>
      <c r="L52" s="34">
        <v>4155555.4</v>
      </c>
      <c r="M52" s="18">
        <v>94009.1</v>
      </c>
      <c r="N52" s="56">
        <v>3</v>
      </c>
      <c r="O52" s="57">
        <v>83</v>
      </c>
      <c r="P52" s="57">
        <v>789</v>
      </c>
      <c r="Q52" s="58">
        <v>8081</v>
      </c>
      <c r="R52" s="59">
        <v>79803</v>
      </c>
      <c r="S52" s="91"/>
    </row>
    <row r="53" spans="1:22" s="90" customFormat="1" x14ac:dyDescent="0.15">
      <c r="A53" s="32">
        <v>46</v>
      </c>
      <c r="B53" s="26">
        <v>32830</v>
      </c>
      <c r="C53" s="76">
        <v>4</v>
      </c>
      <c r="D53" s="76">
        <v>3</v>
      </c>
      <c r="E53" s="76">
        <v>5</v>
      </c>
      <c r="F53" s="76">
        <v>7</v>
      </c>
      <c r="G53" s="76">
        <v>5</v>
      </c>
      <c r="H53" s="76">
        <v>9</v>
      </c>
      <c r="I53" s="13">
        <v>7</v>
      </c>
      <c r="J53" s="116">
        <v>17095222</v>
      </c>
      <c r="K53" s="159" t="s">
        <v>23</v>
      </c>
      <c r="L53" s="34"/>
      <c r="M53" s="18">
        <v>1422307.8</v>
      </c>
      <c r="N53" s="56">
        <v>3</v>
      </c>
      <c r="O53" s="57">
        <v>66</v>
      </c>
      <c r="P53" s="57">
        <v>723</v>
      </c>
      <c r="Q53" s="58">
        <v>7678</v>
      </c>
      <c r="R53" s="59">
        <v>76365</v>
      </c>
      <c r="S53" s="91"/>
    </row>
    <row r="54" spans="1:22" s="90" customFormat="1" x14ac:dyDescent="0.15">
      <c r="A54" s="32">
        <v>47</v>
      </c>
      <c r="B54" s="26">
        <v>32837</v>
      </c>
      <c r="C54" s="76">
        <v>7</v>
      </c>
      <c r="D54" s="76">
        <v>8</v>
      </c>
      <c r="E54" s="76">
        <v>9</v>
      </c>
      <c r="F54" s="76">
        <v>5</v>
      </c>
      <c r="G54" s="76">
        <v>9</v>
      </c>
      <c r="H54" s="76">
        <v>4</v>
      </c>
      <c r="I54" s="13">
        <v>6</v>
      </c>
      <c r="J54" s="33">
        <v>16812174</v>
      </c>
      <c r="K54" s="159" t="s">
        <v>23</v>
      </c>
      <c r="L54" s="34"/>
      <c r="M54" s="18">
        <v>2728613.7</v>
      </c>
      <c r="N54" s="56">
        <v>11</v>
      </c>
      <c r="O54" s="57">
        <v>78</v>
      </c>
      <c r="P54" s="57">
        <v>781</v>
      </c>
      <c r="Q54" s="58">
        <v>7830</v>
      </c>
      <c r="R54" s="59">
        <v>76361</v>
      </c>
      <c r="S54" s="91"/>
    </row>
    <row r="55" spans="1:22" s="90" customFormat="1" x14ac:dyDescent="0.15">
      <c r="A55" s="32">
        <v>48</v>
      </c>
      <c r="B55" s="26">
        <v>32844</v>
      </c>
      <c r="C55" s="76">
        <v>6</v>
      </c>
      <c r="D55" s="76">
        <v>8</v>
      </c>
      <c r="E55" s="76">
        <v>9</v>
      </c>
      <c r="F55" s="76">
        <v>7</v>
      </c>
      <c r="G55" s="76">
        <v>2</v>
      </c>
      <c r="H55" s="76">
        <v>0</v>
      </c>
      <c r="I55" s="13">
        <v>6</v>
      </c>
      <c r="J55" s="33">
        <v>22011212</v>
      </c>
      <c r="K55" s="159" t="s">
        <v>23</v>
      </c>
      <c r="L55" s="34"/>
      <c r="M55" s="18">
        <v>4438884.8</v>
      </c>
      <c r="N55" s="56">
        <v>10</v>
      </c>
      <c r="O55" s="57">
        <v>96</v>
      </c>
      <c r="P55" s="57">
        <v>987</v>
      </c>
      <c r="Q55" s="58">
        <v>9534</v>
      </c>
      <c r="R55" s="59">
        <v>94912</v>
      </c>
      <c r="S55" s="91"/>
    </row>
    <row r="56" spans="1:22" s="90" customFormat="1" x14ac:dyDescent="0.15">
      <c r="A56" s="32">
        <v>49</v>
      </c>
      <c r="B56" s="26">
        <v>32851</v>
      </c>
      <c r="C56" s="76">
        <v>1</v>
      </c>
      <c r="D56" s="76">
        <v>8</v>
      </c>
      <c r="E56" s="76">
        <v>9</v>
      </c>
      <c r="F56" s="76">
        <v>4</v>
      </c>
      <c r="G56" s="76">
        <v>8</v>
      </c>
      <c r="H56" s="76">
        <v>4</v>
      </c>
      <c r="I56" s="13">
        <v>4</v>
      </c>
      <c r="J56" s="33">
        <v>18309550</v>
      </c>
      <c r="K56" s="112">
        <v>2</v>
      </c>
      <c r="L56" s="34">
        <v>2755555.4</v>
      </c>
      <c r="M56" s="18">
        <v>350426</v>
      </c>
      <c r="N56" s="56">
        <v>14</v>
      </c>
      <c r="O56" s="57">
        <v>80</v>
      </c>
      <c r="P56" s="57">
        <v>823</v>
      </c>
      <c r="Q56" s="58">
        <v>8225</v>
      </c>
      <c r="R56" s="59">
        <v>82548</v>
      </c>
      <c r="S56" s="91"/>
    </row>
    <row r="57" spans="1:22" s="90" customFormat="1" x14ac:dyDescent="0.15">
      <c r="A57" s="32">
        <v>50</v>
      </c>
      <c r="B57" s="26">
        <v>32858</v>
      </c>
      <c r="C57" s="76">
        <v>6</v>
      </c>
      <c r="D57" s="76">
        <v>5</v>
      </c>
      <c r="E57" s="76">
        <v>4</v>
      </c>
      <c r="F57" s="76">
        <v>8</v>
      </c>
      <c r="G57" s="76">
        <v>9</v>
      </c>
      <c r="H57" s="76">
        <v>9</v>
      </c>
      <c r="I57" s="13">
        <v>6</v>
      </c>
      <c r="J57" s="33">
        <v>18370612</v>
      </c>
      <c r="K57" s="159" t="s">
        <v>23</v>
      </c>
      <c r="L57" s="34"/>
      <c r="M57" s="18">
        <v>1777822.5</v>
      </c>
      <c r="N57" s="56">
        <v>12</v>
      </c>
      <c r="O57" s="57">
        <v>85</v>
      </c>
      <c r="P57" s="57">
        <v>839</v>
      </c>
      <c r="Q57" s="58">
        <v>8167</v>
      </c>
      <c r="R57" s="59">
        <v>83563</v>
      </c>
      <c r="S57" s="91"/>
    </row>
    <row r="58" spans="1:22" s="90" customFormat="1" x14ac:dyDescent="0.15">
      <c r="A58" s="32">
        <v>51</v>
      </c>
      <c r="B58" s="26">
        <v>32865</v>
      </c>
      <c r="C58" s="76">
        <v>1</v>
      </c>
      <c r="D58" s="76">
        <v>7</v>
      </c>
      <c r="E58" s="76">
        <v>7</v>
      </c>
      <c r="F58" s="76">
        <v>6</v>
      </c>
      <c r="G58" s="76">
        <v>5</v>
      </c>
      <c r="H58" s="76">
        <v>6</v>
      </c>
      <c r="I58" s="13">
        <v>7</v>
      </c>
      <c r="J58" s="33">
        <v>17271156</v>
      </c>
      <c r="K58" s="159" t="s">
        <v>23</v>
      </c>
      <c r="L58" s="34"/>
      <c r="M58" s="18">
        <v>3119791.3</v>
      </c>
      <c r="N58" s="56">
        <v>12</v>
      </c>
      <c r="O58" s="57">
        <v>91</v>
      </c>
      <c r="P58" s="57">
        <v>754</v>
      </c>
      <c r="Q58" s="58">
        <v>7858</v>
      </c>
      <c r="R58" s="59">
        <v>78548</v>
      </c>
      <c r="S58" s="91"/>
    </row>
    <row r="59" spans="1:22" s="90" customFormat="1" x14ac:dyDescent="0.15">
      <c r="A59" s="36">
        <v>52</v>
      </c>
      <c r="B59" s="79">
        <v>32872</v>
      </c>
      <c r="C59" s="38">
        <v>5</v>
      </c>
      <c r="D59" s="38">
        <v>1</v>
      </c>
      <c r="E59" s="38">
        <v>1</v>
      </c>
      <c r="F59" s="38">
        <v>4</v>
      </c>
      <c r="G59" s="38">
        <v>8</v>
      </c>
      <c r="H59" s="21">
        <v>8</v>
      </c>
      <c r="I59" s="39">
        <v>6</v>
      </c>
      <c r="J59" s="40">
        <v>16970190</v>
      </c>
      <c r="K59" s="188" t="s">
        <v>23</v>
      </c>
      <c r="L59" s="42"/>
      <c r="M59" s="144">
        <v>4438375</v>
      </c>
      <c r="N59" s="99">
        <v>9</v>
      </c>
      <c r="O59" s="62">
        <v>67</v>
      </c>
      <c r="P59" s="98">
        <v>763</v>
      </c>
      <c r="Q59" s="63">
        <v>7752</v>
      </c>
      <c r="R59" s="142">
        <v>76693</v>
      </c>
      <c r="S59" s="91"/>
    </row>
    <row r="60" spans="1:22" s="90" customFormat="1" x14ac:dyDescent="0.15">
      <c r="A60" s="101"/>
      <c r="B60" s="265"/>
      <c r="C60" s="97"/>
      <c r="D60" s="97"/>
      <c r="E60" s="97"/>
      <c r="F60" s="97"/>
      <c r="G60" s="97"/>
      <c r="H60" s="97" t="s">
        <v>24</v>
      </c>
      <c r="I60" s="97"/>
      <c r="J60" s="97"/>
      <c r="K60" s="262">
        <f>SUM(K8:K59)</f>
        <v>46</v>
      </c>
      <c r="L60" s="262"/>
      <c r="M60" s="262"/>
      <c r="N60" s="134">
        <f>SUM(N8:N59)</f>
        <v>381</v>
      </c>
      <c r="O60" s="135">
        <f>SUM(O8:O59)</f>
        <v>3642.8777777777777</v>
      </c>
      <c r="P60" s="135">
        <f>SUM(P8:P59)</f>
        <v>37291</v>
      </c>
      <c r="Q60" s="264">
        <f>SUM(Q8:Q59)</f>
        <v>373514</v>
      </c>
      <c r="R60" s="263">
        <f>SUM(R8:R59)</f>
        <v>3734111</v>
      </c>
      <c r="S60" s="91"/>
    </row>
    <row r="61" spans="1:22" s="90" customFormat="1" x14ac:dyDescent="0.15">
      <c r="A61" s="81"/>
      <c r="B61" s="173"/>
      <c r="C61" s="76"/>
      <c r="D61" s="76"/>
      <c r="E61" s="76"/>
      <c r="F61" s="76"/>
      <c r="G61" s="76"/>
      <c r="H61" s="76"/>
      <c r="I61" s="76"/>
      <c r="J61" s="83"/>
      <c r="K61" s="77"/>
      <c r="L61" s="84"/>
      <c r="M61" s="85"/>
      <c r="N61" s="86"/>
      <c r="O61" s="87"/>
      <c r="P61" s="87"/>
      <c r="Q61" s="88"/>
      <c r="R61" s="89"/>
      <c r="S61" s="91"/>
    </row>
    <row r="62" spans="1:22" s="90" customFormat="1" x14ac:dyDescent="0.15">
      <c r="A62" s="81"/>
      <c r="B62" s="82"/>
      <c r="C62" s="103"/>
      <c r="D62" s="103"/>
      <c r="E62" s="103"/>
      <c r="F62" s="103"/>
      <c r="G62" s="103"/>
      <c r="H62" s="103"/>
      <c r="I62" s="92"/>
      <c r="J62" s="83"/>
      <c r="K62" s="77"/>
      <c r="L62" s="94"/>
      <c r="M62" s="85"/>
      <c r="N62" s="86"/>
      <c r="O62" s="87"/>
      <c r="P62" s="87"/>
      <c r="Q62" s="88"/>
      <c r="R62" s="89"/>
      <c r="S62" s="91"/>
    </row>
    <row r="63" spans="1:22" s="90" customFormat="1" x14ac:dyDescent="0.15">
      <c r="A63" s="81"/>
      <c r="B63" s="82"/>
      <c r="C63" s="103"/>
      <c r="D63" s="103"/>
      <c r="E63" s="103"/>
      <c r="F63" s="103"/>
      <c r="G63" s="103"/>
      <c r="H63" s="103"/>
      <c r="I63" s="92"/>
      <c r="J63" s="83"/>
      <c r="K63" s="77"/>
      <c r="L63" s="94"/>
      <c r="M63" s="85"/>
      <c r="N63" s="86"/>
      <c r="O63" s="87"/>
      <c r="P63" s="87"/>
      <c r="Q63" s="88"/>
      <c r="R63" s="89"/>
      <c r="S63" s="91"/>
    </row>
    <row r="64" spans="1:22" s="90" customFormat="1" x14ac:dyDescent="0.15">
      <c r="A64" s="81"/>
      <c r="B64" s="82"/>
      <c r="C64" s="92"/>
      <c r="D64" s="92"/>
      <c r="E64" s="92"/>
      <c r="F64" s="92"/>
      <c r="G64" s="92"/>
      <c r="H64" s="92"/>
      <c r="I64" s="92"/>
      <c r="J64" s="83"/>
      <c r="K64" s="77"/>
      <c r="L64" s="94"/>
      <c r="M64" s="85"/>
      <c r="N64" s="86"/>
      <c r="O64" s="87"/>
      <c r="P64" s="87"/>
      <c r="Q64" s="88"/>
      <c r="R64" s="89"/>
      <c r="S64" s="91"/>
    </row>
    <row r="65" spans="1:22" s="90" customFormat="1" x14ac:dyDescent="0.15">
      <c r="A65" s="81"/>
      <c r="B65" s="92"/>
      <c r="C65" s="92"/>
      <c r="D65" s="92"/>
      <c r="E65" s="92"/>
      <c r="F65" s="92"/>
      <c r="G65" s="92"/>
      <c r="H65" s="92"/>
      <c r="I65" s="92"/>
      <c r="J65" s="92"/>
      <c r="K65" s="93"/>
      <c r="L65" s="93"/>
      <c r="M65" s="93"/>
      <c r="N65" s="93"/>
      <c r="O65" s="93"/>
      <c r="P65" s="93"/>
      <c r="Q65" s="93"/>
      <c r="R65" s="93"/>
      <c r="S65" s="91"/>
      <c r="V65" s="111"/>
    </row>
    <row r="66" spans="1:22" s="90" customFormat="1" x14ac:dyDescent="0.15">
      <c r="L66" s="85"/>
    </row>
    <row r="67" spans="1:22" s="90" customFormat="1" x14ac:dyDescent="0.15">
      <c r="L67" s="85"/>
    </row>
    <row r="68" spans="1:22" s="90" customFormat="1" x14ac:dyDescent="0.15">
      <c r="L68" s="85"/>
    </row>
    <row r="69" spans="1:22" s="90" customFormat="1" x14ac:dyDescent="0.15">
      <c r="L69" s="85"/>
    </row>
    <row r="70" spans="1:22" s="90" customFormat="1" x14ac:dyDescent="0.15">
      <c r="L70" s="85"/>
    </row>
    <row r="71" spans="1:22" s="90" customFormat="1" x14ac:dyDescent="0.15">
      <c r="L71" s="85"/>
    </row>
    <row r="72" spans="1:22" s="90" customFormat="1" x14ac:dyDescent="0.15">
      <c r="L72" s="85"/>
    </row>
    <row r="73" spans="1:22" s="90" customFormat="1" x14ac:dyDescent="0.15">
      <c r="L73" s="85"/>
    </row>
    <row r="74" spans="1:22" s="90" customFormat="1" x14ac:dyDescent="0.15">
      <c r="L74" s="85"/>
    </row>
    <row r="75" spans="1:22" s="90" customFormat="1" x14ac:dyDescent="0.15">
      <c r="L75" s="85"/>
    </row>
    <row r="76" spans="1:22" s="90" customFormat="1" x14ac:dyDescent="0.15">
      <c r="L76" s="85"/>
    </row>
    <row r="77" spans="1:22" s="90" customFormat="1" x14ac:dyDescent="0.15">
      <c r="L77" s="85"/>
    </row>
    <row r="78" spans="1:22" s="90" customFormat="1" x14ac:dyDescent="0.15">
      <c r="L78" s="85"/>
    </row>
    <row r="79" spans="1:22" s="90" customFormat="1" x14ac:dyDescent="0.15">
      <c r="L79" s="85"/>
    </row>
    <row r="80" spans="1:22" s="90" customFormat="1" x14ac:dyDescent="0.15">
      <c r="L80" s="85"/>
    </row>
    <row r="81" spans="12:12" s="90" customFormat="1" x14ac:dyDescent="0.15">
      <c r="L81" s="85"/>
    </row>
    <row r="82" spans="12:12" s="90" customFormat="1" x14ac:dyDescent="0.15">
      <c r="L82" s="85"/>
    </row>
    <row r="83" spans="12:12" s="90" customFormat="1" x14ac:dyDescent="0.15">
      <c r="L83" s="85"/>
    </row>
    <row r="84" spans="12:12" s="90" customFormat="1" x14ac:dyDescent="0.15">
      <c r="L84" s="85"/>
    </row>
    <row r="85" spans="12:12" s="90" customFormat="1" x14ac:dyDescent="0.15">
      <c r="L85" s="85"/>
    </row>
    <row r="86" spans="12:12" s="90" customFormat="1" x14ac:dyDescent="0.15">
      <c r="L86" s="85"/>
    </row>
    <row r="87" spans="12:12" s="90" customFormat="1" x14ac:dyDescent="0.15">
      <c r="L87" s="85"/>
    </row>
    <row r="88" spans="12:12" s="90" customFormat="1" x14ac:dyDescent="0.15">
      <c r="L88" s="85"/>
    </row>
    <row r="89" spans="12:12" s="90" customFormat="1" x14ac:dyDescent="0.15">
      <c r="L89" s="85"/>
    </row>
    <row r="90" spans="12:12" s="90" customFormat="1" x14ac:dyDescent="0.15">
      <c r="L90" s="85"/>
    </row>
    <row r="91" spans="12:12" s="90" customFormat="1" x14ac:dyDescent="0.15">
      <c r="L91" s="85"/>
    </row>
    <row r="92" spans="12:12" s="90" customFormat="1" x14ac:dyDescent="0.15">
      <c r="L92" s="85"/>
    </row>
    <row r="93" spans="12:12" s="90" customFormat="1" x14ac:dyDescent="0.15">
      <c r="L93" s="85"/>
    </row>
    <row r="94" spans="12:12" s="90" customFormat="1" x14ac:dyDescent="0.15">
      <c r="L94" s="85"/>
    </row>
    <row r="95" spans="12:12" s="90" customFormat="1" x14ac:dyDescent="0.15">
      <c r="L95" s="85"/>
    </row>
    <row r="96" spans="12:12" s="90" customFormat="1" x14ac:dyDescent="0.15">
      <c r="L96" s="85"/>
    </row>
    <row r="97" spans="12:12" s="90" customFormat="1" x14ac:dyDescent="0.15">
      <c r="L97" s="85"/>
    </row>
    <row r="98" spans="12:12" s="90" customFormat="1" x14ac:dyDescent="0.15">
      <c r="L98" s="85"/>
    </row>
    <row r="99" spans="12:12" s="90" customFormat="1" x14ac:dyDescent="0.15">
      <c r="L99" s="85"/>
    </row>
    <row r="100" spans="12:12" s="90" customFormat="1" x14ac:dyDescent="0.15">
      <c r="L100" s="85"/>
    </row>
    <row r="101" spans="12:12" s="90" customFormat="1" x14ac:dyDescent="0.15">
      <c r="L101" s="85"/>
    </row>
    <row r="102" spans="12:12" s="90" customFormat="1" x14ac:dyDescent="0.15">
      <c r="L102" s="85"/>
    </row>
    <row r="103" spans="12:12" s="90" customFormat="1" x14ac:dyDescent="0.15">
      <c r="L103" s="85"/>
    </row>
    <row r="104" spans="12:12" s="90" customFormat="1" x14ac:dyDescent="0.15">
      <c r="L104" s="85"/>
    </row>
    <row r="105" spans="12:12" s="90" customFormat="1" x14ac:dyDescent="0.15">
      <c r="L105" s="85"/>
    </row>
    <row r="106" spans="12:12" s="90" customFormat="1" x14ac:dyDescent="0.15">
      <c r="L106" s="85"/>
    </row>
    <row r="107" spans="12:12" s="90" customFormat="1" x14ac:dyDescent="0.15">
      <c r="L107" s="85"/>
    </row>
    <row r="108" spans="12:12" s="90" customFormat="1" x14ac:dyDescent="0.15">
      <c r="L108" s="85"/>
    </row>
    <row r="109" spans="12:12" s="90" customFormat="1" x14ac:dyDescent="0.15">
      <c r="L109" s="85"/>
    </row>
    <row r="110" spans="12:12" s="90" customFormat="1" x14ac:dyDescent="0.15">
      <c r="L110" s="85"/>
    </row>
    <row r="111" spans="12:12" s="90" customFormat="1" x14ac:dyDescent="0.15">
      <c r="L111" s="85"/>
    </row>
    <row r="112" spans="12:12" s="90" customFormat="1" x14ac:dyDescent="0.15">
      <c r="L112" s="85"/>
    </row>
    <row r="113" spans="12:12" s="90" customFormat="1" x14ac:dyDescent="0.15">
      <c r="L113" s="85"/>
    </row>
    <row r="114" spans="12:12" s="90" customFormat="1" x14ac:dyDescent="0.15">
      <c r="L114" s="85"/>
    </row>
    <row r="115" spans="12:12" s="90" customFormat="1" x14ac:dyDescent="0.15">
      <c r="L115" s="85"/>
    </row>
    <row r="116" spans="12:12" s="90" customFormat="1" x14ac:dyDescent="0.15">
      <c r="L116" s="85"/>
    </row>
    <row r="117" spans="12:12" s="90" customFormat="1" x14ac:dyDescent="0.15">
      <c r="L117" s="85"/>
    </row>
    <row r="118" spans="12:12" s="90" customFormat="1" x14ac:dyDescent="0.15">
      <c r="L118" s="85"/>
    </row>
    <row r="119" spans="12:12" s="90" customFormat="1" x14ac:dyDescent="0.15">
      <c r="L119" s="85"/>
    </row>
    <row r="120" spans="12:12" s="90" customFormat="1" x14ac:dyDescent="0.15">
      <c r="L120" s="85"/>
    </row>
    <row r="121" spans="12:12" s="90" customFormat="1" x14ac:dyDescent="0.15">
      <c r="L121" s="85"/>
    </row>
    <row r="122" spans="12:12" s="90" customFormat="1" x14ac:dyDescent="0.15">
      <c r="L122" s="85"/>
    </row>
    <row r="123" spans="12:12" s="90" customFormat="1" x14ac:dyDescent="0.15">
      <c r="L123" s="85"/>
    </row>
    <row r="124" spans="12:12" s="90" customFormat="1" x14ac:dyDescent="0.15">
      <c r="L124" s="85"/>
    </row>
    <row r="125" spans="12:12" s="90" customFormat="1" x14ac:dyDescent="0.15">
      <c r="L125" s="85"/>
    </row>
    <row r="126" spans="12:12" s="90" customFormat="1" x14ac:dyDescent="0.15">
      <c r="L126" s="85"/>
    </row>
    <row r="127" spans="12:12" s="90" customFormat="1" x14ac:dyDescent="0.15">
      <c r="L127" s="85"/>
    </row>
    <row r="128" spans="12:12" s="90" customFormat="1" x14ac:dyDescent="0.15">
      <c r="L128" s="85"/>
    </row>
    <row r="129" spans="12:12" s="90" customFormat="1" x14ac:dyDescent="0.15">
      <c r="L129" s="85"/>
    </row>
    <row r="130" spans="12:12" s="90" customFormat="1" x14ac:dyDescent="0.15">
      <c r="L130" s="85"/>
    </row>
    <row r="131" spans="12:12" s="90" customFormat="1" x14ac:dyDescent="0.15">
      <c r="L131" s="85"/>
    </row>
    <row r="132" spans="12:12" s="90" customFormat="1" x14ac:dyDescent="0.15">
      <c r="L132" s="85"/>
    </row>
    <row r="133" spans="12:12" s="90" customFormat="1" x14ac:dyDescent="0.15">
      <c r="L133" s="85"/>
    </row>
    <row r="134" spans="12:12" s="90" customFormat="1" x14ac:dyDescent="0.15">
      <c r="L134" s="85"/>
    </row>
    <row r="135" spans="12:12" s="90" customFormat="1" x14ac:dyDescent="0.15">
      <c r="L135" s="85"/>
    </row>
    <row r="136" spans="12:12" s="90" customFormat="1" x14ac:dyDescent="0.15">
      <c r="L136" s="85"/>
    </row>
    <row r="137" spans="12:12" s="90" customFormat="1" x14ac:dyDescent="0.15">
      <c r="L137" s="85"/>
    </row>
    <row r="138" spans="12:12" s="90" customFormat="1" x14ac:dyDescent="0.15">
      <c r="L138" s="85"/>
    </row>
    <row r="139" spans="12:12" s="90" customFormat="1" x14ac:dyDescent="0.15">
      <c r="L139" s="85"/>
    </row>
    <row r="140" spans="12:12" s="90" customFormat="1" x14ac:dyDescent="0.15">
      <c r="L140" s="85"/>
    </row>
    <row r="141" spans="12:12" s="90" customFormat="1" x14ac:dyDescent="0.15">
      <c r="L141" s="85"/>
    </row>
    <row r="142" spans="12:12" s="90" customFormat="1" x14ac:dyDescent="0.15">
      <c r="L142" s="85"/>
    </row>
    <row r="143" spans="12:12" s="90" customFormat="1" x14ac:dyDescent="0.15">
      <c r="L143" s="85"/>
    </row>
    <row r="144" spans="12:12" s="90" customFormat="1" x14ac:dyDescent="0.15">
      <c r="L144" s="85"/>
    </row>
    <row r="145" spans="12:12" s="90" customFormat="1" x14ac:dyDescent="0.15">
      <c r="L145" s="85"/>
    </row>
    <row r="146" spans="12:12" s="90" customFormat="1" x14ac:dyDescent="0.15">
      <c r="L146" s="85"/>
    </row>
    <row r="147" spans="12:12" s="90" customFormat="1" x14ac:dyDescent="0.15">
      <c r="L147" s="85"/>
    </row>
    <row r="148" spans="12:12" s="90" customFormat="1" x14ac:dyDescent="0.15">
      <c r="L148" s="85"/>
    </row>
    <row r="149" spans="12:12" s="90" customFormat="1" x14ac:dyDescent="0.15">
      <c r="L149" s="85"/>
    </row>
    <row r="150" spans="12:12" s="90" customFormat="1" x14ac:dyDescent="0.15">
      <c r="L150" s="85"/>
    </row>
    <row r="151" spans="12:12" s="90" customFormat="1" x14ac:dyDescent="0.15">
      <c r="L151" s="85"/>
    </row>
    <row r="152" spans="12:12" s="90" customFormat="1" x14ac:dyDescent="0.15">
      <c r="L152" s="85"/>
    </row>
    <row r="153" spans="12:12" s="90" customFormat="1" x14ac:dyDescent="0.15">
      <c r="L153" s="85"/>
    </row>
    <row r="154" spans="12:12" s="90" customFormat="1" x14ac:dyDescent="0.15">
      <c r="L154" s="85"/>
    </row>
    <row r="155" spans="12:12" s="90" customFormat="1" x14ac:dyDescent="0.15">
      <c r="L155" s="85"/>
    </row>
    <row r="156" spans="12:12" s="90" customFormat="1" x14ac:dyDescent="0.15">
      <c r="L156" s="85"/>
    </row>
    <row r="157" spans="12:12" s="90" customFormat="1" x14ac:dyDescent="0.15">
      <c r="L157" s="85"/>
    </row>
    <row r="158" spans="12:12" s="90" customFormat="1" x14ac:dyDescent="0.15">
      <c r="L158" s="85"/>
    </row>
    <row r="159" spans="12:12" s="90" customFormat="1" x14ac:dyDescent="0.15">
      <c r="L159" s="85"/>
    </row>
    <row r="160" spans="12:12" s="90" customFormat="1" x14ac:dyDescent="0.15">
      <c r="L160" s="85"/>
    </row>
    <row r="161" spans="12:12" s="90" customFormat="1" x14ac:dyDescent="0.15">
      <c r="L161" s="85"/>
    </row>
    <row r="162" spans="12:12" s="90" customFormat="1" x14ac:dyDescent="0.15">
      <c r="L162" s="85"/>
    </row>
    <row r="163" spans="12:12" s="90" customFormat="1" x14ac:dyDescent="0.15">
      <c r="L163" s="85"/>
    </row>
    <row r="164" spans="12:12" s="90" customFormat="1" x14ac:dyDescent="0.15">
      <c r="L164" s="85"/>
    </row>
    <row r="165" spans="12:12" s="90" customFormat="1" x14ac:dyDescent="0.15">
      <c r="L165" s="85"/>
    </row>
    <row r="166" spans="12:12" s="90" customFormat="1" x14ac:dyDescent="0.15">
      <c r="L166" s="85"/>
    </row>
    <row r="167" spans="12:12" s="90" customFormat="1" x14ac:dyDescent="0.15">
      <c r="L167" s="85"/>
    </row>
    <row r="168" spans="12:12" s="90" customFormat="1" x14ac:dyDescent="0.15">
      <c r="L168" s="85"/>
    </row>
    <row r="169" spans="12:12" s="90" customFormat="1" x14ac:dyDescent="0.15">
      <c r="L169" s="85"/>
    </row>
    <row r="170" spans="12:12" s="90" customFormat="1" x14ac:dyDescent="0.15">
      <c r="L170" s="85"/>
    </row>
    <row r="171" spans="12:12" s="90" customFormat="1" x14ac:dyDescent="0.15">
      <c r="L171" s="85"/>
    </row>
    <row r="172" spans="12:12" s="90" customFormat="1" x14ac:dyDescent="0.15">
      <c r="L172" s="85"/>
    </row>
    <row r="173" spans="12:12" s="90" customFormat="1" x14ac:dyDescent="0.15">
      <c r="L173" s="8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67"/>
  <sheetViews>
    <sheetView topLeftCell="E1" workbookViewId="0">
      <pane ySplit="7" topLeftCell="A29" activePane="bottomLeft" state="frozenSplit"/>
      <selection pane="bottomLeft" activeCell="K66" sqref="K66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  <col min="19" max="19" width="15.5" customWidth="1"/>
  </cols>
  <sheetData>
    <row r="2" spans="1:22" ht="12.75" x14ac:dyDescent="0.2">
      <c r="A2" s="1" t="s">
        <v>0</v>
      </c>
      <c r="S2" s="3" t="s">
        <v>48</v>
      </c>
      <c r="T2" s="4"/>
    </row>
    <row r="3" spans="1:22" ht="12.75" x14ac:dyDescent="0.2">
      <c r="A3" s="6" t="s">
        <v>2</v>
      </c>
      <c r="P3" s="3"/>
      <c r="T3" s="4"/>
    </row>
    <row r="4" spans="1:22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243"/>
      <c r="L4" s="244"/>
      <c r="M4" s="11"/>
      <c r="N4" s="8"/>
      <c r="O4" s="8"/>
      <c r="P4" s="8"/>
      <c r="Q4" s="8"/>
      <c r="R4" s="7"/>
      <c r="S4" s="90"/>
      <c r="V4" s="4"/>
    </row>
    <row r="5" spans="1:22" x14ac:dyDescent="0.15">
      <c r="A5" s="13" t="s">
        <v>3</v>
      </c>
      <c r="B5" s="14">
        <v>1990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245" t="s">
        <v>19</v>
      </c>
      <c r="L5" s="209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3" t="s">
        <v>12</v>
      </c>
      <c r="S5" s="166"/>
      <c r="V5" s="4"/>
    </row>
    <row r="6" spans="1:22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245" t="s">
        <v>43</v>
      </c>
      <c r="L6" s="209"/>
      <c r="M6" s="14" t="s">
        <v>14</v>
      </c>
      <c r="N6" s="75" t="s">
        <v>33</v>
      </c>
      <c r="O6" s="75" t="s">
        <v>34</v>
      </c>
      <c r="P6" s="75" t="s">
        <v>35</v>
      </c>
      <c r="Q6" s="75" t="s">
        <v>36</v>
      </c>
      <c r="R6" s="168" t="s">
        <v>37</v>
      </c>
      <c r="S6" s="166"/>
      <c r="V6" s="4"/>
    </row>
    <row r="7" spans="1:22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169" t="s">
        <v>15</v>
      </c>
      <c r="S7" s="167"/>
      <c r="V7" s="4"/>
    </row>
    <row r="8" spans="1:22" x14ac:dyDescent="0.15">
      <c r="A8" s="32">
        <v>1</v>
      </c>
      <c r="B8" s="26">
        <v>32879</v>
      </c>
      <c r="C8" s="76">
        <v>1</v>
      </c>
      <c r="D8" s="76">
        <v>9</v>
      </c>
      <c r="E8" s="76">
        <v>2</v>
      </c>
      <c r="F8" s="76">
        <v>6</v>
      </c>
      <c r="G8" s="76">
        <v>6</v>
      </c>
      <c r="H8" s="76">
        <v>3</v>
      </c>
      <c r="I8" s="13">
        <v>0</v>
      </c>
      <c r="J8" s="33">
        <v>17009950</v>
      </c>
      <c r="K8" s="77">
        <v>1</v>
      </c>
      <c r="L8" s="34">
        <v>5755555.4000000004</v>
      </c>
      <c r="M8" s="18">
        <v>4492.7</v>
      </c>
      <c r="N8" s="56">
        <v>6</v>
      </c>
      <c r="O8" s="57">
        <v>74</v>
      </c>
      <c r="P8" s="57">
        <v>733</v>
      </c>
      <c r="Q8" s="58">
        <v>7405</v>
      </c>
      <c r="R8" s="139">
        <v>74326</v>
      </c>
      <c r="S8" s="90"/>
      <c r="V8" s="4"/>
    </row>
    <row r="9" spans="1:22" x14ac:dyDescent="0.15">
      <c r="A9" s="32">
        <v>2</v>
      </c>
      <c r="B9" s="26">
        <v>32886</v>
      </c>
      <c r="C9" s="76">
        <v>0</v>
      </c>
      <c r="D9" s="76">
        <v>4</v>
      </c>
      <c r="E9" s="76">
        <v>7</v>
      </c>
      <c r="F9" s="76">
        <v>8</v>
      </c>
      <c r="G9" s="76">
        <v>6</v>
      </c>
      <c r="H9" s="76">
        <v>8</v>
      </c>
      <c r="I9" s="13">
        <v>8</v>
      </c>
      <c r="J9" s="33">
        <v>16570798</v>
      </c>
      <c r="K9" s="77">
        <v>1</v>
      </c>
      <c r="L9" s="34">
        <v>1155555.3999999999</v>
      </c>
      <c r="M9" s="18">
        <v>136488.29999999999</v>
      </c>
      <c r="N9" s="56">
        <v>8</v>
      </c>
      <c r="O9" s="57">
        <v>96</v>
      </c>
      <c r="P9" s="57">
        <v>697</v>
      </c>
      <c r="Q9" s="58">
        <v>7235</v>
      </c>
      <c r="R9" s="139">
        <v>73666</v>
      </c>
      <c r="S9" s="90"/>
      <c r="V9" s="4"/>
    </row>
    <row r="10" spans="1:22" x14ac:dyDescent="0.15">
      <c r="A10" s="32">
        <v>3</v>
      </c>
      <c r="B10" s="26">
        <v>32893</v>
      </c>
      <c r="C10" s="76">
        <v>5</v>
      </c>
      <c r="D10" s="76">
        <v>1</v>
      </c>
      <c r="E10" s="76">
        <v>1</v>
      </c>
      <c r="F10" s="76">
        <v>1</v>
      </c>
      <c r="G10" s="76">
        <v>7</v>
      </c>
      <c r="H10" s="76">
        <v>2</v>
      </c>
      <c r="I10" s="13">
        <v>0</v>
      </c>
      <c r="J10" s="33">
        <v>16019896</v>
      </c>
      <c r="K10" s="159" t="s">
        <v>23</v>
      </c>
      <c r="L10" s="34"/>
      <c r="M10" s="18">
        <v>1381234.2</v>
      </c>
      <c r="N10" s="56">
        <v>5</v>
      </c>
      <c r="O10" s="57">
        <v>63</v>
      </c>
      <c r="P10" s="57">
        <v>705</v>
      </c>
      <c r="Q10" s="58">
        <v>7147</v>
      </c>
      <c r="R10" s="139">
        <v>70259</v>
      </c>
      <c r="S10" s="90"/>
      <c r="V10" s="4"/>
    </row>
    <row r="11" spans="1:22" x14ac:dyDescent="0.15">
      <c r="A11" s="32">
        <v>4</v>
      </c>
      <c r="B11" s="26">
        <v>32900</v>
      </c>
      <c r="C11" s="76">
        <v>6</v>
      </c>
      <c r="D11" s="76">
        <v>6</v>
      </c>
      <c r="E11" s="76">
        <v>4</v>
      </c>
      <c r="F11" s="76">
        <v>2</v>
      </c>
      <c r="G11" s="76">
        <v>5</v>
      </c>
      <c r="H11" s="76">
        <v>2</v>
      </c>
      <c r="I11" s="13">
        <v>7</v>
      </c>
      <c r="J11" s="33">
        <v>15886252</v>
      </c>
      <c r="K11" s="159" t="s">
        <v>23</v>
      </c>
      <c r="L11" s="34"/>
      <c r="M11" s="18">
        <v>2615595.9</v>
      </c>
      <c r="N11" s="56">
        <v>9</v>
      </c>
      <c r="O11" s="57">
        <v>76</v>
      </c>
      <c r="P11" s="57">
        <v>729</v>
      </c>
      <c r="Q11" s="58">
        <v>7248</v>
      </c>
      <c r="R11" s="139">
        <v>72259</v>
      </c>
      <c r="S11" s="90"/>
      <c r="V11" s="4"/>
    </row>
    <row r="12" spans="1:22" x14ac:dyDescent="0.15">
      <c r="A12" s="32">
        <v>5</v>
      </c>
      <c r="B12" s="26">
        <v>32907</v>
      </c>
      <c r="C12" s="76">
        <v>9</v>
      </c>
      <c r="D12" s="76">
        <v>3</v>
      </c>
      <c r="E12" s="76">
        <v>0</v>
      </c>
      <c r="F12" s="76">
        <v>8</v>
      </c>
      <c r="G12" s="76">
        <v>7</v>
      </c>
      <c r="H12" s="76">
        <v>3</v>
      </c>
      <c r="I12" s="13">
        <v>9</v>
      </c>
      <c r="J12" s="33">
        <v>19374270</v>
      </c>
      <c r="K12" s="77">
        <v>1</v>
      </c>
      <c r="L12" s="34">
        <v>3955555.4</v>
      </c>
      <c r="M12" s="18">
        <v>165421.20000000001</v>
      </c>
      <c r="N12" s="56">
        <v>9</v>
      </c>
      <c r="O12" s="57">
        <v>106</v>
      </c>
      <c r="P12" s="57">
        <v>911</v>
      </c>
      <c r="Q12" s="58">
        <v>8772</v>
      </c>
      <c r="R12" s="139">
        <v>87873</v>
      </c>
      <c r="S12" s="90"/>
      <c r="V12" s="4"/>
    </row>
    <row r="13" spans="1:22" x14ac:dyDescent="0.15">
      <c r="A13" s="32">
        <v>6</v>
      </c>
      <c r="B13" s="26">
        <v>32914</v>
      </c>
      <c r="C13" s="76">
        <v>6</v>
      </c>
      <c r="D13" s="76">
        <v>0</v>
      </c>
      <c r="E13" s="76">
        <v>7</v>
      </c>
      <c r="F13" s="76">
        <v>5</v>
      </c>
      <c r="G13" s="76">
        <v>8</v>
      </c>
      <c r="H13" s="76">
        <v>4</v>
      </c>
      <c r="I13" s="13">
        <v>7</v>
      </c>
      <c r="J13" s="33">
        <v>16178812</v>
      </c>
      <c r="K13" s="77">
        <v>2</v>
      </c>
      <c r="L13" s="34">
        <v>555555.4</v>
      </c>
      <c r="M13" s="18">
        <v>311404</v>
      </c>
      <c r="N13" s="56">
        <v>14</v>
      </c>
      <c r="O13" s="57">
        <v>59</v>
      </c>
      <c r="P13" s="57">
        <v>738</v>
      </c>
      <c r="Q13" s="58">
        <v>7502</v>
      </c>
      <c r="R13" s="139">
        <v>74124</v>
      </c>
      <c r="S13" s="90"/>
      <c r="V13" s="4"/>
    </row>
    <row r="14" spans="1:22" x14ac:dyDescent="0.15">
      <c r="A14" s="32">
        <v>7</v>
      </c>
      <c r="B14" s="26">
        <v>32921</v>
      </c>
      <c r="C14" s="76">
        <v>7</v>
      </c>
      <c r="D14" s="76">
        <v>7</v>
      </c>
      <c r="E14" s="76">
        <v>5</v>
      </c>
      <c r="F14" s="76">
        <v>4</v>
      </c>
      <c r="G14" s="76">
        <v>7</v>
      </c>
      <c r="H14" s="76">
        <v>1</v>
      </c>
      <c r="I14" s="13">
        <v>7</v>
      </c>
      <c r="J14" s="33">
        <v>15860202</v>
      </c>
      <c r="K14" s="159" t="s">
        <v>23</v>
      </c>
      <c r="L14" s="34"/>
      <c r="M14" s="18">
        <v>1543741.6</v>
      </c>
      <c r="N14" s="56">
        <v>9</v>
      </c>
      <c r="O14" s="57">
        <v>79</v>
      </c>
      <c r="P14" s="57">
        <v>783</v>
      </c>
      <c r="Q14" s="58">
        <v>7151</v>
      </c>
      <c r="R14" s="139">
        <v>72216</v>
      </c>
      <c r="S14" s="90"/>
      <c r="V14" s="4"/>
    </row>
    <row r="15" spans="1:22" x14ac:dyDescent="0.15">
      <c r="A15" s="32">
        <v>8</v>
      </c>
      <c r="B15" s="26">
        <v>32928</v>
      </c>
      <c r="C15" s="76">
        <v>0</v>
      </c>
      <c r="D15" s="76">
        <v>3</v>
      </c>
      <c r="E15" s="76">
        <v>9</v>
      </c>
      <c r="F15" s="76">
        <v>8</v>
      </c>
      <c r="G15" s="76">
        <v>9</v>
      </c>
      <c r="H15" s="76">
        <v>3</v>
      </c>
      <c r="I15" s="13">
        <v>5</v>
      </c>
      <c r="J15" s="33">
        <v>15470792</v>
      </c>
      <c r="K15" s="77">
        <v>1</v>
      </c>
      <c r="L15" s="34">
        <v>2555555.4</v>
      </c>
      <c r="M15" s="18">
        <v>190266.7</v>
      </c>
      <c r="N15" s="56">
        <v>7</v>
      </c>
      <c r="O15" s="57">
        <v>60</v>
      </c>
      <c r="P15" s="57">
        <v>739</v>
      </c>
      <c r="Q15" s="58">
        <v>7079</v>
      </c>
      <c r="R15" s="139">
        <v>69963</v>
      </c>
      <c r="S15" s="90"/>
      <c r="V15" s="4"/>
    </row>
    <row r="16" spans="1:22" x14ac:dyDescent="0.15">
      <c r="A16" s="32">
        <v>9</v>
      </c>
      <c r="B16" s="26">
        <v>32935</v>
      </c>
      <c r="C16" s="76">
        <v>5</v>
      </c>
      <c r="D16" s="76">
        <v>3</v>
      </c>
      <c r="E16" s="76">
        <v>8</v>
      </c>
      <c r="F16" s="76">
        <v>2</v>
      </c>
      <c r="G16" s="76">
        <v>9</v>
      </c>
      <c r="H16" s="76">
        <v>6</v>
      </c>
      <c r="I16" s="13">
        <v>6</v>
      </c>
      <c r="J16" s="33">
        <v>15532758</v>
      </c>
      <c r="K16" s="159" t="s">
        <v>23</v>
      </c>
      <c r="L16" s="34"/>
      <c r="M16" s="18">
        <v>1397161.9</v>
      </c>
      <c r="N16" s="56">
        <v>9</v>
      </c>
      <c r="O16" s="57">
        <v>52</v>
      </c>
      <c r="P16" s="57">
        <v>725</v>
      </c>
      <c r="Q16" s="58">
        <v>7161</v>
      </c>
      <c r="R16" s="139">
        <v>70580</v>
      </c>
      <c r="S16" s="90"/>
      <c r="V16" s="4"/>
    </row>
    <row r="17" spans="1:22" x14ac:dyDescent="0.15">
      <c r="A17" s="32">
        <v>10</v>
      </c>
      <c r="B17" s="26">
        <v>32942</v>
      </c>
      <c r="C17" s="76">
        <v>1</v>
      </c>
      <c r="D17" s="76">
        <v>7</v>
      </c>
      <c r="E17" s="76">
        <v>1</v>
      </c>
      <c r="F17" s="76">
        <v>1</v>
      </c>
      <c r="G17" s="76">
        <v>8</v>
      </c>
      <c r="H17" s="76">
        <v>3</v>
      </c>
      <c r="I17" s="13">
        <v>9</v>
      </c>
      <c r="J17" s="33">
        <v>15814606</v>
      </c>
      <c r="K17" s="77">
        <v>1</v>
      </c>
      <c r="L17" s="34">
        <v>2555555.4</v>
      </c>
      <c r="M17" s="18">
        <v>70401.3</v>
      </c>
      <c r="N17" s="56">
        <v>9</v>
      </c>
      <c r="O17" s="57">
        <v>69</v>
      </c>
      <c r="P17" s="57">
        <v>698</v>
      </c>
      <c r="Q17" s="58">
        <v>7276</v>
      </c>
      <c r="R17" s="139">
        <v>71948</v>
      </c>
      <c r="S17" s="90"/>
      <c r="V17" s="4"/>
    </row>
    <row r="18" spans="1:22" x14ac:dyDescent="0.15">
      <c r="A18" s="32">
        <v>11</v>
      </c>
      <c r="B18" s="26">
        <v>32949</v>
      </c>
      <c r="C18" s="76">
        <v>9</v>
      </c>
      <c r="D18" s="76">
        <v>7</v>
      </c>
      <c r="E18" s="76">
        <v>0</v>
      </c>
      <c r="F18" s="76">
        <v>8</v>
      </c>
      <c r="G18" s="76">
        <v>2</v>
      </c>
      <c r="H18" s="76">
        <v>5</v>
      </c>
      <c r="I18" s="13">
        <v>0</v>
      </c>
      <c r="J18" s="33">
        <v>15561708</v>
      </c>
      <c r="K18" s="77">
        <v>1</v>
      </c>
      <c r="L18" s="34">
        <v>1155555.3999999999</v>
      </c>
      <c r="M18" s="18">
        <v>123990.6</v>
      </c>
      <c r="N18" s="56">
        <v>7</v>
      </c>
      <c r="O18" s="57">
        <v>73</v>
      </c>
      <c r="P18" s="57">
        <v>677</v>
      </c>
      <c r="Q18" s="58">
        <v>6951</v>
      </c>
      <c r="R18" s="139">
        <v>69268</v>
      </c>
      <c r="S18" s="90"/>
      <c r="V18" s="4"/>
    </row>
    <row r="19" spans="1:22" x14ac:dyDescent="0.15">
      <c r="A19" s="32">
        <v>12</v>
      </c>
      <c r="B19" s="26">
        <v>32956</v>
      </c>
      <c r="C19" s="76">
        <v>8</v>
      </c>
      <c r="D19" s="76">
        <v>1</v>
      </c>
      <c r="E19" s="76">
        <v>6</v>
      </c>
      <c r="F19" s="76">
        <v>3</v>
      </c>
      <c r="G19" s="76">
        <v>5</v>
      </c>
      <c r="H19" s="76">
        <v>7</v>
      </c>
      <c r="I19" s="13">
        <v>6</v>
      </c>
      <c r="J19" s="33">
        <v>15484776</v>
      </c>
      <c r="K19" s="77">
        <v>3</v>
      </c>
      <c r="L19" s="34">
        <v>355555.4</v>
      </c>
      <c r="M19" s="18">
        <v>260491.4</v>
      </c>
      <c r="N19" s="56">
        <v>8</v>
      </c>
      <c r="O19" s="57">
        <v>80</v>
      </c>
      <c r="P19" s="57">
        <v>712</v>
      </c>
      <c r="Q19" s="58">
        <v>7044</v>
      </c>
      <c r="R19" s="139">
        <v>70445</v>
      </c>
      <c r="S19" s="90"/>
      <c r="V19" s="4"/>
    </row>
    <row r="20" spans="1:22" x14ac:dyDescent="0.15">
      <c r="A20" s="32">
        <v>13</v>
      </c>
      <c r="B20" s="26">
        <v>32963</v>
      </c>
      <c r="C20" s="76">
        <v>1</v>
      </c>
      <c r="D20" s="76">
        <v>6</v>
      </c>
      <c r="E20" s="76">
        <v>3</v>
      </c>
      <c r="F20" s="76">
        <v>8</v>
      </c>
      <c r="G20" s="76">
        <v>4</v>
      </c>
      <c r="H20" s="76">
        <v>8</v>
      </c>
      <c r="I20" s="13">
        <v>7</v>
      </c>
      <c r="J20" s="33">
        <v>16635802</v>
      </c>
      <c r="K20" s="77">
        <v>1</v>
      </c>
      <c r="L20" s="34">
        <v>1355555.4</v>
      </c>
      <c r="M20" s="18">
        <v>197537.8</v>
      </c>
      <c r="N20" s="56">
        <v>9</v>
      </c>
      <c r="O20" s="57">
        <v>79</v>
      </c>
      <c r="P20" s="57">
        <v>757</v>
      </c>
      <c r="Q20" s="58">
        <v>7625</v>
      </c>
      <c r="R20" s="139">
        <v>75743</v>
      </c>
      <c r="S20" s="90"/>
      <c r="V20" s="4"/>
    </row>
    <row r="21" spans="1:22" x14ac:dyDescent="0.15">
      <c r="A21" s="32">
        <v>14</v>
      </c>
      <c r="B21" s="26">
        <v>32970</v>
      </c>
      <c r="C21" s="76">
        <v>3</v>
      </c>
      <c r="D21" s="76">
        <v>7</v>
      </c>
      <c r="E21" s="76">
        <v>2</v>
      </c>
      <c r="F21" s="76">
        <v>2</v>
      </c>
      <c r="G21" s="76">
        <v>7</v>
      </c>
      <c r="H21" s="76">
        <v>1</v>
      </c>
      <c r="I21" s="13">
        <v>6</v>
      </c>
      <c r="J21" s="33">
        <v>15816140</v>
      </c>
      <c r="K21" s="77">
        <v>1</v>
      </c>
      <c r="L21" s="34">
        <v>1355555.4</v>
      </c>
      <c r="M21" s="18">
        <v>70896.399999999994</v>
      </c>
      <c r="N21" s="56">
        <v>4</v>
      </c>
      <c r="O21" s="57">
        <v>76</v>
      </c>
      <c r="P21" s="57">
        <v>742</v>
      </c>
      <c r="Q21" s="58">
        <v>7236</v>
      </c>
      <c r="R21" s="139">
        <v>71344</v>
      </c>
      <c r="S21" s="90"/>
      <c r="V21" s="4"/>
    </row>
    <row r="22" spans="1:22" x14ac:dyDescent="0.15">
      <c r="A22" s="32">
        <v>15</v>
      </c>
      <c r="B22" s="26">
        <v>32977</v>
      </c>
      <c r="C22" s="76">
        <v>8</v>
      </c>
      <c r="D22" s="76">
        <v>3</v>
      </c>
      <c r="E22" s="76">
        <v>3</v>
      </c>
      <c r="F22" s="76">
        <v>2</v>
      </c>
      <c r="G22" s="76">
        <v>2</v>
      </c>
      <c r="H22" s="76">
        <v>0</v>
      </c>
      <c r="I22" s="13">
        <v>9</v>
      </c>
      <c r="J22" s="33">
        <v>15153416</v>
      </c>
      <c r="K22" s="159" t="s">
        <v>23</v>
      </c>
      <c r="L22" s="34"/>
      <c r="M22" s="18">
        <v>1248316.8</v>
      </c>
      <c r="N22" s="56">
        <v>8</v>
      </c>
      <c r="O22" s="57">
        <v>73</v>
      </c>
      <c r="P22" s="57">
        <v>699</v>
      </c>
      <c r="Q22" s="58">
        <v>6647</v>
      </c>
      <c r="R22" s="139">
        <v>65722</v>
      </c>
      <c r="S22" s="90"/>
      <c r="V22" s="4"/>
    </row>
    <row r="23" spans="1:22" x14ac:dyDescent="0.15">
      <c r="A23" s="32">
        <v>16</v>
      </c>
      <c r="B23" s="26">
        <v>32984</v>
      </c>
      <c r="C23" s="76">
        <v>0</v>
      </c>
      <c r="D23" s="76">
        <v>5</v>
      </c>
      <c r="E23" s="76">
        <v>4</v>
      </c>
      <c r="F23" s="76">
        <v>1</v>
      </c>
      <c r="G23" s="76">
        <v>8</v>
      </c>
      <c r="H23" s="76">
        <v>3</v>
      </c>
      <c r="I23" s="13">
        <v>2</v>
      </c>
      <c r="J23" s="33">
        <v>15188082</v>
      </c>
      <c r="K23" s="77">
        <v>1</v>
      </c>
      <c r="L23" s="34">
        <v>2355555.4</v>
      </c>
      <c r="M23" s="18">
        <v>72875.3</v>
      </c>
      <c r="N23" s="56">
        <v>7</v>
      </c>
      <c r="O23" s="57">
        <v>67</v>
      </c>
      <c r="P23" s="57">
        <v>712</v>
      </c>
      <c r="Q23" s="58">
        <v>6972</v>
      </c>
      <c r="R23" s="139">
        <v>69254</v>
      </c>
      <c r="S23" s="90"/>
      <c r="V23" s="4"/>
    </row>
    <row r="24" spans="1:22" x14ac:dyDescent="0.15">
      <c r="A24" s="32">
        <v>17</v>
      </c>
      <c r="B24" s="26">
        <v>32991</v>
      </c>
      <c r="C24" s="76">
        <v>8</v>
      </c>
      <c r="D24" s="76">
        <v>8</v>
      </c>
      <c r="E24" s="76">
        <v>3</v>
      </c>
      <c r="F24" s="76">
        <v>4</v>
      </c>
      <c r="G24" s="76">
        <v>5</v>
      </c>
      <c r="H24" s="76">
        <v>0</v>
      </c>
      <c r="I24" s="13">
        <v>8</v>
      </c>
      <c r="J24" s="33">
        <v>15280170</v>
      </c>
      <c r="K24" s="77">
        <v>1</v>
      </c>
      <c r="L24" s="34">
        <v>1155555.3999999999</v>
      </c>
      <c r="M24" s="18">
        <v>104589.1</v>
      </c>
      <c r="N24" s="56">
        <v>7</v>
      </c>
      <c r="O24" s="57">
        <v>70</v>
      </c>
      <c r="P24" s="57">
        <v>661</v>
      </c>
      <c r="Q24" s="58">
        <v>6608</v>
      </c>
      <c r="R24" s="139">
        <v>67136</v>
      </c>
      <c r="S24" s="90"/>
      <c r="V24" s="4"/>
    </row>
    <row r="25" spans="1:22" x14ac:dyDescent="0.15">
      <c r="A25" s="32">
        <v>18</v>
      </c>
      <c r="B25" s="26">
        <v>32998</v>
      </c>
      <c r="C25" s="76">
        <v>0</v>
      </c>
      <c r="D25" s="76">
        <v>4</v>
      </c>
      <c r="E25" s="76">
        <v>8</v>
      </c>
      <c r="F25" s="76">
        <v>0</v>
      </c>
      <c r="G25" s="76">
        <v>5</v>
      </c>
      <c r="H25" s="76">
        <v>9</v>
      </c>
      <c r="I25" s="13">
        <v>2</v>
      </c>
      <c r="J25" s="33">
        <v>14709174</v>
      </c>
      <c r="K25" s="77">
        <v>1</v>
      </c>
      <c r="L25" s="34">
        <v>1155555.3999999999</v>
      </c>
      <c r="M25" s="18">
        <v>91936.5</v>
      </c>
      <c r="N25" s="56">
        <v>10</v>
      </c>
      <c r="O25" s="57">
        <v>51</v>
      </c>
      <c r="P25" s="57">
        <v>674</v>
      </c>
      <c r="Q25" s="58">
        <v>6779</v>
      </c>
      <c r="R25" s="139">
        <v>65932</v>
      </c>
      <c r="S25" s="90"/>
      <c r="V25" s="4"/>
    </row>
    <row r="26" spans="1:22" x14ac:dyDescent="0.15">
      <c r="A26" s="32">
        <v>19</v>
      </c>
      <c r="B26" s="26">
        <v>33005</v>
      </c>
      <c r="C26" s="76">
        <v>2</v>
      </c>
      <c r="D26" s="76">
        <v>7</v>
      </c>
      <c r="E26" s="76">
        <v>1</v>
      </c>
      <c r="F26" s="76">
        <v>1</v>
      </c>
      <c r="G26" s="76">
        <v>6</v>
      </c>
      <c r="H26" s="76">
        <v>2</v>
      </c>
      <c r="I26" s="13">
        <v>4</v>
      </c>
      <c r="J26" s="33">
        <v>15036698</v>
      </c>
      <c r="K26" s="159" t="s">
        <v>23</v>
      </c>
      <c r="L26" s="34"/>
      <c r="M26" s="18">
        <v>1260287.8999999999</v>
      </c>
      <c r="N26" s="56">
        <v>8</v>
      </c>
      <c r="O26" s="57">
        <v>74</v>
      </c>
      <c r="P26" s="57">
        <v>717</v>
      </c>
      <c r="Q26" s="58">
        <v>7094</v>
      </c>
      <c r="R26" s="139">
        <v>68742</v>
      </c>
      <c r="S26" s="90"/>
      <c r="V26" s="4"/>
    </row>
    <row r="27" spans="1:22" x14ac:dyDescent="0.15">
      <c r="A27" s="32">
        <v>20</v>
      </c>
      <c r="B27" s="26">
        <v>33012</v>
      </c>
      <c r="C27" s="76">
        <v>3</v>
      </c>
      <c r="D27" s="76">
        <v>1</v>
      </c>
      <c r="E27" s="76">
        <v>9</v>
      </c>
      <c r="F27" s="76">
        <v>0</v>
      </c>
      <c r="G27" s="76">
        <v>3</v>
      </c>
      <c r="H27" s="76">
        <v>8</v>
      </c>
      <c r="I27" s="13">
        <v>2</v>
      </c>
      <c r="J27" s="33">
        <v>14943996</v>
      </c>
      <c r="K27" s="159" t="s">
        <v>23</v>
      </c>
      <c r="L27" s="34"/>
      <c r="M27" s="18">
        <v>2421436.2999999998</v>
      </c>
      <c r="N27" s="56">
        <v>10</v>
      </c>
      <c r="O27" s="57">
        <v>73</v>
      </c>
      <c r="P27" s="57">
        <v>648</v>
      </c>
      <c r="Q27" s="58">
        <v>6717</v>
      </c>
      <c r="R27" s="139">
        <v>67993</v>
      </c>
      <c r="S27" s="90"/>
      <c r="V27" s="4"/>
    </row>
    <row r="28" spans="1:22" x14ac:dyDescent="0.15">
      <c r="A28" s="32">
        <v>21</v>
      </c>
      <c r="B28" s="26">
        <v>33019</v>
      </c>
      <c r="C28" s="76">
        <v>7</v>
      </c>
      <c r="D28" s="76">
        <v>9</v>
      </c>
      <c r="E28" s="76">
        <v>4</v>
      </c>
      <c r="F28" s="76">
        <v>7</v>
      </c>
      <c r="G28" s="76">
        <v>3</v>
      </c>
      <c r="H28" s="76">
        <v>0</v>
      </c>
      <c r="I28" s="13">
        <v>3</v>
      </c>
      <c r="J28" s="33">
        <v>14559640</v>
      </c>
      <c r="K28" s="77">
        <v>2</v>
      </c>
      <c r="L28" s="34">
        <v>1755555.4</v>
      </c>
      <c r="M28" s="18">
        <v>41609.5</v>
      </c>
      <c r="N28" s="56">
        <v>8</v>
      </c>
      <c r="O28" s="57">
        <v>64</v>
      </c>
      <c r="P28" s="57">
        <v>608</v>
      </c>
      <c r="Q28" s="58">
        <v>6356</v>
      </c>
      <c r="R28" s="139">
        <v>62662</v>
      </c>
      <c r="S28" s="90"/>
      <c r="V28" s="4"/>
    </row>
    <row r="29" spans="1:22" x14ac:dyDescent="0.15">
      <c r="A29" s="32">
        <v>22</v>
      </c>
      <c r="B29" s="26">
        <v>33026</v>
      </c>
      <c r="C29" s="76">
        <v>5</v>
      </c>
      <c r="D29" s="76">
        <v>3</v>
      </c>
      <c r="E29" s="76">
        <v>5</v>
      </c>
      <c r="F29" s="76">
        <v>1</v>
      </c>
      <c r="G29" s="76">
        <v>6</v>
      </c>
      <c r="H29" s="76">
        <v>6</v>
      </c>
      <c r="I29" s="13">
        <v>3</v>
      </c>
      <c r="J29" s="33">
        <v>18257406</v>
      </c>
      <c r="K29" s="77">
        <v>3</v>
      </c>
      <c r="L29" s="34">
        <v>355555.4</v>
      </c>
      <c r="M29" s="18">
        <v>393543.7</v>
      </c>
      <c r="N29" s="56">
        <v>5</v>
      </c>
      <c r="O29" s="57">
        <v>73</v>
      </c>
      <c r="P29" s="57">
        <v>805</v>
      </c>
      <c r="Q29" s="58">
        <v>8175</v>
      </c>
      <c r="R29" s="139">
        <v>81674</v>
      </c>
      <c r="S29" s="90"/>
      <c r="V29" s="4"/>
    </row>
    <row r="30" spans="1:22" x14ac:dyDescent="0.15">
      <c r="A30" s="32">
        <v>23</v>
      </c>
      <c r="B30" s="26">
        <v>33033</v>
      </c>
      <c r="C30" s="76">
        <v>7</v>
      </c>
      <c r="D30" s="76">
        <v>9</v>
      </c>
      <c r="E30" s="76">
        <v>4</v>
      </c>
      <c r="F30" s="76">
        <v>6</v>
      </c>
      <c r="G30" s="76">
        <v>8</v>
      </c>
      <c r="H30" s="76">
        <v>6</v>
      </c>
      <c r="I30" s="13">
        <v>6</v>
      </c>
      <c r="J30" s="33">
        <v>15057990</v>
      </c>
      <c r="K30" s="77">
        <v>1</v>
      </c>
      <c r="L30" s="34">
        <v>1555555.4</v>
      </c>
      <c r="M30" s="18">
        <v>7994.1</v>
      </c>
      <c r="N30" s="56">
        <v>2</v>
      </c>
      <c r="O30" s="57">
        <v>85</v>
      </c>
      <c r="P30" s="57">
        <v>667</v>
      </c>
      <c r="Q30" s="58">
        <v>6769</v>
      </c>
      <c r="R30" s="139">
        <v>68114</v>
      </c>
      <c r="S30" s="90"/>
      <c r="V30" s="4"/>
    </row>
    <row r="31" spans="1:22" x14ac:dyDescent="0.15">
      <c r="A31" s="32">
        <v>24</v>
      </c>
      <c r="B31" s="26">
        <v>33040</v>
      </c>
      <c r="C31" s="76">
        <v>8</v>
      </c>
      <c r="D31" s="76">
        <v>2</v>
      </c>
      <c r="E31" s="76">
        <v>0</v>
      </c>
      <c r="F31" s="76">
        <v>8</v>
      </c>
      <c r="G31" s="76">
        <v>5</v>
      </c>
      <c r="H31" s="76">
        <v>4</v>
      </c>
      <c r="I31" s="13">
        <v>6</v>
      </c>
      <c r="J31" s="33">
        <v>14806872</v>
      </c>
      <c r="K31" s="159" t="s">
        <v>23</v>
      </c>
      <c r="L31" s="34"/>
      <c r="M31" s="18">
        <v>1158488</v>
      </c>
      <c r="N31" s="56">
        <v>4</v>
      </c>
      <c r="O31" s="57">
        <v>70</v>
      </c>
      <c r="P31" s="57">
        <v>687</v>
      </c>
      <c r="Q31" s="58">
        <v>6792</v>
      </c>
      <c r="R31" s="139">
        <v>67095</v>
      </c>
      <c r="S31" s="90"/>
      <c r="V31" s="4"/>
    </row>
    <row r="32" spans="1:22" x14ac:dyDescent="0.15">
      <c r="A32" s="32">
        <v>25</v>
      </c>
      <c r="B32" s="26">
        <v>33047</v>
      </c>
      <c r="C32" s="76">
        <v>3</v>
      </c>
      <c r="D32" s="76">
        <v>2</v>
      </c>
      <c r="E32" s="76">
        <v>0</v>
      </c>
      <c r="F32" s="76">
        <v>7</v>
      </c>
      <c r="G32" s="76">
        <v>7</v>
      </c>
      <c r="H32" s="76">
        <v>9</v>
      </c>
      <c r="I32" s="13">
        <v>1</v>
      </c>
      <c r="J32" s="33">
        <v>14820634</v>
      </c>
      <c r="K32" s="159" t="s">
        <v>23</v>
      </c>
      <c r="L32" s="34"/>
      <c r="M32" s="18">
        <v>2310051.2000000002</v>
      </c>
      <c r="N32" s="56">
        <v>6</v>
      </c>
      <c r="O32" s="57">
        <v>76</v>
      </c>
      <c r="P32" s="57">
        <v>659</v>
      </c>
      <c r="Q32" s="58">
        <v>6691</v>
      </c>
      <c r="R32" s="139">
        <v>66171</v>
      </c>
      <c r="S32" s="90"/>
      <c r="V32" s="4"/>
    </row>
    <row r="33" spans="1:26" x14ac:dyDescent="0.15">
      <c r="A33" s="32">
        <v>26</v>
      </c>
      <c r="B33" s="26">
        <v>33054</v>
      </c>
      <c r="C33" s="76">
        <v>4</v>
      </c>
      <c r="D33" s="76">
        <v>8</v>
      </c>
      <c r="E33" s="76">
        <v>8</v>
      </c>
      <c r="F33" s="76">
        <v>9</v>
      </c>
      <c r="G33" s="76">
        <v>7</v>
      </c>
      <c r="H33" s="76">
        <v>7</v>
      </c>
      <c r="I33" s="13">
        <v>2</v>
      </c>
      <c r="J33" s="33">
        <v>14842542</v>
      </c>
      <c r="K33" s="159" t="s">
        <v>23</v>
      </c>
      <c r="L33" s="34"/>
      <c r="M33" s="18">
        <v>3463316.7</v>
      </c>
      <c r="N33" s="56">
        <v>4</v>
      </c>
      <c r="O33" s="57">
        <v>75</v>
      </c>
      <c r="P33" s="57">
        <v>694</v>
      </c>
      <c r="Q33" s="58">
        <v>6720</v>
      </c>
      <c r="R33" s="139">
        <v>67003</v>
      </c>
      <c r="S33" s="90"/>
      <c r="V33" s="4"/>
    </row>
    <row r="34" spans="1:26" x14ac:dyDescent="0.15">
      <c r="A34" s="32">
        <v>27</v>
      </c>
      <c r="B34" s="26">
        <v>33061</v>
      </c>
      <c r="C34" s="76">
        <v>7</v>
      </c>
      <c r="D34" s="76">
        <v>7</v>
      </c>
      <c r="E34" s="76">
        <v>8</v>
      </c>
      <c r="F34" s="76">
        <v>9</v>
      </c>
      <c r="G34" s="76">
        <v>3</v>
      </c>
      <c r="H34" s="76">
        <v>9</v>
      </c>
      <c r="I34" s="13">
        <v>8</v>
      </c>
      <c r="J34" s="33">
        <v>14856064</v>
      </c>
      <c r="K34" s="77">
        <v>3</v>
      </c>
      <c r="L34" s="34">
        <v>1355555.4</v>
      </c>
      <c r="M34" s="18">
        <v>550966.6</v>
      </c>
      <c r="N34" s="56">
        <v>4</v>
      </c>
      <c r="O34" s="57">
        <v>73</v>
      </c>
      <c r="P34" s="57">
        <v>689</v>
      </c>
      <c r="Q34" s="58">
        <v>6672</v>
      </c>
      <c r="R34" s="139">
        <v>67354</v>
      </c>
      <c r="S34" s="90"/>
      <c r="V34" s="4"/>
    </row>
    <row r="35" spans="1:26" x14ac:dyDescent="0.15">
      <c r="A35" s="32">
        <v>28</v>
      </c>
      <c r="B35" s="26">
        <v>33068</v>
      </c>
      <c r="C35" s="76">
        <v>1</v>
      </c>
      <c r="D35" s="76">
        <v>5</v>
      </c>
      <c r="E35" s="76">
        <v>7</v>
      </c>
      <c r="F35" s="76">
        <v>4</v>
      </c>
      <c r="G35" s="76">
        <v>9</v>
      </c>
      <c r="H35" s="76">
        <v>0</v>
      </c>
      <c r="I35" s="13">
        <v>6</v>
      </c>
      <c r="J35" s="33">
        <v>14799096</v>
      </c>
      <c r="K35" s="159" t="s">
        <v>23</v>
      </c>
      <c r="L35" s="34"/>
      <c r="M35" s="18">
        <v>1700856.3</v>
      </c>
      <c r="N35" s="56">
        <v>5</v>
      </c>
      <c r="O35" s="57">
        <v>82</v>
      </c>
      <c r="P35" s="57">
        <v>657</v>
      </c>
      <c r="Q35" s="58">
        <v>6499</v>
      </c>
      <c r="R35" s="139">
        <v>64271</v>
      </c>
      <c r="S35" s="90"/>
      <c r="V35" s="4"/>
    </row>
    <row r="36" spans="1:26" x14ac:dyDescent="0.15">
      <c r="A36" s="32">
        <v>29</v>
      </c>
      <c r="B36" s="26">
        <v>33075</v>
      </c>
      <c r="C36" s="76">
        <v>5</v>
      </c>
      <c r="D36" s="76">
        <v>9</v>
      </c>
      <c r="E36" s="76">
        <v>1</v>
      </c>
      <c r="F36" s="76">
        <v>6</v>
      </c>
      <c r="G36" s="76">
        <v>9</v>
      </c>
      <c r="H36" s="76">
        <v>6</v>
      </c>
      <c r="I36" s="13">
        <v>2</v>
      </c>
      <c r="J36" s="33">
        <v>14507888</v>
      </c>
      <c r="K36" s="77">
        <v>1</v>
      </c>
      <c r="L36" s="34">
        <v>2755555.4</v>
      </c>
      <c r="M36" s="18">
        <v>72563.7</v>
      </c>
      <c r="N36" s="56">
        <v>5</v>
      </c>
      <c r="O36" s="57">
        <v>65</v>
      </c>
      <c r="P36" s="57">
        <v>675</v>
      </c>
      <c r="Q36" s="58">
        <v>6681</v>
      </c>
      <c r="R36" s="139">
        <v>65747</v>
      </c>
      <c r="S36" s="90"/>
      <c r="V36" s="4"/>
    </row>
    <row r="37" spans="1:26" x14ac:dyDescent="0.15">
      <c r="A37" s="32">
        <v>30</v>
      </c>
      <c r="B37" s="26">
        <v>33082</v>
      </c>
      <c r="C37" s="76">
        <v>6</v>
      </c>
      <c r="D37" s="76">
        <v>0</v>
      </c>
      <c r="E37" s="76">
        <v>0</v>
      </c>
      <c r="F37" s="76">
        <v>7</v>
      </c>
      <c r="G37" s="76">
        <v>9</v>
      </c>
      <c r="H37" s="76">
        <v>6</v>
      </c>
      <c r="I37" s="13">
        <v>2</v>
      </c>
      <c r="J37" s="33">
        <v>14396068</v>
      </c>
      <c r="K37" s="77">
        <v>1</v>
      </c>
      <c r="L37" s="34">
        <v>1155555.3999999999</v>
      </c>
      <c r="M37" s="18">
        <v>35582.699999999997</v>
      </c>
      <c r="N37" s="56">
        <v>8</v>
      </c>
      <c r="O37" s="57">
        <v>70</v>
      </c>
      <c r="P37" s="57">
        <v>676</v>
      </c>
      <c r="Q37" s="58">
        <v>6269</v>
      </c>
      <c r="R37" s="139">
        <v>63243</v>
      </c>
      <c r="S37" s="90"/>
      <c r="V37" s="4"/>
    </row>
    <row r="38" spans="1:26" x14ac:dyDescent="0.15">
      <c r="A38" s="32">
        <v>31</v>
      </c>
      <c r="B38" s="26">
        <v>33089</v>
      </c>
      <c r="C38" s="76">
        <v>7</v>
      </c>
      <c r="D38" s="76">
        <v>1</v>
      </c>
      <c r="E38" s="76">
        <v>5</v>
      </c>
      <c r="F38" s="76">
        <v>3</v>
      </c>
      <c r="G38" s="76">
        <v>7</v>
      </c>
      <c r="H38" s="76">
        <v>7</v>
      </c>
      <c r="I38" s="13">
        <v>9</v>
      </c>
      <c r="J38" s="33">
        <v>14727234</v>
      </c>
      <c r="K38" s="77">
        <v>3</v>
      </c>
      <c r="L38" s="34">
        <v>355555.4</v>
      </c>
      <c r="M38" s="18">
        <v>113222.5</v>
      </c>
      <c r="N38" s="56">
        <v>5</v>
      </c>
      <c r="O38" s="57">
        <v>61</v>
      </c>
      <c r="P38" s="57">
        <v>708</v>
      </c>
      <c r="Q38" s="58">
        <v>6739</v>
      </c>
      <c r="R38" s="139">
        <v>67575</v>
      </c>
      <c r="S38" s="90"/>
      <c r="V38" s="4"/>
    </row>
    <row r="39" spans="1:26" x14ac:dyDescent="0.15">
      <c r="A39" s="32">
        <v>32</v>
      </c>
      <c r="B39" s="26">
        <v>33096</v>
      </c>
      <c r="C39" s="76">
        <v>6</v>
      </c>
      <c r="D39" s="76">
        <v>2</v>
      </c>
      <c r="E39" s="76">
        <v>5</v>
      </c>
      <c r="F39" s="76">
        <v>2</v>
      </c>
      <c r="G39" s="76">
        <v>9</v>
      </c>
      <c r="H39" s="76">
        <v>1</v>
      </c>
      <c r="I39" s="13">
        <v>6</v>
      </c>
      <c r="J39" s="33">
        <v>14480368</v>
      </c>
      <c r="K39" s="77">
        <v>2</v>
      </c>
      <c r="L39" s="34">
        <v>555555.4</v>
      </c>
      <c r="M39" s="18">
        <v>127236.2</v>
      </c>
      <c r="N39" s="56">
        <v>9</v>
      </c>
      <c r="O39" s="57">
        <v>64</v>
      </c>
      <c r="P39" s="57">
        <v>662</v>
      </c>
      <c r="Q39" s="58">
        <v>6610</v>
      </c>
      <c r="R39" s="139">
        <v>64792</v>
      </c>
      <c r="S39" s="90"/>
      <c r="V39" s="4"/>
    </row>
    <row r="40" spans="1:26" x14ac:dyDescent="0.15">
      <c r="A40" s="32">
        <v>33</v>
      </c>
      <c r="B40" s="26">
        <v>33103</v>
      </c>
      <c r="C40" s="76">
        <v>2</v>
      </c>
      <c r="D40" s="76">
        <v>5</v>
      </c>
      <c r="E40" s="76">
        <v>7</v>
      </c>
      <c r="F40" s="76">
        <v>7</v>
      </c>
      <c r="G40" s="76">
        <v>3</v>
      </c>
      <c r="H40" s="76">
        <v>6</v>
      </c>
      <c r="I40" s="13">
        <v>6</v>
      </c>
      <c r="J40" s="33">
        <v>14528086</v>
      </c>
      <c r="K40" s="159" t="s">
        <v>23</v>
      </c>
      <c r="L40" s="34"/>
      <c r="M40" s="18">
        <v>1256068.3999999999</v>
      </c>
      <c r="N40" s="56">
        <v>12</v>
      </c>
      <c r="O40" s="57">
        <v>71</v>
      </c>
      <c r="P40" s="57">
        <v>668</v>
      </c>
      <c r="Q40" s="58">
        <v>6589</v>
      </c>
      <c r="R40" s="139">
        <v>65835</v>
      </c>
      <c r="S40" s="90"/>
      <c r="V40" s="4"/>
    </row>
    <row r="41" spans="1:26" x14ac:dyDescent="0.15">
      <c r="A41" s="36">
        <v>34</v>
      </c>
      <c r="B41" s="37">
        <v>33110</v>
      </c>
      <c r="C41" s="38">
        <v>3</v>
      </c>
      <c r="D41" s="38">
        <v>5</v>
      </c>
      <c r="E41" s="38">
        <v>0</v>
      </c>
      <c r="F41" s="38">
        <v>0</v>
      </c>
      <c r="G41" s="38">
        <v>3</v>
      </c>
      <c r="H41" s="21">
        <v>8</v>
      </c>
      <c r="I41" s="39">
        <v>4</v>
      </c>
      <c r="J41" s="40">
        <v>14672898</v>
      </c>
      <c r="K41" s="71">
        <v>1</v>
      </c>
      <c r="L41" s="42">
        <v>2355555.4</v>
      </c>
      <c r="M41" s="43">
        <v>40597.1</v>
      </c>
      <c r="N41" s="61">
        <v>4</v>
      </c>
      <c r="O41" s="62">
        <v>62</v>
      </c>
      <c r="P41" s="62">
        <v>690</v>
      </c>
      <c r="Q41" s="63">
        <v>6660</v>
      </c>
      <c r="R41" s="142">
        <v>66060</v>
      </c>
      <c r="S41" s="90"/>
      <c r="V41" s="4"/>
    </row>
    <row r="42" spans="1:26" s="90" customFormat="1" x14ac:dyDescent="0.15">
      <c r="A42" s="155"/>
      <c r="B42" s="156"/>
      <c r="C42" s="157"/>
      <c r="D42" s="157"/>
      <c r="E42" s="157"/>
      <c r="F42" s="157"/>
      <c r="G42" s="157"/>
      <c r="H42" s="157"/>
      <c r="I42" s="157"/>
      <c r="J42" s="157"/>
      <c r="K42" s="158"/>
      <c r="L42" s="158"/>
      <c r="M42" s="158"/>
      <c r="N42" s="158"/>
      <c r="O42" s="158"/>
      <c r="P42" s="158"/>
      <c r="Q42" s="158"/>
      <c r="R42" s="158"/>
      <c r="S42" s="165"/>
      <c r="T42" s="147"/>
      <c r="U42" s="147"/>
      <c r="V42" s="148"/>
      <c r="W42" s="147"/>
      <c r="X42" s="147"/>
      <c r="Y42" s="147"/>
      <c r="Z42" s="147"/>
    </row>
    <row r="43" spans="1:26" x14ac:dyDescent="0.15">
      <c r="A43" s="150"/>
      <c r="B43" s="7"/>
      <c r="C43" s="151"/>
      <c r="D43" s="152"/>
      <c r="E43" s="152"/>
      <c r="F43" s="152"/>
      <c r="G43" s="152"/>
      <c r="H43" s="152"/>
      <c r="I43" s="149"/>
      <c r="J43" s="8"/>
      <c r="K43" s="9"/>
      <c r="L43" s="12"/>
      <c r="M43" s="8"/>
      <c r="N43" s="8"/>
      <c r="O43" s="8"/>
      <c r="P43" s="8"/>
      <c r="Q43" s="8"/>
      <c r="R43" s="8"/>
      <c r="S43" s="8"/>
      <c r="V43" s="4"/>
    </row>
    <row r="44" spans="1:26" x14ac:dyDescent="0.15">
      <c r="A44" s="126"/>
      <c r="B44" s="13"/>
      <c r="C44" s="109" t="s">
        <v>4</v>
      </c>
      <c r="D44" s="110"/>
      <c r="E44" s="110"/>
      <c r="F44" s="110"/>
      <c r="G44" s="110"/>
      <c r="H44" s="110"/>
      <c r="I44" s="17" t="s">
        <v>5</v>
      </c>
      <c r="J44" s="14" t="s">
        <v>6</v>
      </c>
      <c r="K44" s="92" t="s">
        <v>7</v>
      </c>
      <c r="L44" s="18"/>
      <c r="M44" s="14" t="s">
        <v>21</v>
      </c>
      <c r="N44" s="14" t="s">
        <v>8</v>
      </c>
      <c r="O44" s="14" t="s">
        <v>9</v>
      </c>
      <c r="P44" s="14" t="s">
        <v>10</v>
      </c>
      <c r="Q44" s="14" t="s">
        <v>11</v>
      </c>
      <c r="R44" s="14" t="s">
        <v>12</v>
      </c>
      <c r="S44" s="14" t="s">
        <v>49</v>
      </c>
      <c r="V44" s="4"/>
    </row>
    <row r="45" spans="1:26" x14ac:dyDescent="0.15">
      <c r="A45" s="153" t="s">
        <v>3</v>
      </c>
      <c r="B45" s="13">
        <v>1990</v>
      </c>
      <c r="C45" s="76"/>
      <c r="D45" s="76"/>
      <c r="E45" s="76"/>
      <c r="F45" s="76"/>
      <c r="G45" s="76"/>
      <c r="H45" s="76"/>
      <c r="I45" s="17" t="s">
        <v>13</v>
      </c>
      <c r="J45" s="14" t="s">
        <v>14</v>
      </c>
      <c r="K45" s="92" t="s">
        <v>50</v>
      </c>
      <c r="L45" s="18"/>
      <c r="M45" s="14" t="s">
        <v>14</v>
      </c>
      <c r="N45" s="75" t="s">
        <v>51</v>
      </c>
      <c r="O45" s="75" t="s">
        <v>52</v>
      </c>
      <c r="P45" s="75" t="s">
        <v>53</v>
      </c>
      <c r="Q45" s="75" t="s">
        <v>54</v>
      </c>
      <c r="R45" s="75" t="s">
        <v>55</v>
      </c>
      <c r="S45" s="14" t="s">
        <v>56</v>
      </c>
      <c r="V45" s="4"/>
    </row>
    <row r="46" spans="1:26" x14ac:dyDescent="0.15">
      <c r="A46" s="154"/>
      <c r="B46" s="39"/>
      <c r="C46" s="38"/>
      <c r="D46" s="38"/>
      <c r="E46" s="38"/>
      <c r="F46" s="38"/>
      <c r="G46" s="38"/>
      <c r="H46" s="38"/>
      <c r="I46" s="39"/>
      <c r="J46" s="21"/>
      <c r="K46" s="60" t="s">
        <v>15</v>
      </c>
      <c r="L46" s="78" t="s">
        <v>14</v>
      </c>
      <c r="M46" s="21"/>
      <c r="N46" s="96" t="s">
        <v>15</v>
      </c>
      <c r="O46" s="96" t="s">
        <v>15</v>
      </c>
      <c r="P46" s="96" t="s">
        <v>15</v>
      </c>
      <c r="Q46" s="96" t="s">
        <v>15</v>
      </c>
      <c r="R46" s="96" t="s">
        <v>15</v>
      </c>
      <c r="S46" s="21" t="s">
        <v>15</v>
      </c>
      <c r="V46" s="4"/>
    </row>
    <row r="47" spans="1:26" x14ac:dyDescent="0.15">
      <c r="A47" s="32">
        <v>35</v>
      </c>
      <c r="B47" s="26">
        <v>33117</v>
      </c>
      <c r="C47" s="76">
        <v>6</v>
      </c>
      <c r="D47" s="76">
        <v>4</v>
      </c>
      <c r="E47" s="76">
        <v>8</v>
      </c>
      <c r="F47" s="76">
        <v>7</v>
      </c>
      <c r="G47" s="76">
        <v>9</v>
      </c>
      <c r="H47" s="76">
        <v>4</v>
      </c>
      <c r="I47" s="13">
        <v>6</v>
      </c>
      <c r="J47" s="33">
        <v>29520771.5</v>
      </c>
      <c r="K47" s="77">
        <v>2</v>
      </c>
      <c r="L47" s="34">
        <v>977777</v>
      </c>
      <c r="M47" s="18">
        <v>183969.9</v>
      </c>
      <c r="N47" s="56">
        <v>7</v>
      </c>
      <c r="O47" s="57">
        <v>103</v>
      </c>
      <c r="P47" s="57">
        <v>1086</v>
      </c>
      <c r="Q47" s="58">
        <v>10872</v>
      </c>
      <c r="R47" s="59">
        <v>107220</v>
      </c>
      <c r="S47" s="58">
        <v>1065098</v>
      </c>
      <c r="V47" s="4"/>
    </row>
    <row r="48" spans="1:26" x14ac:dyDescent="0.15">
      <c r="A48" s="32">
        <v>36</v>
      </c>
      <c r="B48" s="26">
        <v>33124</v>
      </c>
      <c r="C48" s="76">
        <v>8</v>
      </c>
      <c r="D48" s="76">
        <v>7</v>
      </c>
      <c r="E48" s="76">
        <v>6</v>
      </c>
      <c r="F48" s="76">
        <v>9</v>
      </c>
      <c r="G48" s="76">
        <v>6</v>
      </c>
      <c r="H48" s="76">
        <v>7</v>
      </c>
      <c r="I48" s="13">
        <v>2</v>
      </c>
      <c r="J48" s="33">
        <v>24076972.5</v>
      </c>
      <c r="K48" s="77">
        <v>1</v>
      </c>
      <c r="L48" s="34">
        <v>1877777</v>
      </c>
      <c r="M48" s="18">
        <v>18065.599999999999</v>
      </c>
      <c r="N48" s="56">
        <v>9</v>
      </c>
      <c r="O48" s="57">
        <v>98</v>
      </c>
      <c r="P48" s="57">
        <v>885</v>
      </c>
      <c r="Q48" s="58">
        <v>8879</v>
      </c>
      <c r="R48" s="59">
        <v>87392</v>
      </c>
      <c r="S48" s="58">
        <v>867231</v>
      </c>
      <c r="V48" s="4"/>
    </row>
    <row r="49" spans="1:22" x14ac:dyDescent="0.15">
      <c r="A49" s="32">
        <v>37</v>
      </c>
      <c r="B49" s="26">
        <v>33131</v>
      </c>
      <c r="C49" s="76">
        <v>2</v>
      </c>
      <c r="D49" s="76">
        <v>2</v>
      </c>
      <c r="E49" s="76">
        <v>7</v>
      </c>
      <c r="F49" s="76">
        <v>3</v>
      </c>
      <c r="G49" s="76">
        <v>7</v>
      </c>
      <c r="H49" s="76">
        <v>4</v>
      </c>
      <c r="I49" s="13">
        <v>1</v>
      </c>
      <c r="J49" s="33">
        <v>24403920</v>
      </c>
      <c r="K49" s="77">
        <v>2</v>
      </c>
      <c r="L49" s="34">
        <v>777777</v>
      </c>
      <c r="M49" s="18">
        <v>197630.3</v>
      </c>
      <c r="N49" s="56">
        <v>8</v>
      </c>
      <c r="O49" s="57">
        <v>98</v>
      </c>
      <c r="P49" s="57">
        <v>903</v>
      </c>
      <c r="Q49" s="58">
        <v>8785</v>
      </c>
      <c r="R49" s="59">
        <v>86705</v>
      </c>
      <c r="S49" s="58">
        <v>863876</v>
      </c>
      <c r="V49" s="4"/>
    </row>
    <row r="50" spans="1:22" x14ac:dyDescent="0.15">
      <c r="A50" s="32">
        <v>38</v>
      </c>
      <c r="B50" s="26">
        <v>33138</v>
      </c>
      <c r="C50" s="76">
        <v>7</v>
      </c>
      <c r="D50" s="76">
        <v>9</v>
      </c>
      <c r="E50" s="76">
        <v>7</v>
      </c>
      <c r="F50" s="76">
        <v>1</v>
      </c>
      <c r="G50" s="76">
        <v>4</v>
      </c>
      <c r="H50" s="76">
        <v>6</v>
      </c>
      <c r="I50" s="13">
        <v>5</v>
      </c>
      <c r="J50" s="33">
        <v>24442415</v>
      </c>
      <c r="K50" s="159" t="s">
        <v>23</v>
      </c>
      <c r="L50" s="34"/>
      <c r="M50" s="18">
        <v>1935486</v>
      </c>
      <c r="N50" s="56">
        <v>9</v>
      </c>
      <c r="O50" s="57">
        <v>93</v>
      </c>
      <c r="P50" s="57">
        <v>871</v>
      </c>
      <c r="Q50" s="58">
        <v>8959</v>
      </c>
      <c r="R50" s="59">
        <v>89581</v>
      </c>
      <c r="S50" s="58">
        <v>891857</v>
      </c>
      <c r="V50" s="4"/>
    </row>
    <row r="51" spans="1:22" x14ac:dyDescent="0.15">
      <c r="A51" s="32">
        <v>39</v>
      </c>
      <c r="B51" s="26">
        <v>33145</v>
      </c>
      <c r="C51" s="76">
        <v>6</v>
      </c>
      <c r="D51" s="76">
        <v>8</v>
      </c>
      <c r="E51" s="76">
        <v>2</v>
      </c>
      <c r="F51" s="76">
        <v>1</v>
      </c>
      <c r="G51" s="76">
        <v>3</v>
      </c>
      <c r="H51" s="76">
        <v>3</v>
      </c>
      <c r="I51" s="13">
        <v>3</v>
      </c>
      <c r="J51" s="33">
        <v>23981202.5</v>
      </c>
      <c r="K51" s="77">
        <v>2</v>
      </c>
      <c r="L51" s="34">
        <v>1777777</v>
      </c>
      <c r="M51" s="18">
        <v>84995.5</v>
      </c>
      <c r="N51" s="56">
        <v>10</v>
      </c>
      <c r="O51" s="57">
        <v>82</v>
      </c>
      <c r="P51" s="57">
        <v>879</v>
      </c>
      <c r="Q51" s="58">
        <v>8988</v>
      </c>
      <c r="R51" s="59">
        <v>87622</v>
      </c>
      <c r="S51" s="58">
        <v>877307</v>
      </c>
      <c r="V51" s="4"/>
    </row>
    <row r="52" spans="1:22" x14ac:dyDescent="0.15">
      <c r="A52" s="32">
        <v>40</v>
      </c>
      <c r="B52" s="26">
        <v>33152</v>
      </c>
      <c r="C52" s="76">
        <v>4</v>
      </c>
      <c r="D52" s="76">
        <v>5</v>
      </c>
      <c r="E52" s="76">
        <v>1</v>
      </c>
      <c r="F52" s="76">
        <v>0</v>
      </c>
      <c r="G52" s="76">
        <v>1</v>
      </c>
      <c r="H52" s="76">
        <v>3</v>
      </c>
      <c r="I52" s="13">
        <v>0</v>
      </c>
      <c r="J52" s="33">
        <v>24463032.5</v>
      </c>
      <c r="K52" s="77">
        <v>1</v>
      </c>
      <c r="L52" s="34">
        <v>1777777</v>
      </c>
      <c r="M52" s="18">
        <v>46540.1</v>
      </c>
      <c r="N52" s="56">
        <v>7</v>
      </c>
      <c r="O52" s="57">
        <v>69</v>
      </c>
      <c r="P52" s="57">
        <v>834</v>
      </c>
      <c r="Q52" s="58">
        <v>8417</v>
      </c>
      <c r="R52" s="59">
        <v>84042</v>
      </c>
      <c r="S52" s="58">
        <v>837736</v>
      </c>
    </row>
    <row r="53" spans="1:22" x14ac:dyDescent="0.15">
      <c r="A53" s="32">
        <v>41</v>
      </c>
      <c r="B53" s="26">
        <v>33159</v>
      </c>
      <c r="C53" s="76">
        <v>2</v>
      </c>
      <c r="D53" s="76">
        <v>5</v>
      </c>
      <c r="E53" s="76">
        <v>6</v>
      </c>
      <c r="F53" s="76">
        <v>1</v>
      </c>
      <c r="G53" s="76">
        <v>1</v>
      </c>
      <c r="H53" s="76">
        <v>9</v>
      </c>
      <c r="I53" s="13">
        <v>2</v>
      </c>
      <c r="J53" s="33">
        <v>24709362.5</v>
      </c>
      <c r="K53" s="159" t="s">
        <v>23</v>
      </c>
      <c r="L53" s="34"/>
      <c r="M53" s="18">
        <v>1803375.8</v>
      </c>
      <c r="N53" s="56">
        <v>7</v>
      </c>
      <c r="O53" s="57">
        <v>86</v>
      </c>
      <c r="P53" s="57">
        <v>866</v>
      </c>
      <c r="Q53" s="58">
        <v>8931</v>
      </c>
      <c r="R53" s="59">
        <v>89309</v>
      </c>
      <c r="S53" s="58">
        <v>892464</v>
      </c>
    </row>
    <row r="54" spans="1:22" x14ac:dyDescent="0.15">
      <c r="A54" s="32">
        <v>42</v>
      </c>
      <c r="B54" s="26">
        <v>33166</v>
      </c>
      <c r="C54" s="76">
        <v>0</v>
      </c>
      <c r="D54" s="76">
        <v>2</v>
      </c>
      <c r="E54" s="76">
        <v>0</v>
      </c>
      <c r="F54" s="76">
        <v>5</v>
      </c>
      <c r="G54" s="76">
        <v>2</v>
      </c>
      <c r="H54" s="76">
        <v>3</v>
      </c>
      <c r="I54" s="13">
        <v>7</v>
      </c>
      <c r="J54" s="33">
        <v>23939485</v>
      </c>
      <c r="K54" s="159" t="s">
        <v>23</v>
      </c>
      <c r="L54" s="34"/>
      <c r="M54" s="18">
        <v>3505473.2</v>
      </c>
      <c r="N54" s="56">
        <v>10</v>
      </c>
      <c r="O54" s="57">
        <v>82</v>
      </c>
      <c r="P54" s="57">
        <v>835</v>
      </c>
      <c r="Q54" s="58">
        <v>8863</v>
      </c>
      <c r="R54" s="59">
        <v>88945</v>
      </c>
      <c r="S54" s="58">
        <v>886902</v>
      </c>
    </row>
    <row r="55" spans="1:22" x14ac:dyDescent="0.15">
      <c r="A55" s="32">
        <v>43</v>
      </c>
      <c r="B55" s="26">
        <v>33173</v>
      </c>
      <c r="C55" s="76">
        <v>1</v>
      </c>
      <c r="D55" s="76">
        <v>5</v>
      </c>
      <c r="E55" s="76">
        <v>8</v>
      </c>
      <c r="F55" s="76">
        <v>7</v>
      </c>
      <c r="G55" s="76">
        <v>9</v>
      </c>
      <c r="H55" s="76">
        <v>4</v>
      </c>
      <c r="I55" s="13">
        <v>9</v>
      </c>
      <c r="J55" s="33">
        <v>24931315</v>
      </c>
      <c r="K55" s="77">
        <v>1</v>
      </c>
      <c r="L55" s="34">
        <v>5277777</v>
      </c>
      <c r="M55" s="18">
        <v>312.7</v>
      </c>
      <c r="N55" s="56">
        <v>15</v>
      </c>
      <c r="O55" s="57">
        <v>99</v>
      </c>
      <c r="P55" s="57">
        <v>897</v>
      </c>
      <c r="Q55" s="58">
        <v>9455</v>
      </c>
      <c r="R55" s="59">
        <v>91248</v>
      </c>
      <c r="S55" s="58">
        <v>901259</v>
      </c>
    </row>
    <row r="56" spans="1:22" x14ac:dyDescent="0.15">
      <c r="A56" s="32">
        <v>44</v>
      </c>
      <c r="B56" s="26">
        <v>33180</v>
      </c>
      <c r="C56" s="76">
        <v>4</v>
      </c>
      <c r="D56" s="76">
        <v>9</v>
      </c>
      <c r="E56" s="76">
        <v>9</v>
      </c>
      <c r="F56" s="76">
        <v>7</v>
      </c>
      <c r="G56" s="76">
        <v>0</v>
      </c>
      <c r="H56" s="76">
        <v>5</v>
      </c>
      <c r="I56" s="13">
        <v>9</v>
      </c>
      <c r="J56" s="33">
        <v>24602372.5</v>
      </c>
      <c r="K56" s="77">
        <v>1</v>
      </c>
      <c r="L56" s="34">
        <v>1677777</v>
      </c>
      <c r="M56" s="18">
        <v>71764.399999999994</v>
      </c>
      <c r="N56" s="56">
        <v>7</v>
      </c>
      <c r="O56" s="57">
        <v>86</v>
      </c>
      <c r="P56" s="57">
        <v>902</v>
      </c>
      <c r="Q56" s="58">
        <v>8478</v>
      </c>
      <c r="R56" s="59">
        <v>86391</v>
      </c>
      <c r="S56" s="58">
        <v>862733</v>
      </c>
    </row>
    <row r="57" spans="1:22" x14ac:dyDescent="0.15">
      <c r="A57" s="32">
        <v>45</v>
      </c>
      <c r="B57" s="26">
        <v>33187</v>
      </c>
      <c r="C57" s="76">
        <v>8</v>
      </c>
      <c r="D57" s="76">
        <v>3</v>
      </c>
      <c r="E57" s="76">
        <v>7</v>
      </c>
      <c r="F57" s="76">
        <v>2</v>
      </c>
      <c r="G57" s="76">
        <v>9</v>
      </c>
      <c r="H57" s="76">
        <v>1</v>
      </c>
      <c r="I57" s="13">
        <v>9</v>
      </c>
      <c r="J57" s="33">
        <v>25483290</v>
      </c>
      <c r="K57" s="77">
        <v>1</v>
      </c>
      <c r="L57" s="34">
        <v>1877777</v>
      </c>
      <c r="M57" s="18">
        <v>5849.3</v>
      </c>
      <c r="N57" s="56">
        <v>12</v>
      </c>
      <c r="O57" s="57">
        <v>87</v>
      </c>
      <c r="P57" s="57">
        <v>868</v>
      </c>
      <c r="Q57" s="58">
        <v>8909</v>
      </c>
      <c r="R57" s="59">
        <v>88791</v>
      </c>
      <c r="S57" s="58">
        <v>886689</v>
      </c>
    </row>
    <row r="58" spans="1:22" x14ac:dyDescent="0.15">
      <c r="A58" s="32">
        <v>46</v>
      </c>
      <c r="B58" s="26">
        <v>33194</v>
      </c>
      <c r="C58" s="76">
        <v>6</v>
      </c>
      <c r="D58" s="76">
        <v>8</v>
      </c>
      <c r="E58" s="76">
        <v>2</v>
      </c>
      <c r="F58" s="76">
        <v>3</v>
      </c>
      <c r="G58" s="76">
        <v>6</v>
      </c>
      <c r="H58" s="76">
        <v>6</v>
      </c>
      <c r="I58" s="13">
        <v>7</v>
      </c>
      <c r="J58" s="33">
        <v>25009832.5</v>
      </c>
      <c r="K58" s="77">
        <v>1</v>
      </c>
      <c r="L58" s="34">
        <v>1777777</v>
      </c>
      <c r="M58" s="18">
        <v>6271.4</v>
      </c>
      <c r="N58" s="56">
        <v>12</v>
      </c>
      <c r="O58" s="57">
        <v>105</v>
      </c>
      <c r="P58" s="57">
        <v>867</v>
      </c>
      <c r="Q58" s="58">
        <v>9047</v>
      </c>
      <c r="R58" s="59">
        <v>91816</v>
      </c>
      <c r="S58" s="58">
        <v>918798</v>
      </c>
    </row>
    <row r="59" spans="1:22" x14ac:dyDescent="0.15">
      <c r="A59" s="32">
        <v>47</v>
      </c>
      <c r="B59" s="26">
        <v>33201</v>
      </c>
      <c r="C59" s="76">
        <v>2</v>
      </c>
      <c r="D59" s="76">
        <v>2</v>
      </c>
      <c r="E59" s="76">
        <v>7</v>
      </c>
      <c r="F59" s="76">
        <v>4</v>
      </c>
      <c r="G59" s="76">
        <v>9</v>
      </c>
      <c r="H59" s="76">
        <v>6</v>
      </c>
      <c r="I59" s="13">
        <v>1</v>
      </c>
      <c r="J59" s="33">
        <v>24362962.5</v>
      </c>
      <c r="K59" s="77">
        <v>1</v>
      </c>
      <c r="L59" s="34">
        <v>1677777</v>
      </c>
      <c r="M59" s="18">
        <v>60701</v>
      </c>
      <c r="N59" s="56">
        <v>8</v>
      </c>
      <c r="O59" s="57">
        <v>98</v>
      </c>
      <c r="P59" s="57">
        <v>859</v>
      </c>
      <c r="Q59" s="58">
        <v>8727</v>
      </c>
      <c r="R59" s="59">
        <v>85621</v>
      </c>
      <c r="S59" s="58">
        <v>864844</v>
      </c>
    </row>
    <row r="60" spans="1:22" x14ac:dyDescent="0.15">
      <c r="A60" s="32">
        <v>48</v>
      </c>
      <c r="B60" s="26">
        <v>33208</v>
      </c>
      <c r="C60" s="76">
        <v>8</v>
      </c>
      <c r="D60" s="76">
        <v>9</v>
      </c>
      <c r="E60" s="76">
        <v>9</v>
      </c>
      <c r="F60" s="76">
        <v>3</v>
      </c>
      <c r="G60" s="76">
        <v>1</v>
      </c>
      <c r="H60" s="76">
        <v>1</v>
      </c>
      <c r="I60" s="13">
        <v>4</v>
      </c>
      <c r="J60" s="33">
        <v>32251852.5</v>
      </c>
      <c r="K60" s="77">
        <v>1</v>
      </c>
      <c r="L60" s="34">
        <v>2277777</v>
      </c>
      <c r="M60" s="18">
        <v>76030.7</v>
      </c>
      <c r="N60" s="56">
        <v>19</v>
      </c>
      <c r="O60" s="57">
        <v>113</v>
      </c>
      <c r="P60" s="57">
        <v>1157</v>
      </c>
      <c r="Q60" s="58">
        <v>11321</v>
      </c>
      <c r="R60" s="59">
        <v>117181</v>
      </c>
      <c r="S60" s="58">
        <v>1169407</v>
      </c>
    </row>
    <row r="61" spans="1:22" x14ac:dyDescent="0.15">
      <c r="A61" s="32">
        <v>49</v>
      </c>
      <c r="B61" s="26">
        <v>33215</v>
      </c>
      <c r="C61" s="76">
        <v>8</v>
      </c>
      <c r="D61" s="76">
        <v>3</v>
      </c>
      <c r="E61" s="76">
        <v>1</v>
      </c>
      <c r="F61" s="76">
        <v>9</v>
      </c>
      <c r="G61" s="76">
        <v>9</v>
      </c>
      <c r="H61" s="76">
        <v>1</v>
      </c>
      <c r="I61" s="13">
        <v>2</v>
      </c>
      <c r="J61" s="33">
        <v>26844952.5</v>
      </c>
      <c r="K61" s="77">
        <v>1</v>
      </c>
      <c r="L61" s="34">
        <v>1977777</v>
      </c>
      <c r="M61" s="18">
        <v>6929.8</v>
      </c>
      <c r="N61" s="56">
        <v>12</v>
      </c>
      <c r="O61" s="57">
        <v>104</v>
      </c>
      <c r="P61" s="57">
        <v>985</v>
      </c>
      <c r="Q61" s="58">
        <v>9835</v>
      </c>
      <c r="R61" s="59">
        <v>97833</v>
      </c>
      <c r="S61" s="58">
        <v>970389</v>
      </c>
    </row>
    <row r="62" spans="1:22" x14ac:dyDescent="0.15">
      <c r="A62" s="32">
        <v>50</v>
      </c>
      <c r="B62" s="26">
        <v>33222</v>
      </c>
      <c r="C62" s="76">
        <v>5</v>
      </c>
      <c r="D62" s="76">
        <v>6</v>
      </c>
      <c r="E62" s="76">
        <v>0</v>
      </c>
      <c r="F62" s="76">
        <v>6</v>
      </c>
      <c r="G62" s="76">
        <v>8</v>
      </c>
      <c r="H62" s="76">
        <v>7</v>
      </c>
      <c r="I62" s="13">
        <v>9</v>
      </c>
      <c r="J62" s="33">
        <v>27115812.5</v>
      </c>
      <c r="K62" s="159" t="s">
        <v>23</v>
      </c>
      <c r="L62" s="34"/>
      <c r="M62" s="106">
        <v>1934864.1</v>
      </c>
      <c r="N62" s="56">
        <v>6</v>
      </c>
      <c r="O62" s="57">
        <v>97</v>
      </c>
      <c r="P62" s="57">
        <v>1012</v>
      </c>
      <c r="Q62" s="58">
        <v>9852</v>
      </c>
      <c r="R62" s="59">
        <v>98791</v>
      </c>
      <c r="S62" s="58">
        <v>984244</v>
      </c>
    </row>
    <row r="63" spans="1:22" x14ac:dyDescent="0.15">
      <c r="A63" s="32">
        <v>51</v>
      </c>
      <c r="B63" s="26">
        <v>33229</v>
      </c>
      <c r="C63" s="76">
        <v>4</v>
      </c>
      <c r="D63" s="76">
        <v>8</v>
      </c>
      <c r="E63" s="76">
        <v>6</v>
      </c>
      <c r="F63" s="76">
        <v>7</v>
      </c>
      <c r="G63" s="76">
        <v>8</v>
      </c>
      <c r="H63" s="76">
        <v>5</v>
      </c>
      <c r="I63" s="13">
        <v>9</v>
      </c>
      <c r="J63" s="33">
        <v>29287327.5</v>
      </c>
      <c r="K63" s="77">
        <v>2</v>
      </c>
      <c r="L63" s="34">
        <v>1977777</v>
      </c>
      <c r="M63" s="106">
        <v>61639.1</v>
      </c>
      <c r="N63" s="56">
        <v>14</v>
      </c>
      <c r="O63" s="57">
        <v>111</v>
      </c>
      <c r="P63" s="57">
        <v>1022</v>
      </c>
      <c r="Q63" s="58">
        <v>10344</v>
      </c>
      <c r="R63" s="59">
        <v>104581</v>
      </c>
      <c r="S63" s="58">
        <v>1043418</v>
      </c>
    </row>
    <row r="64" spans="1:22" x14ac:dyDescent="0.15">
      <c r="A64" s="36">
        <v>52</v>
      </c>
      <c r="B64" s="79">
        <v>33236</v>
      </c>
      <c r="C64" s="161">
        <v>6</v>
      </c>
      <c r="D64" s="38">
        <v>5</v>
      </c>
      <c r="E64" s="38">
        <v>9</v>
      </c>
      <c r="F64" s="38">
        <v>2</v>
      </c>
      <c r="G64" s="38">
        <v>4</v>
      </c>
      <c r="H64" s="38">
        <v>6</v>
      </c>
      <c r="I64" s="39">
        <v>6</v>
      </c>
      <c r="J64" s="40">
        <v>26840335</v>
      </c>
      <c r="K64" s="188" t="s">
        <v>23</v>
      </c>
      <c r="L64" s="42"/>
      <c r="M64" s="107">
        <v>1969986.9</v>
      </c>
      <c r="N64" s="61">
        <v>11</v>
      </c>
      <c r="O64" s="62">
        <v>93</v>
      </c>
      <c r="P64" s="62">
        <v>997</v>
      </c>
      <c r="Q64" s="63">
        <v>9795</v>
      </c>
      <c r="R64" s="64">
        <v>97531</v>
      </c>
      <c r="S64" s="63">
        <v>978152</v>
      </c>
    </row>
    <row r="65" spans="1:22" s="90" customFormat="1" x14ac:dyDescent="0.15">
      <c r="A65" s="81"/>
      <c r="B65" s="82"/>
      <c r="C65" s="92"/>
      <c r="D65" s="92"/>
      <c r="E65" s="92"/>
      <c r="F65" s="92"/>
      <c r="G65" s="92"/>
      <c r="H65" s="97"/>
      <c r="I65" s="92"/>
      <c r="J65" s="83"/>
      <c r="K65" s="77"/>
      <c r="L65" s="94"/>
      <c r="M65" s="85"/>
      <c r="N65" s="86"/>
      <c r="O65" s="87"/>
      <c r="P65" s="87"/>
      <c r="Q65" s="88"/>
      <c r="R65" s="89"/>
      <c r="S65" s="88"/>
    </row>
    <row r="66" spans="1:22" s="90" customFormat="1" x14ac:dyDescent="0.15">
      <c r="A66" s="32"/>
      <c r="B66" s="8"/>
      <c r="C66" s="9"/>
      <c r="D66" s="9"/>
      <c r="E66" s="9"/>
      <c r="F66" s="9"/>
      <c r="G66" s="9"/>
      <c r="H66" s="92" t="s">
        <v>24</v>
      </c>
      <c r="I66" s="11"/>
      <c r="J66" s="11"/>
      <c r="K66" s="73">
        <f>SUM(K8:K41)</f>
        <v>33</v>
      </c>
      <c r="L66" s="102">
        <f>SUM(L8:L41)</f>
        <v>37622218.799999982</v>
      </c>
      <c r="M66" s="108"/>
      <c r="N66" s="108">
        <f>SUM(N8:N41)</f>
        <v>244</v>
      </c>
      <c r="O66" s="73">
        <f>SUM(O8:O41)</f>
        <v>2441</v>
      </c>
      <c r="P66" s="108">
        <f>SUM(P8:P41)</f>
        <v>24002</v>
      </c>
      <c r="Q66" s="108">
        <f>SUM(Q8:Q41)</f>
        <v>237871</v>
      </c>
      <c r="R66" s="108">
        <f>SUM(R8:R41)</f>
        <v>2366389</v>
      </c>
      <c r="S66" s="146"/>
      <c r="V66" s="100"/>
    </row>
    <row r="67" spans="1:22" x14ac:dyDescent="0.15">
      <c r="A67" s="101"/>
      <c r="B67" s="105"/>
      <c r="C67" s="97"/>
      <c r="D67" s="97"/>
      <c r="E67" s="97"/>
      <c r="F67" s="97"/>
      <c r="G67" s="97"/>
      <c r="H67" s="97" t="s">
        <v>24</v>
      </c>
      <c r="I67" s="97"/>
      <c r="J67" s="105"/>
      <c r="K67" s="164">
        <f>SUM(K47:K64)</f>
        <v>17</v>
      </c>
      <c r="L67" s="102">
        <f t="shared" ref="L67:R67" si="0">SUM(L47:L64)</f>
        <v>25711101</v>
      </c>
      <c r="M67" s="102"/>
      <c r="N67" s="163">
        <f t="shared" si="0"/>
        <v>183</v>
      </c>
      <c r="O67" s="163">
        <f t="shared" si="0"/>
        <v>1704</v>
      </c>
      <c r="P67" s="163">
        <f t="shared" si="0"/>
        <v>16725</v>
      </c>
      <c r="Q67" s="163">
        <f t="shared" si="0"/>
        <v>168457</v>
      </c>
      <c r="R67" s="163">
        <f t="shared" si="0"/>
        <v>1680600</v>
      </c>
      <c r="S67" s="163">
        <f>SUM(S48:S64)</f>
        <v>15697306</v>
      </c>
      <c r="V67" s="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78" orientation="landscape" horizontalDpi="4294967292" verticalDpi="4294967292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2"/>
  <sheetViews>
    <sheetView topLeftCell="E1" workbookViewId="0">
      <pane ySplit="7" topLeftCell="A41" activePane="bottomLeft" state="frozenSplit"/>
      <selection pane="bottomLeft" activeCell="R60" sqref="R60:S60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8" width="15.6640625" customWidth="1"/>
    <col min="19" max="19" width="16.6640625" customWidth="1"/>
  </cols>
  <sheetData>
    <row r="2" spans="1:23" ht="12.75" x14ac:dyDescent="0.2">
      <c r="A2" s="1" t="s">
        <v>0</v>
      </c>
      <c r="S2" s="3" t="s">
        <v>57</v>
      </c>
      <c r="U2" s="4"/>
    </row>
    <row r="3" spans="1:23" ht="12.75" x14ac:dyDescent="0.2">
      <c r="A3" s="6" t="s">
        <v>2</v>
      </c>
      <c r="P3" s="3"/>
      <c r="U3" s="4"/>
    </row>
    <row r="4" spans="1:23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9"/>
      <c r="L4" s="12"/>
      <c r="M4" s="11"/>
      <c r="N4" s="8"/>
      <c r="O4" s="8"/>
      <c r="P4" s="8"/>
      <c r="Q4" s="8"/>
      <c r="R4" s="8"/>
      <c r="S4" s="8"/>
      <c r="W4" s="4"/>
    </row>
    <row r="5" spans="1:23" x14ac:dyDescent="0.15">
      <c r="A5" s="13" t="s">
        <v>3</v>
      </c>
      <c r="B5" s="14">
        <v>1991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92" t="s">
        <v>7</v>
      </c>
      <c r="L5" s="18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S5" s="14" t="s">
        <v>49</v>
      </c>
      <c r="W5" s="4"/>
    </row>
    <row r="6" spans="1:23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92" t="s">
        <v>50</v>
      </c>
      <c r="L6" s="18"/>
      <c r="M6" s="14" t="s">
        <v>14</v>
      </c>
      <c r="N6" s="75" t="s">
        <v>51</v>
      </c>
      <c r="O6" s="75" t="s">
        <v>52</v>
      </c>
      <c r="P6" s="75" t="s">
        <v>53</v>
      </c>
      <c r="Q6" s="75" t="s">
        <v>54</v>
      </c>
      <c r="R6" s="75" t="s">
        <v>55</v>
      </c>
      <c r="S6" s="14" t="s">
        <v>56</v>
      </c>
      <c r="W6" s="4"/>
    </row>
    <row r="7" spans="1:23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S7" s="21" t="s">
        <v>15</v>
      </c>
      <c r="W7" s="4"/>
    </row>
    <row r="8" spans="1:23" x14ac:dyDescent="0.15">
      <c r="A8" s="32">
        <v>1</v>
      </c>
      <c r="B8" s="26">
        <v>33243</v>
      </c>
      <c r="C8" s="76">
        <v>4</v>
      </c>
      <c r="D8" s="76">
        <v>2</v>
      </c>
      <c r="E8" s="76">
        <v>8</v>
      </c>
      <c r="F8" s="76">
        <v>4</v>
      </c>
      <c r="G8" s="76">
        <v>0</v>
      </c>
      <c r="H8" s="76">
        <v>7</v>
      </c>
      <c r="I8" s="13">
        <v>2</v>
      </c>
      <c r="J8" s="33">
        <v>20476745</v>
      </c>
      <c r="K8" s="159" t="s">
        <v>23</v>
      </c>
      <c r="L8" s="34"/>
      <c r="M8" s="18">
        <v>3425883.5</v>
      </c>
      <c r="N8" s="56">
        <v>6</v>
      </c>
      <c r="O8" s="57">
        <v>83</v>
      </c>
      <c r="P8" s="57">
        <v>736</v>
      </c>
      <c r="Q8" s="58">
        <v>7387</v>
      </c>
      <c r="R8" s="59">
        <v>74162</v>
      </c>
      <c r="S8" s="59">
        <v>734486</v>
      </c>
      <c r="W8" s="4"/>
    </row>
    <row r="9" spans="1:23" x14ac:dyDescent="0.15">
      <c r="A9" s="32">
        <v>2</v>
      </c>
      <c r="B9" s="26">
        <v>33250</v>
      </c>
      <c r="C9" s="76">
        <v>7</v>
      </c>
      <c r="D9" s="76">
        <v>3</v>
      </c>
      <c r="E9" s="76">
        <v>6</v>
      </c>
      <c r="F9" s="76">
        <v>1</v>
      </c>
      <c r="G9" s="76">
        <v>2</v>
      </c>
      <c r="H9" s="76">
        <v>6</v>
      </c>
      <c r="I9" s="13">
        <v>7</v>
      </c>
      <c r="J9" s="33">
        <v>20928602.5</v>
      </c>
      <c r="K9" s="159" t="s">
        <v>23</v>
      </c>
      <c r="L9" s="34"/>
      <c r="M9" s="18">
        <v>4913907.0999999996</v>
      </c>
      <c r="N9" s="56">
        <v>8</v>
      </c>
      <c r="O9" s="57">
        <v>80</v>
      </c>
      <c r="P9" s="57">
        <v>809</v>
      </c>
      <c r="Q9" s="58">
        <v>7782</v>
      </c>
      <c r="R9" s="59">
        <v>77335</v>
      </c>
      <c r="S9" s="59">
        <v>767673</v>
      </c>
      <c r="W9" s="4"/>
    </row>
    <row r="10" spans="1:23" x14ac:dyDescent="0.15">
      <c r="A10" s="32">
        <v>3</v>
      </c>
      <c r="B10" s="26">
        <v>33257</v>
      </c>
      <c r="C10" s="76">
        <v>2</v>
      </c>
      <c r="D10" s="76">
        <v>5</v>
      </c>
      <c r="E10" s="76">
        <v>1</v>
      </c>
      <c r="F10" s="76">
        <v>7</v>
      </c>
      <c r="G10" s="76">
        <v>0</v>
      </c>
      <c r="H10" s="76">
        <v>0</v>
      </c>
      <c r="I10" s="13">
        <v>4</v>
      </c>
      <c r="J10" s="33">
        <v>21623275</v>
      </c>
      <c r="K10" s="77">
        <v>3</v>
      </c>
      <c r="L10" s="34">
        <v>2077777</v>
      </c>
      <c r="M10" s="18">
        <v>217991</v>
      </c>
      <c r="N10" s="56">
        <v>6</v>
      </c>
      <c r="O10" s="57">
        <v>82</v>
      </c>
      <c r="P10" s="57">
        <v>753</v>
      </c>
      <c r="Q10" s="58">
        <v>6898</v>
      </c>
      <c r="R10" s="59">
        <v>75481</v>
      </c>
      <c r="S10" s="59">
        <v>789807</v>
      </c>
      <c r="W10" s="4"/>
    </row>
    <row r="11" spans="1:23" x14ac:dyDescent="0.15">
      <c r="A11" s="32">
        <v>4</v>
      </c>
      <c r="B11" s="26">
        <v>33264</v>
      </c>
      <c r="C11" s="76">
        <v>6</v>
      </c>
      <c r="D11" s="76">
        <v>9</v>
      </c>
      <c r="E11" s="76">
        <v>8</v>
      </c>
      <c r="F11" s="76">
        <v>3</v>
      </c>
      <c r="G11" s="76">
        <v>0</v>
      </c>
      <c r="H11" s="76">
        <v>2</v>
      </c>
      <c r="I11" s="13">
        <v>8</v>
      </c>
      <c r="J11" s="33">
        <v>21051132.5</v>
      </c>
      <c r="K11" s="77">
        <v>2</v>
      </c>
      <c r="L11" s="34">
        <v>777777</v>
      </c>
      <c r="M11" s="18">
        <v>159172.5</v>
      </c>
      <c r="N11" s="56">
        <v>5</v>
      </c>
      <c r="O11" s="57">
        <v>84</v>
      </c>
      <c r="P11" s="57">
        <v>824</v>
      </c>
      <c r="Q11" s="58">
        <v>7585</v>
      </c>
      <c r="R11" s="59">
        <v>77719</v>
      </c>
      <c r="S11" s="59">
        <v>768798</v>
      </c>
      <c r="W11" s="4"/>
    </row>
    <row r="12" spans="1:23" x14ac:dyDescent="0.15">
      <c r="A12" s="32">
        <v>5</v>
      </c>
      <c r="B12" s="26">
        <v>33271</v>
      </c>
      <c r="C12" s="76">
        <v>7</v>
      </c>
      <c r="D12" s="76">
        <v>9</v>
      </c>
      <c r="E12" s="76">
        <v>3</v>
      </c>
      <c r="F12" s="76">
        <v>9</v>
      </c>
      <c r="G12" s="76">
        <v>9</v>
      </c>
      <c r="H12" s="76">
        <v>9</v>
      </c>
      <c r="I12" s="13">
        <v>8</v>
      </c>
      <c r="J12" s="33">
        <v>21689607.5</v>
      </c>
      <c r="K12" s="77">
        <v>1</v>
      </c>
      <c r="L12" s="34">
        <v>1677777</v>
      </c>
      <c r="M12" s="18">
        <v>23526.6</v>
      </c>
      <c r="N12" s="56">
        <v>5</v>
      </c>
      <c r="O12" s="57">
        <v>91</v>
      </c>
      <c r="P12" s="57">
        <v>655</v>
      </c>
      <c r="Q12" s="58">
        <v>7597</v>
      </c>
      <c r="R12" s="59">
        <v>76802</v>
      </c>
      <c r="S12" s="59">
        <v>764907</v>
      </c>
      <c r="W12" s="4"/>
    </row>
    <row r="13" spans="1:23" x14ac:dyDescent="0.15">
      <c r="A13" s="32">
        <v>6</v>
      </c>
      <c r="B13" s="26">
        <v>33278</v>
      </c>
      <c r="C13" s="76">
        <v>9</v>
      </c>
      <c r="D13" s="76">
        <v>1</v>
      </c>
      <c r="E13" s="76">
        <v>5</v>
      </c>
      <c r="F13" s="76">
        <v>7</v>
      </c>
      <c r="G13" s="76">
        <v>1</v>
      </c>
      <c r="H13" s="76">
        <v>3</v>
      </c>
      <c r="I13" s="13">
        <v>7</v>
      </c>
      <c r="J13" s="33">
        <v>20386805</v>
      </c>
      <c r="K13" s="159" t="s">
        <v>23</v>
      </c>
      <c r="L13" s="34"/>
      <c r="M13" s="18">
        <v>1473028.4</v>
      </c>
      <c r="N13" s="56">
        <v>6</v>
      </c>
      <c r="O13" s="57">
        <v>76</v>
      </c>
      <c r="P13" s="57">
        <v>768</v>
      </c>
      <c r="Q13" s="58">
        <v>7521</v>
      </c>
      <c r="R13" s="59">
        <v>74851</v>
      </c>
      <c r="S13" s="59">
        <v>748406</v>
      </c>
      <c r="W13" s="4"/>
    </row>
    <row r="14" spans="1:23" x14ac:dyDescent="0.15">
      <c r="A14" s="32">
        <v>7</v>
      </c>
      <c r="B14" s="26">
        <v>33285</v>
      </c>
      <c r="C14" s="76">
        <v>9</v>
      </c>
      <c r="D14" s="76">
        <v>8</v>
      </c>
      <c r="E14" s="76">
        <v>6</v>
      </c>
      <c r="F14" s="76">
        <v>5</v>
      </c>
      <c r="G14" s="76">
        <v>6</v>
      </c>
      <c r="H14" s="76">
        <v>1</v>
      </c>
      <c r="I14" s="13">
        <v>8</v>
      </c>
      <c r="J14" s="33">
        <v>20159345</v>
      </c>
      <c r="K14" s="77">
        <v>1</v>
      </c>
      <c r="L14" s="34">
        <v>2877777</v>
      </c>
      <c r="M14" s="18">
        <v>28580.799999999999</v>
      </c>
      <c r="N14" s="56">
        <v>6</v>
      </c>
      <c r="O14" s="57">
        <v>73</v>
      </c>
      <c r="P14" s="57">
        <v>760</v>
      </c>
      <c r="Q14" s="58">
        <v>7323</v>
      </c>
      <c r="R14" s="59">
        <v>73606</v>
      </c>
      <c r="S14" s="59">
        <v>733015</v>
      </c>
      <c r="W14" s="4"/>
    </row>
    <row r="15" spans="1:23" x14ac:dyDescent="0.15">
      <c r="A15" s="32">
        <v>8</v>
      </c>
      <c r="B15" s="26">
        <v>33292</v>
      </c>
      <c r="C15" s="76">
        <v>6</v>
      </c>
      <c r="D15" s="76">
        <v>3</v>
      </c>
      <c r="E15" s="76">
        <v>1</v>
      </c>
      <c r="F15" s="76">
        <v>2</v>
      </c>
      <c r="G15" s="76">
        <v>4</v>
      </c>
      <c r="H15" s="76">
        <v>4</v>
      </c>
      <c r="I15" s="13">
        <v>1</v>
      </c>
      <c r="J15" s="33">
        <v>23178822.5</v>
      </c>
      <c r="K15" s="77">
        <v>2</v>
      </c>
      <c r="L15" s="34">
        <v>777777</v>
      </c>
      <c r="M15" s="18">
        <v>121041.1</v>
      </c>
      <c r="N15" s="56">
        <v>5</v>
      </c>
      <c r="O15" s="57">
        <v>81</v>
      </c>
      <c r="P15" s="57">
        <v>795</v>
      </c>
      <c r="Q15" s="58">
        <v>8072</v>
      </c>
      <c r="R15" s="59">
        <v>82386</v>
      </c>
      <c r="S15" s="59">
        <v>820772</v>
      </c>
      <c r="W15" s="4"/>
    </row>
    <row r="16" spans="1:23" x14ac:dyDescent="0.15">
      <c r="A16" s="32">
        <v>9</v>
      </c>
      <c r="B16" s="26">
        <v>33299</v>
      </c>
      <c r="C16" s="76">
        <v>1</v>
      </c>
      <c r="D16" s="76">
        <v>9</v>
      </c>
      <c r="E16" s="76">
        <v>7</v>
      </c>
      <c r="F16" s="76">
        <v>5</v>
      </c>
      <c r="G16" s="76">
        <v>2</v>
      </c>
      <c r="H16" s="76">
        <v>9</v>
      </c>
      <c r="I16" s="13">
        <v>8</v>
      </c>
      <c r="J16" s="33">
        <v>27790400</v>
      </c>
      <c r="K16" s="77">
        <v>3</v>
      </c>
      <c r="L16" s="34">
        <v>677777</v>
      </c>
      <c r="M16" s="18">
        <v>63607.5</v>
      </c>
      <c r="N16" s="56">
        <v>10</v>
      </c>
      <c r="O16" s="57">
        <v>99</v>
      </c>
      <c r="P16" s="57">
        <v>1040</v>
      </c>
      <c r="Q16" s="58">
        <v>10257</v>
      </c>
      <c r="R16" s="59">
        <v>102756</v>
      </c>
      <c r="S16" s="59">
        <v>1017116</v>
      </c>
      <c r="W16" s="4"/>
    </row>
    <row r="17" spans="1:23" x14ac:dyDescent="0.15">
      <c r="A17" s="32">
        <v>10</v>
      </c>
      <c r="B17" s="26">
        <v>33306</v>
      </c>
      <c r="C17" s="76">
        <v>3</v>
      </c>
      <c r="D17" s="76">
        <v>4</v>
      </c>
      <c r="E17" s="76">
        <v>9</v>
      </c>
      <c r="F17" s="76">
        <v>5</v>
      </c>
      <c r="G17" s="76">
        <v>0</v>
      </c>
      <c r="H17" s="76">
        <v>2</v>
      </c>
      <c r="I17" s="13">
        <v>8</v>
      </c>
      <c r="J17" s="33">
        <v>24234979</v>
      </c>
      <c r="K17" s="77">
        <v>1</v>
      </c>
      <c r="L17" s="34">
        <v>1777777</v>
      </c>
      <c r="M17" s="18">
        <v>8937.5</v>
      </c>
      <c r="N17" s="56">
        <v>7</v>
      </c>
      <c r="O17" s="57">
        <v>97</v>
      </c>
      <c r="P17" s="57">
        <v>813</v>
      </c>
      <c r="Q17" s="58">
        <v>8530</v>
      </c>
      <c r="R17" s="59">
        <v>88359</v>
      </c>
      <c r="S17" s="59">
        <v>863997</v>
      </c>
      <c r="W17" s="4"/>
    </row>
    <row r="18" spans="1:23" x14ac:dyDescent="0.15">
      <c r="A18" s="32">
        <v>11</v>
      </c>
      <c r="B18" s="26">
        <v>33313</v>
      </c>
      <c r="C18" s="76">
        <v>8</v>
      </c>
      <c r="D18" s="76">
        <v>5</v>
      </c>
      <c r="E18" s="76">
        <v>0</v>
      </c>
      <c r="F18" s="76">
        <v>9</v>
      </c>
      <c r="G18" s="76">
        <v>8</v>
      </c>
      <c r="H18" s="76">
        <v>1</v>
      </c>
      <c r="I18" s="13">
        <v>0</v>
      </c>
      <c r="J18" s="33">
        <v>24017008.5</v>
      </c>
      <c r="K18" s="159" t="s">
        <v>23</v>
      </c>
      <c r="L18" s="34"/>
      <c r="M18" s="18">
        <v>1716546.8</v>
      </c>
      <c r="N18" s="56">
        <v>15</v>
      </c>
      <c r="O18" s="57">
        <v>84</v>
      </c>
      <c r="P18" s="57">
        <v>811</v>
      </c>
      <c r="Q18" s="58">
        <v>8243</v>
      </c>
      <c r="R18" s="59">
        <v>81614</v>
      </c>
      <c r="S18" s="59">
        <v>813338</v>
      </c>
      <c r="W18" s="4"/>
    </row>
    <row r="19" spans="1:23" x14ac:dyDescent="0.15">
      <c r="A19" s="32">
        <v>12</v>
      </c>
      <c r="B19" s="26">
        <v>33320</v>
      </c>
      <c r="C19" s="76">
        <v>2</v>
      </c>
      <c r="D19" s="76">
        <v>9</v>
      </c>
      <c r="E19" s="76">
        <v>5</v>
      </c>
      <c r="F19" s="76">
        <v>5</v>
      </c>
      <c r="G19" s="76">
        <v>7</v>
      </c>
      <c r="H19" s="76">
        <v>0</v>
      </c>
      <c r="I19" s="13">
        <v>4</v>
      </c>
      <c r="J19" s="33">
        <v>23689675</v>
      </c>
      <c r="K19" s="159" t="s">
        <v>23</v>
      </c>
      <c r="L19" s="34"/>
      <c r="M19" s="18">
        <v>3400882.7</v>
      </c>
      <c r="N19" s="56">
        <v>11</v>
      </c>
      <c r="O19" s="57">
        <v>80</v>
      </c>
      <c r="P19" s="57">
        <v>790</v>
      </c>
      <c r="Q19" s="58">
        <v>8334</v>
      </c>
      <c r="R19" s="59">
        <v>81753</v>
      </c>
      <c r="S19" s="59">
        <v>858228</v>
      </c>
      <c r="W19" s="4"/>
    </row>
    <row r="20" spans="1:23" x14ac:dyDescent="0.15">
      <c r="A20" s="32">
        <v>13</v>
      </c>
      <c r="B20" s="26">
        <v>33327</v>
      </c>
      <c r="C20" s="76">
        <v>0</v>
      </c>
      <c r="D20" s="76">
        <v>9</v>
      </c>
      <c r="E20" s="76">
        <v>1</v>
      </c>
      <c r="F20" s="76">
        <v>3</v>
      </c>
      <c r="G20" s="76">
        <v>8</v>
      </c>
      <c r="H20" s="76">
        <v>3</v>
      </c>
      <c r="I20" s="13">
        <v>1</v>
      </c>
      <c r="J20" s="33">
        <v>23500835</v>
      </c>
      <c r="K20" s="77">
        <v>3</v>
      </c>
      <c r="L20" s="34">
        <v>1677777</v>
      </c>
      <c r="M20" s="18">
        <v>38461.1</v>
      </c>
      <c r="N20" s="56">
        <v>8</v>
      </c>
      <c r="O20" s="57">
        <v>86</v>
      </c>
      <c r="P20" s="57">
        <v>872</v>
      </c>
      <c r="Q20" s="58">
        <v>8509</v>
      </c>
      <c r="R20" s="59">
        <v>84599</v>
      </c>
      <c r="S20" s="59">
        <v>830985</v>
      </c>
      <c r="W20" s="4"/>
    </row>
    <row r="21" spans="1:23" x14ac:dyDescent="0.15">
      <c r="A21" s="32">
        <v>14</v>
      </c>
      <c r="B21" s="26">
        <v>33334</v>
      </c>
      <c r="C21" s="76">
        <v>2</v>
      </c>
      <c r="D21" s="76">
        <v>0</v>
      </c>
      <c r="E21" s="76">
        <v>7</v>
      </c>
      <c r="F21" s="76">
        <v>7</v>
      </c>
      <c r="G21" s="76">
        <v>2</v>
      </c>
      <c r="H21" s="76">
        <v>8</v>
      </c>
      <c r="I21" s="13">
        <v>4</v>
      </c>
      <c r="J21" s="33">
        <v>23327097.5</v>
      </c>
      <c r="K21" s="159" t="s">
        <v>23</v>
      </c>
      <c r="L21" s="34"/>
      <c r="M21" s="18">
        <v>1697017.7</v>
      </c>
      <c r="N21" s="56">
        <v>9</v>
      </c>
      <c r="O21" s="57">
        <v>76</v>
      </c>
      <c r="P21" s="57">
        <v>795</v>
      </c>
      <c r="Q21" s="58">
        <v>8259</v>
      </c>
      <c r="R21" s="59">
        <v>84226</v>
      </c>
      <c r="S21" s="59">
        <v>842406</v>
      </c>
      <c r="W21" s="4"/>
    </row>
    <row r="22" spans="1:23" x14ac:dyDescent="0.15">
      <c r="A22" s="32">
        <v>15</v>
      </c>
      <c r="B22" s="26">
        <v>33341</v>
      </c>
      <c r="C22" s="76">
        <v>1</v>
      </c>
      <c r="D22" s="76">
        <v>9</v>
      </c>
      <c r="E22" s="76">
        <v>4</v>
      </c>
      <c r="F22" s="76">
        <v>3</v>
      </c>
      <c r="G22" s="76">
        <v>1</v>
      </c>
      <c r="H22" s="76">
        <v>5</v>
      </c>
      <c r="I22" s="13">
        <v>3</v>
      </c>
      <c r="J22" s="33">
        <v>23470087.5</v>
      </c>
      <c r="K22" s="77">
        <v>2</v>
      </c>
      <c r="L22" s="34">
        <v>1677777</v>
      </c>
      <c r="M22" s="18">
        <v>10186.9</v>
      </c>
      <c r="N22" s="56">
        <v>6</v>
      </c>
      <c r="O22" s="57">
        <v>80</v>
      </c>
      <c r="P22" s="57">
        <v>863</v>
      </c>
      <c r="Q22" s="58">
        <v>8639</v>
      </c>
      <c r="R22" s="59">
        <v>84479</v>
      </c>
      <c r="S22" s="59">
        <v>852596</v>
      </c>
      <c r="W22" s="4"/>
    </row>
    <row r="23" spans="1:23" x14ac:dyDescent="0.15">
      <c r="A23" s="32">
        <v>16</v>
      </c>
      <c r="B23" s="26">
        <v>33348</v>
      </c>
      <c r="C23" s="76">
        <v>3</v>
      </c>
      <c r="D23" s="76">
        <v>3</v>
      </c>
      <c r="E23" s="76">
        <v>3</v>
      </c>
      <c r="F23" s="76">
        <v>4</v>
      </c>
      <c r="G23" s="76">
        <v>1</v>
      </c>
      <c r="H23" s="76">
        <v>5</v>
      </c>
      <c r="I23" s="13">
        <v>4</v>
      </c>
      <c r="J23" s="33">
        <v>24947507.5</v>
      </c>
      <c r="K23" s="77">
        <v>1</v>
      </c>
      <c r="L23" s="34">
        <v>1777777</v>
      </c>
      <c r="M23" s="18">
        <v>6177.7</v>
      </c>
      <c r="N23" s="56">
        <v>16</v>
      </c>
      <c r="O23" s="57">
        <v>97</v>
      </c>
      <c r="P23" s="57">
        <v>894</v>
      </c>
      <c r="Q23" s="58">
        <v>8985</v>
      </c>
      <c r="R23" s="59">
        <v>89535</v>
      </c>
      <c r="S23" s="59">
        <v>899954</v>
      </c>
      <c r="W23" s="4"/>
    </row>
    <row r="24" spans="1:23" x14ac:dyDescent="0.15">
      <c r="A24" s="32">
        <v>17</v>
      </c>
      <c r="B24" s="26">
        <v>33355</v>
      </c>
      <c r="C24" s="76">
        <v>8</v>
      </c>
      <c r="D24" s="76">
        <v>2</v>
      </c>
      <c r="E24" s="76">
        <v>9</v>
      </c>
      <c r="F24" s="76">
        <v>0</v>
      </c>
      <c r="G24" s="76">
        <v>8</v>
      </c>
      <c r="H24" s="76">
        <v>4</v>
      </c>
      <c r="I24" s="13">
        <v>8</v>
      </c>
      <c r="J24" s="33">
        <v>24200687.5</v>
      </c>
      <c r="K24" s="77">
        <v>2</v>
      </c>
      <c r="L24" s="34">
        <v>777777</v>
      </c>
      <c r="M24" s="18">
        <v>171292.6</v>
      </c>
      <c r="N24" s="56">
        <v>16</v>
      </c>
      <c r="O24" s="57">
        <v>84</v>
      </c>
      <c r="P24" s="57">
        <v>898</v>
      </c>
      <c r="Q24" s="58">
        <v>8847</v>
      </c>
      <c r="R24" s="59">
        <v>89812</v>
      </c>
      <c r="S24" s="59">
        <v>889291</v>
      </c>
      <c r="W24" s="4"/>
    </row>
    <row r="25" spans="1:23" x14ac:dyDescent="0.15">
      <c r="A25" s="32">
        <v>18</v>
      </c>
      <c r="B25" s="26">
        <v>33362</v>
      </c>
      <c r="C25" s="76">
        <v>5</v>
      </c>
      <c r="D25" s="76">
        <v>3</v>
      </c>
      <c r="E25" s="76">
        <v>7</v>
      </c>
      <c r="F25" s="76">
        <v>8</v>
      </c>
      <c r="G25" s="76">
        <v>3</v>
      </c>
      <c r="H25" s="76">
        <v>3</v>
      </c>
      <c r="I25" s="13">
        <v>7</v>
      </c>
      <c r="J25" s="33">
        <v>23273670</v>
      </c>
      <c r="K25" s="77">
        <v>2</v>
      </c>
      <c r="L25" s="34">
        <v>877777</v>
      </c>
      <c r="M25" s="18">
        <v>70496.5</v>
      </c>
      <c r="N25" s="56">
        <v>11</v>
      </c>
      <c r="O25" s="57">
        <v>116</v>
      </c>
      <c r="P25" s="57">
        <v>839</v>
      </c>
      <c r="Q25" s="58">
        <v>8565</v>
      </c>
      <c r="R25" s="59">
        <v>86627</v>
      </c>
      <c r="S25" s="59">
        <v>855330</v>
      </c>
      <c r="W25" s="4"/>
    </row>
    <row r="26" spans="1:23" x14ac:dyDescent="0.15">
      <c r="A26" s="32">
        <v>19</v>
      </c>
      <c r="B26" s="26">
        <v>33369</v>
      </c>
      <c r="C26" s="76">
        <v>5</v>
      </c>
      <c r="D26" s="76">
        <v>3</v>
      </c>
      <c r="E26" s="76">
        <v>5</v>
      </c>
      <c r="F26" s="76">
        <v>9</v>
      </c>
      <c r="G26" s="76">
        <v>3</v>
      </c>
      <c r="H26" s="76">
        <v>0</v>
      </c>
      <c r="I26" s="13">
        <v>4</v>
      </c>
      <c r="J26" s="33">
        <v>22659170</v>
      </c>
      <c r="K26" s="159" t="s">
        <v>23</v>
      </c>
      <c r="L26" s="34"/>
      <c r="M26" s="18">
        <v>1681563.5</v>
      </c>
      <c r="N26" s="56">
        <v>8</v>
      </c>
      <c r="O26" s="57">
        <v>61</v>
      </c>
      <c r="P26" s="57">
        <v>819</v>
      </c>
      <c r="Q26" s="58">
        <v>7859</v>
      </c>
      <c r="R26" s="59">
        <v>78264</v>
      </c>
      <c r="S26" s="59">
        <v>830269</v>
      </c>
      <c r="W26" s="4"/>
    </row>
    <row r="27" spans="1:23" x14ac:dyDescent="0.15">
      <c r="A27" s="32">
        <v>20</v>
      </c>
      <c r="B27" s="26">
        <v>33376</v>
      </c>
      <c r="C27" s="76">
        <v>1</v>
      </c>
      <c r="D27" s="76">
        <v>0</v>
      </c>
      <c r="E27" s="76">
        <v>5</v>
      </c>
      <c r="F27" s="76">
        <v>8</v>
      </c>
      <c r="G27" s="76">
        <v>7</v>
      </c>
      <c r="H27" s="76">
        <v>4</v>
      </c>
      <c r="I27" s="13">
        <v>5</v>
      </c>
      <c r="J27" s="33">
        <v>23256845</v>
      </c>
      <c r="K27" s="159" t="s">
        <v>23</v>
      </c>
      <c r="L27" s="34"/>
      <c r="M27" s="18">
        <v>3335125.2</v>
      </c>
      <c r="N27" s="56">
        <v>10</v>
      </c>
      <c r="O27" s="57">
        <v>98</v>
      </c>
      <c r="P27" s="57">
        <v>841</v>
      </c>
      <c r="Q27" s="58">
        <v>8435</v>
      </c>
      <c r="R27" s="59">
        <v>84651</v>
      </c>
      <c r="S27" s="59">
        <v>844187</v>
      </c>
      <c r="W27" s="4"/>
    </row>
    <row r="28" spans="1:23" x14ac:dyDescent="0.15">
      <c r="A28" s="32">
        <v>21</v>
      </c>
      <c r="B28" s="26">
        <v>33383</v>
      </c>
      <c r="C28" s="76">
        <v>8</v>
      </c>
      <c r="D28" s="76">
        <v>5</v>
      </c>
      <c r="E28" s="76">
        <v>2</v>
      </c>
      <c r="F28" s="76">
        <v>4</v>
      </c>
      <c r="G28" s="76">
        <v>2</v>
      </c>
      <c r="H28" s="76">
        <v>2</v>
      </c>
      <c r="I28" s="13">
        <v>3</v>
      </c>
      <c r="J28" s="33">
        <v>22786055</v>
      </c>
      <c r="K28" s="159" t="s">
        <v>23</v>
      </c>
      <c r="L28" s="34"/>
      <c r="M28" s="18">
        <v>4955213.7</v>
      </c>
      <c r="N28" s="56">
        <v>13</v>
      </c>
      <c r="O28" s="57">
        <v>74</v>
      </c>
      <c r="P28" s="57">
        <v>834</v>
      </c>
      <c r="Q28" s="58">
        <v>8103</v>
      </c>
      <c r="R28" s="59">
        <v>83849</v>
      </c>
      <c r="S28" s="59">
        <v>823929</v>
      </c>
      <c r="W28" s="4"/>
    </row>
    <row r="29" spans="1:23" x14ac:dyDescent="0.15">
      <c r="A29" s="32">
        <v>22</v>
      </c>
      <c r="B29" s="26">
        <v>33390</v>
      </c>
      <c r="C29" s="76">
        <v>8</v>
      </c>
      <c r="D29" s="76">
        <v>5</v>
      </c>
      <c r="E29" s="76">
        <v>8</v>
      </c>
      <c r="F29" s="76">
        <v>5</v>
      </c>
      <c r="G29" s="76">
        <v>8</v>
      </c>
      <c r="H29" s="76">
        <v>0</v>
      </c>
      <c r="I29" s="13">
        <v>3</v>
      </c>
      <c r="J29" s="33">
        <v>22654237.5</v>
      </c>
      <c r="K29" s="77">
        <v>4</v>
      </c>
      <c r="L29" s="34">
        <v>1577777</v>
      </c>
      <c r="M29" s="18">
        <v>254822</v>
      </c>
      <c r="N29" s="56">
        <v>4</v>
      </c>
      <c r="O29" s="57">
        <v>69</v>
      </c>
      <c r="P29" s="57">
        <v>776</v>
      </c>
      <c r="Q29" s="58">
        <v>7735</v>
      </c>
      <c r="R29" s="59">
        <v>75948</v>
      </c>
      <c r="S29" s="59">
        <v>801243</v>
      </c>
      <c r="W29" s="4"/>
    </row>
    <row r="30" spans="1:23" x14ac:dyDescent="0.15">
      <c r="A30" s="32">
        <v>23</v>
      </c>
      <c r="B30" s="26">
        <v>33397</v>
      </c>
      <c r="C30" s="76">
        <v>3</v>
      </c>
      <c r="D30" s="76">
        <v>2</v>
      </c>
      <c r="E30" s="76">
        <v>6</v>
      </c>
      <c r="F30" s="76">
        <v>9</v>
      </c>
      <c r="G30" s="76">
        <v>8</v>
      </c>
      <c r="H30" s="76">
        <v>2</v>
      </c>
      <c r="I30" s="13">
        <v>6</v>
      </c>
      <c r="J30" s="33">
        <v>28886400</v>
      </c>
      <c r="K30" s="77">
        <v>1</v>
      </c>
      <c r="L30" s="34">
        <v>2277777</v>
      </c>
      <c r="M30" s="18">
        <v>30868</v>
      </c>
      <c r="N30" s="56">
        <v>10</v>
      </c>
      <c r="O30" s="57">
        <v>114</v>
      </c>
      <c r="P30" s="57">
        <v>1060</v>
      </c>
      <c r="Q30" s="58">
        <v>10707</v>
      </c>
      <c r="R30" s="59">
        <v>106663</v>
      </c>
      <c r="S30" s="59">
        <v>1059721</v>
      </c>
      <c r="W30" s="4"/>
    </row>
    <row r="31" spans="1:23" x14ac:dyDescent="0.15">
      <c r="A31" s="32">
        <v>24</v>
      </c>
      <c r="B31" s="26">
        <v>33404</v>
      </c>
      <c r="C31" s="76">
        <v>5</v>
      </c>
      <c r="D31" s="76">
        <v>4</v>
      </c>
      <c r="E31" s="76">
        <v>9</v>
      </c>
      <c r="F31" s="76">
        <v>2</v>
      </c>
      <c r="G31" s="76">
        <v>0</v>
      </c>
      <c r="H31" s="76">
        <v>9</v>
      </c>
      <c r="I31" s="13">
        <v>6</v>
      </c>
      <c r="J31" s="33">
        <v>23479307.5</v>
      </c>
      <c r="K31" s="159" t="s">
        <v>23</v>
      </c>
      <c r="L31" s="34"/>
      <c r="M31" s="18">
        <v>1700246.8</v>
      </c>
      <c r="N31" s="56">
        <v>6</v>
      </c>
      <c r="O31" s="57">
        <v>79</v>
      </c>
      <c r="P31" s="57">
        <v>784</v>
      </c>
      <c r="Q31" s="58">
        <v>8043</v>
      </c>
      <c r="R31" s="59">
        <v>83809</v>
      </c>
      <c r="S31" s="59">
        <v>832452</v>
      </c>
      <c r="W31" s="4"/>
    </row>
    <row r="32" spans="1:23" x14ac:dyDescent="0.15">
      <c r="A32" s="32">
        <v>25</v>
      </c>
      <c r="B32" s="26">
        <v>33411</v>
      </c>
      <c r="C32" s="76">
        <v>9</v>
      </c>
      <c r="D32" s="76">
        <v>4</v>
      </c>
      <c r="E32" s="76">
        <v>0</v>
      </c>
      <c r="F32" s="76">
        <v>5</v>
      </c>
      <c r="G32" s="76">
        <v>4</v>
      </c>
      <c r="H32" s="76">
        <v>0</v>
      </c>
      <c r="I32" s="13">
        <v>0</v>
      </c>
      <c r="J32" s="33">
        <v>22947985</v>
      </c>
      <c r="K32" s="77">
        <v>1</v>
      </c>
      <c r="L32" s="34">
        <v>3277777</v>
      </c>
      <c r="M32" s="18">
        <v>54071.5</v>
      </c>
      <c r="N32" s="56">
        <v>5</v>
      </c>
      <c r="O32" s="57">
        <v>71</v>
      </c>
      <c r="P32" s="57">
        <v>785</v>
      </c>
      <c r="Q32" s="58">
        <v>7739</v>
      </c>
      <c r="R32" s="59">
        <v>77914</v>
      </c>
      <c r="S32" s="59">
        <v>786074</v>
      </c>
      <c r="W32" s="4"/>
    </row>
    <row r="33" spans="1:23" x14ac:dyDescent="0.15">
      <c r="A33" s="32">
        <v>26</v>
      </c>
      <c r="B33" s="26">
        <v>33418</v>
      </c>
      <c r="C33" s="76">
        <v>6</v>
      </c>
      <c r="D33" s="76">
        <v>2</v>
      </c>
      <c r="E33" s="76">
        <v>9</v>
      </c>
      <c r="F33" s="76">
        <v>4</v>
      </c>
      <c r="G33" s="76">
        <v>2</v>
      </c>
      <c r="H33" s="76">
        <v>4</v>
      </c>
      <c r="I33" s="13">
        <v>8</v>
      </c>
      <c r="J33" s="33">
        <v>22981385</v>
      </c>
      <c r="K33" s="159" t="s">
        <v>23</v>
      </c>
      <c r="L33" s="34"/>
      <c r="M33" s="18">
        <v>1688048</v>
      </c>
      <c r="N33" s="56">
        <v>7</v>
      </c>
      <c r="O33" s="57">
        <v>92</v>
      </c>
      <c r="P33" s="57">
        <v>867</v>
      </c>
      <c r="Q33" s="58">
        <v>8576</v>
      </c>
      <c r="R33" s="59">
        <v>84625</v>
      </c>
      <c r="S33" s="59">
        <v>842785</v>
      </c>
      <c r="W33" s="4"/>
    </row>
    <row r="34" spans="1:23" x14ac:dyDescent="0.15">
      <c r="A34" s="32">
        <v>27</v>
      </c>
      <c r="B34" s="26">
        <v>33425</v>
      </c>
      <c r="C34" s="76">
        <v>8</v>
      </c>
      <c r="D34" s="76">
        <v>9</v>
      </c>
      <c r="E34" s="76">
        <v>9</v>
      </c>
      <c r="F34" s="76">
        <v>4</v>
      </c>
      <c r="G34" s="76">
        <v>6</v>
      </c>
      <c r="H34" s="76">
        <v>2</v>
      </c>
      <c r="I34" s="13">
        <v>1</v>
      </c>
      <c r="J34" s="33">
        <v>23137522.5</v>
      </c>
      <c r="K34" s="77">
        <v>2</v>
      </c>
      <c r="L34" s="34">
        <v>1577777</v>
      </c>
      <c r="M34" s="18">
        <v>177571.8</v>
      </c>
      <c r="N34" s="56">
        <v>9</v>
      </c>
      <c r="O34" s="57">
        <v>88</v>
      </c>
      <c r="P34" s="57">
        <v>773</v>
      </c>
      <c r="Q34" s="58">
        <v>8194</v>
      </c>
      <c r="R34" s="59">
        <v>82993</v>
      </c>
      <c r="S34" s="59">
        <v>816764</v>
      </c>
      <c r="W34" s="4"/>
    </row>
    <row r="35" spans="1:23" x14ac:dyDescent="0.15">
      <c r="A35" s="32">
        <v>28</v>
      </c>
      <c r="B35" s="26">
        <v>33432</v>
      </c>
      <c r="C35" s="76">
        <v>9</v>
      </c>
      <c r="D35" s="76">
        <v>2</v>
      </c>
      <c r="E35" s="76">
        <v>3</v>
      </c>
      <c r="F35" s="76">
        <v>8</v>
      </c>
      <c r="G35" s="76">
        <v>9</v>
      </c>
      <c r="H35" s="76">
        <v>4</v>
      </c>
      <c r="I35" s="13">
        <v>2</v>
      </c>
      <c r="J35" s="33">
        <v>21789405</v>
      </c>
      <c r="K35" s="77">
        <v>1</v>
      </c>
      <c r="L35" s="34">
        <v>1677777</v>
      </c>
      <c r="M35" s="18">
        <v>49021.5</v>
      </c>
      <c r="N35" s="56">
        <v>6</v>
      </c>
      <c r="O35" s="57">
        <v>82</v>
      </c>
      <c r="P35" s="57">
        <v>767</v>
      </c>
      <c r="Q35" s="58">
        <v>7962</v>
      </c>
      <c r="R35" s="59">
        <v>79112</v>
      </c>
      <c r="S35" s="59">
        <v>784199</v>
      </c>
      <c r="W35" s="4"/>
    </row>
    <row r="36" spans="1:23" x14ac:dyDescent="0.15">
      <c r="A36" s="32">
        <v>29</v>
      </c>
      <c r="B36" s="26">
        <v>33439</v>
      </c>
      <c r="C36" s="76">
        <v>7</v>
      </c>
      <c r="D36" s="76">
        <v>3</v>
      </c>
      <c r="E36" s="76">
        <v>1</v>
      </c>
      <c r="F36" s="76">
        <v>7</v>
      </c>
      <c r="G36" s="76">
        <v>8</v>
      </c>
      <c r="H36" s="76">
        <v>5</v>
      </c>
      <c r="I36" s="13">
        <v>3</v>
      </c>
      <c r="J36" s="33">
        <v>22126452.5</v>
      </c>
      <c r="K36" s="77">
        <v>1</v>
      </c>
      <c r="L36" s="34">
        <v>1577777</v>
      </c>
      <c r="M36" s="18">
        <v>44435.3</v>
      </c>
      <c r="N36" s="56">
        <v>14</v>
      </c>
      <c r="O36" s="57">
        <v>68</v>
      </c>
      <c r="P36" s="57">
        <v>827</v>
      </c>
      <c r="Q36" s="58">
        <v>7946</v>
      </c>
      <c r="R36" s="59">
        <v>80471</v>
      </c>
      <c r="S36" s="59">
        <v>802312</v>
      </c>
      <c r="W36" s="4"/>
    </row>
    <row r="37" spans="1:23" x14ac:dyDescent="0.15">
      <c r="A37" s="32">
        <v>30</v>
      </c>
      <c r="B37" s="26">
        <v>33446</v>
      </c>
      <c r="C37" s="76">
        <v>2</v>
      </c>
      <c r="D37" s="76">
        <v>9</v>
      </c>
      <c r="E37" s="76">
        <v>0</v>
      </c>
      <c r="F37" s="76">
        <v>4</v>
      </c>
      <c r="G37" s="76">
        <v>1</v>
      </c>
      <c r="H37" s="76">
        <v>8</v>
      </c>
      <c r="I37" s="13">
        <v>4</v>
      </c>
      <c r="J37" s="33">
        <v>22021845</v>
      </c>
      <c r="K37" s="77">
        <v>1</v>
      </c>
      <c r="L37" s="34">
        <v>1577777</v>
      </c>
      <c r="M37" s="18">
        <v>32411.5</v>
      </c>
      <c r="N37" s="56">
        <v>7</v>
      </c>
      <c r="O37" s="57">
        <v>76</v>
      </c>
      <c r="P37" s="57">
        <v>844</v>
      </c>
      <c r="Q37" s="58">
        <v>8111</v>
      </c>
      <c r="R37" s="59">
        <v>81045</v>
      </c>
      <c r="S37" s="59">
        <v>804620</v>
      </c>
      <c r="W37" s="4"/>
    </row>
    <row r="38" spans="1:23" x14ac:dyDescent="0.15">
      <c r="A38" s="32">
        <v>31</v>
      </c>
      <c r="B38" s="26">
        <v>33453</v>
      </c>
      <c r="C38" s="76">
        <v>5</v>
      </c>
      <c r="D38" s="76">
        <v>6</v>
      </c>
      <c r="E38" s="76">
        <v>3</v>
      </c>
      <c r="F38" s="76">
        <v>1</v>
      </c>
      <c r="G38" s="76">
        <v>2</v>
      </c>
      <c r="H38" s="76">
        <v>3</v>
      </c>
      <c r="I38" s="13">
        <v>6</v>
      </c>
      <c r="J38" s="33">
        <v>22685910</v>
      </c>
      <c r="K38" s="159" t="s">
        <v>23</v>
      </c>
      <c r="L38" s="34"/>
      <c r="M38" s="18">
        <v>1645379.7</v>
      </c>
      <c r="N38" s="56">
        <v>10</v>
      </c>
      <c r="O38" s="57">
        <v>73</v>
      </c>
      <c r="P38" s="57">
        <v>852</v>
      </c>
      <c r="Q38" s="58">
        <v>8507</v>
      </c>
      <c r="R38" s="59">
        <v>84326</v>
      </c>
      <c r="S38" s="59">
        <v>828797</v>
      </c>
      <c r="W38" s="4"/>
    </row>
    <row r="39" spans="1:23" x14ac:dyDescent="0.15">
      <c r="A39" s="32">
        <v>32</v>
      </c>
      <c r="B39" s="26">
        <v>33460</v>
      </c>
      <c r="C39" s="76">
        <v>9</v>
      </c>
      <c r="D39" s="76">
        <v>8</v>
      </c>
      <c r="E39" s="76">
        <v>7</v>
      </c>
      <c r="F39" s="76">
        <v>3</v>
      </c>
      <c r="G39" s="76">
        <v>2</v>
      </c>
      <c r="H39" s="76">
        <v>7</v>
      </c>
      <c r="I39" s="13">
        <v>2</v>
      </c>
      <c r="J39" s="33">
        <v>22610270</v>
      </c>
      <c r="K39" s="77">
        <v>1</v>
      </c>
      <c r="L39" s="34">
        <v>3177777</v>
      </c>
      <c r="M39" s="18">
        <v>75192.899999999994</v>
      </c>
      <c r="N39" s="56">
        <v>10</v>
      </c>
      <c r="O39" s="57">
        <v>72</v>
      </c>
      <c r="P39" s="57">
        <v>872</v>
      </c>
      <c r="Q39" s="58">
        <v>8059</v>
      </c>
      <c r="R39" s="59">
        <v>81871</v>
      </c>
      <c r="S39" s="59">
        <v>812047</v>
      </c>
      <c r="W39" s="4"/>
    </row>
    <row r="40" spans="1:23" x14ac:dyDescent="0.15">
      <c r="A40" s="32">
        <v>33</v>
      </c>
      <c r="B40" s="26">
        <v>33467</v>
      </c>
      <c r="C40" s="76">
        <v>9</v>
      </c>
      <c r="D40" s="76">
        <v>9</v>
      </c>
      <c r="E40" s="76">
        <v>7</v>
      </c>
      <c r="F40" s="76">
        <v>4</v>
      </c>
      <c r="G40" s="76">
        <v>5</v>
      </c>
      <c r="H40" s="76">
        <v>9</v>
      </c>
      <c r="I40" s="13">
        <v>6</v>
      </c>
      <c r="J40" s="33">
        <v>22294822.5</v>
      </c>
      <c r="K40" s="77">
        <v>2</v>
      </c>
      <c r="L40" s="34">
        <v>777777</v>
      </c>
      <c r="M40" s="18">
        <v>104800.8</v>
      </c>
      <c r="N40" s="56">
        <v>10</v>
      </c>
      <c r="O40" s="57">
        <v>78</v>
      </c>
      <c r="P40" s="57">
        <v>855</v>
      </c>
      <c r="Q40" s="58">
        <v>8100</v>
      </c>
      <c r="R40" s="59">
        <v>81355</v>
      </c>
      <c r="S40" s="59">
        <v>810092</v>
      </c>
      <c r="W40" s="4"/>
    </row>
    <row r="41" spans="1:23" x14ac:dyDescent="0.15">
      <c r="A41" s="32">
        <v>34</v>
      </c>
      <c r="B41" s="26">
        <v>33474</v>
      </c>
      <c r="C41" s="76">
        <v>0</v>
      </c>
      <c r="D41" s="76">
        <v>5</v>
      </c>
      <c r="E41" s="76">
        <v>1</v>
      </c>
      <c r="F41" s="76">
        <v>6</v>
      </c>
      <c r="G41" s="76">
        <v>5</v>
      </c>
      <c r="H41" s="76">
        <v>3</v>
      </c>
      <c r="I41" s="13">
        <v>3</v>
      </c>
      <c r="J41" s="33">
        <v>22085780</v>
      </c>
      <c r="K41" s="77">
        <v>1</v>
      </c>
      <c r="L41" s="34">
        <v>1577777</v>
      </c>
      <c r="M41" s="18">
        <v>97322.8</v>
      </c>
      <c r="N41" s="56">
        <v>9</v>
      </c>
      <c r="O41" s="57">
        <v>76</v>
      </c>
      <c r="P41" s="57">
        <v>814</v>
      </c>
      <c r="Q41" s="58">
        <v>8077</v>
      </c>
      <c r="R41" s="59">
        <v>79616</v>
      </c>
      <c r="S41" s="59">
        <v>801007</v>
      </c>
      <c r="W41" s="4"/>
    </row>
    <row r="42" spans="1:23" x14ac:dyDescent="0.15">
      <c r="A42" s="32">
        <v>35</v>
      </c>
      <c r="B42" s="26">
        <v>33481</v>
      </c>
      <c r="C42" s="76">
        <v>3</v>
      </c>
      <c r="D42" s="76">
        <v>5</v>
      </c>
      <c r="E42" s="76">
        <v>4</v>
      </c>
      <c r="F42" s="76">
        <v>5</v>
      </c>
      <c r="G42" s="76">
        <v>2</v>
      </c>
      <c r="H42" s="76">
        <v>5</v>
      </c>
      <c r="I42" s="13">
        <v>0</v>
      </c>
      <c r="J42" s="33">
        <v>22302652.5</v>
      </c>
      <c r="K42" s="77">
        <v>2</v>
      </c>
      <c r="L42" s="34">
        <v>777777</v>
      </c>
      <c r="M42" s="18">
        <v>127487.4</v>
      </c>
      <c r="N42" s="56">
        <v>3</v>
      </c>
      <c r="O42" s="57">
        <v>70</v>
      </c>
      <c r="P42" s="57">
        <v>785</v>
      </c>
      <c r="Q42" s="58">
        <v>7816</v>
      </c>
      <c r="R42" s="59">
        <v>77516</v>
      </c>
      <c r="S42" s="59">
        <v>767218</v>
      </c>
      <c r="W42" s="4"/>
    </row>
    <row r="43" spans="1:23" x14ac:dyDescent="0.15">
      <c r="A43" s="32">
        <v>36</v>
      </c>
      <c r="B43" s="26">
        <v>33488</v>
      </c>
      <c r="C43" s="76">
        <v>6</v>
      </c>
      <c r="D43" s="76">
        <v>5</v>
      </c>
      <c r="E43" s="76">
        <v>7</v>
      </c>
      <c r="F43" s="76">
        <v>8</v>
      </c>
      <c r="G43" s="76">
        <v>5</v>
      </c>
      <c r="H43" s="76">
        <v>4</v>
      </c>
      <c r="I43" s="13">
        <v>7</v>
      </c>
      <c r="J43" s="33">
        <v>26472865</v>
      </c>
      <c r="K43" s="77">
        <v>2</v>
      </c>
      <c r="L43" s="34">
        <v>977777</v>
      </c>
      <c r="M43" s="18">
        <v>54154.1</v>
      </c>
      <c r="N43" s="56">
        <v>7</v>
      </c>
      <c r="O43" s="57">
        <v>101</v>
      </c>
      <c r="P43" s="57">
        <v>999</v>
      </c>
      <c r="Q43" s="58">
        <v>9644</v>
      </c>
      <c r="R43" s="59">
        <v>97988</v>
      </c>
      <c r="S43" s="59">
        <v>972101</v>
      </c>
      <c r="W43" s="4"/>
    </row>
    <row r="44" spans="1:23" x14ac:dyDescent="0.15">
      <c r="A44" s="32">
        <v>37</v>
      </c>
      <c r="B44" s="26">
        <v>33495</v>
      </c>
      <c r="C44" s="76">
        <v>7</v>
      </c>
      <c r="D44" s="76">
        <v>8</v>
      </c>
      <c r="E44" s="76">
        <v>4</v>
      </c>
      <c r="F44" s="76">
        <v>2</v>
      </c>
      <c r="G44" s="76">
        <v>9</v>
      </c>
      <c r="H44" s="76">
        <v>0</v>
      </c>
      <c r="I44" s="13">
        <v>1</v>
      </c>
      <c r="J44" s="33">
        <v>23386437.5</v>
      </c>
      <c r="K44" s="159" t="s">
        <v>23</v>
      </c>
      <c r="L44" s="34"/>
      <c r="M44" s="18">
        <v>1716929.8</v>
      </c>
      <c r="N44" s="56">
        <v>9</v>
      </c>
      <c r="O44" s="57">
        <v>82</v>
      </c>
      <c r="P44" s="57">
        <v>809</v>
      </c>
      <c r="Q44" s="58">
        <v>8027</v>
      </c>
      <c r="R44" s="59">
        <v>78575</v>
      </c>
      <c r="S44" s="59">
        <v>829095</v>
      </c>
      <c r="W44" s="4"/>
    </row>
    <row r="45" spans="1:23" x14ac:dyDescent="0.15">
      <c r="A45" s="32">
        <v>38</v>
      </c>
      <c r="B45" s="26">
        <v>33502</v>
      </c>
      <c r="C45" s="76">
        <v>7</v>
      </c>
      <c r="D45" s="76">
        <v>1</v>
      </c>
      <c r="E45" s="76">
        <v>2</v>
      </c>
      <c r="F45" s="76">
        <v>5</v>
      </c>
      <c r="G45" s="76">
        <v>5</v>
      </c>
      <c r="H45" s="76">
        <v>2</v>
      </c>
      <c r="I45" s="13">
        <v>5</v>
      </c>
      <c r="J45" s="33">
        <v>22932442.5</v>
      </c>
      <c r="K45" s="159" t="s">
        <v>23</v>
      </c>
      <c r="L45" s="34"/>
      <c r="M45" s="18">
        <v>3347426.5</v>
      </c>
      <c r="N45" s="56">
        <v>10</v>
      </c>
      <c r="O45" s="57">
        <v>81</v>
      </c>
      <c r="P45" s="57">
        <v>883</v>
      </c>
      <c r="Q45" s="58">
        <v>8509</v>
      </c>
      <c r="R45" s="59">
        <v>84402</v>
      </c>
      <c r="S45" s="59">
        <v>834365</v>
      </c>
      <c r="W45" s="4"/>
    </row>
    <row r="46" spans="1:23" x14ac:dyDescent="0.15">
      <c r="A46" s="32">
        <v>39</v>
      </c>
      <c r="B46" s="26">
        <v>33509</v>
      </c>
      <c r="C46" s="76">
        <v>6</v>
      </c>
      <c r="D46" s="76">
        <v>1</v>
      </c>
      <c r="E46" s="76">
        <v>2</v>
      </c>
      <c r="F46" s="76">
        <v>0</v>
      </c>
      <c r="G46" s="76">
        <v>3</v>
      </c>
      <c r="H46" s="76">
        <v>9</v>
      </c>
      <c r="I46" s="13">
        <v>4</v>
      </c>
      <c r="J46" s="33">
        <v>23167580</v>
      </c>
      <c r="K46" s="77">
        <v>3</v>
      </c>
      <c r="L46" s="34">
        <v>1577777</v>
      </c>
      <c r="M46" s="18">
        <v>261310.4</v>
      </c>
      <c r="N46" s="56">
        <v>9</v>
      </c>
      <c r="O46" s="57">
        <v>79</v>
      </c>
      <c r="P46" s="57">
        <v>853</v>
      </c>
      <c r="Q46" s="58">
        <v>8516</v>
      </c>
      <c r="R46" s="59">
        <v>84144</v>
      </c>
      <c r="S46" s="59">
        <v>840749</v>
      </c>
      <c r="W46" s="4"/>
    </row>
    <row r="47" spans="1:23" x14ac:dyDescent="0.15">
      <c r="A47" s="32">
        <v>40</v>
      </c>
      <c r="B47" s="26">
        <v>33516</v>
      </c>
      <c r="C47" s="76">
        <v>6</v>
      </c>
      <c r="D47" s="76">
        <v>7</v>
      </c>
      <c r="E47" s="76">
        <v>9</v>
      </c>
      <c r="F47" s="76">
        <v>5</v>
      </c>
      <c r="G47" s="76">
        <v>9</v>
      </c>
      <c r="H47" s="76">
        <v>9</v>
      </c>
      <c r="I47" s="13">
        <v>4</v>
      </c>
      <c r="J47" s="33">
        <v>23195302.5</v>
      </c>
      <c r="K47" s="77">
        <v>1</v>
      </c>
      <c r="L47" s="34">
        <v>1877777</v>
      </c>
      <c r="M47" s="18">
        <v>32719.4</v>
      </c>
      <c r="N47" s="56">
        <v>9</v>
      </c>
      <c r="O47" s="57">
        <v>74</v>
      </c>
      <c r="P47" s="57">
        <v>814</v>
      </c>
      <c r="Q47" s="58">
        <v>7900</v>
      </c>
      <c r="R47" s="59">
        <v>80700</v>
      </c>
      <c r="S47" s="59">
        <v>816758</v>
      </c>
      <c r="W47" s="4"/>
    </row>
    <row r="48" spans="1:23" x14ac:dyDescent="0.15">
      <c r="A48" s="32">
        <v>41</v>
      </c>
      <c r="B48" s="26">
        <v>33523</v>
      </c>
      <c r="C48" s="76">
        <v>3</v>
      </c>
      <c r="D48" s="76">
        <v>4</v>
      </c>
      <c r="E48" s="76">
        <v>8</v>
      </c>
      <c r="F48" s="76">
        <v>1</v>
      </c>
      <c r="G48" s="76">
        <v>7</v>
      </c>
      <c r="H48" s="76">
        <v>2</v>
      </c>
      <c r="I48" s="13">
        <v>4</v>
      </c>
      <c r="J48" s="33">
        <v>24244017.5</v>
      </c>
      <c r="K48" s="159" t="s">
        <v>23</v>
      </c>
      <c r="L48" s="34"/>
      <c r="M48" s="18">
        <v>1756469</v>
      </c>
      <c r="N48" s="56">
        <v>9</v>
      </c>
      <c r="O48" s="57">
        <v>90</v>
      </c>
      <c r="P48" s="57">
        <v>843</v>
      </c>
      <c r="Q48" s="58">
        <v>8828</v>
      </c>
      <c r="R48" s="59">
        <v>86297</v>
      </c>
      <c r="S48" s="59">
        <v>849897</v>
      </c>
      <c r="W48" s="4"/>
    </row>
    <row r="49" spans="1:23" x14ac:dyDescent="0.15">
      <c r="A49" s="32">
        <v>42</v>
      </c>
      <c r="B49" s="26">
        <v>33530</v>
      </c>
      <c r="C49" s="76">
        <v>4</v>
      </c>
      <c r="D49" s="76">
        <v>6</v>
      </c>
      <c r="E49" s="76">
        <v>9</v>
      </c>
      <c r="F49" s="76">
        <v>2</v>
      </c>
      <c r="G49" s="76">
        <v>0</v>
      </c>
      <c r="H49" s="76">
        <v>9</v>
      </c>
      <c r="I49" s="13">
        <v>9</v>
      </c>
      <c r="J49" s="33">
        <v>24265350</v>
      </c>
      <c r="K49" s="77">
        <v>1</v>
      </c>
      <c r="L49" s="34">
        <v>3477777</v>
      </c>
      <c r="M49" s="18">
        <v>3958.4</v>
      </c>
      <c r="N49" s="56">
        <v>12</v>
      </c>
      <c r="O49" s="57">
        <v>83</v>
      </c>
      <c r="P49" s="57">
        <v>860</v>
      </c>
      <c r="Q49" s="58">
        <v>8691</v>
      </c>
      <c r="R49" s="59">
        <v>88517</v>
      </c>
      <c r="S49" s="59">
        <v>886332</v>
      </c>
      <c r="W49" s="4"/>
    </row>
    <row r="50" spans="1:23" x14ac:dyDescent="0.15">
      <c r="A50" s="32">
        <v>43</v>
      </c>
      <c r="B50" s="26">
        <v>33537</v>
      </c>
      <c r="C50" s="76">
        <v>0</v>
      </c>
      <c r="D50" s="76">
        <v>3</v>
      </c>
      <c r="E50" s="76">
        <v>4</v>
      </c>
      <c r="F50" s="76">
        <v>0</v>
      </c>
      <c r="G50" s="76">
        <v>3</v>
      </c>
      <c r="H50" s="76">
        <v>8</v>
      </c>
      <c r="I50" s="13">
        <v>1</v>
      </c>
      <c r="J50" s="33">
        <v>23928087.5</v>
      </c>
      <c r="K50" s="159" t="s">
        <v>23</v>
      </c>
      <c r="L50" s="34"/>
      <c r="M50" s="18">
        <v>1705245.4</v>
      </c>
      <c r="N50" s="56">
        <v>5</v>
      </c>
      <c r="O50" s="57">
        <v>94</v>
      </c>
      <c r="P50" s="57">
        <v>857</v>
      </c>
      <c r="Q50" s="58">
        <v>8550</v>
      </c>
      <c r="R50" s="59">
        <v>84641</v>
      </c>
      <c r="S50" s="59">
        <v>845239</v>
      </c>
    </row>
    <row r="51" spans="1:23" x14ac:dyDescent="0.15">
      <c r="A51" s="32">
        <v>44</v>
      </c>
      <c r="B51" s="26">
        <v>33544</v>
      </c>
      <c r="C51" s="76">
        <v>5</v>
      </c>
      <c r="D51" s="76">
        <v>2</v>
      </c>
      <c r="E51" s="76">
        <v>3</v>
      </c>
      <c r="F51" s="76">
        <v>7</v>
      </c>
      <c r="G51" s="76">
        <v>8</v>
      </c>
      <c r="H51" s="76">
        <v>5</v>
      </c>
      <c r="I51" s="13">
        <v>5</v>
      </c>
      <c r="J51" s="33">
        <v>23513560</v>
      </c>
      <c r="K51" s="77">
        <v>3</v>
      </c>
      <c r="L51" s="34">
        <v>1077777</v>
      </c>
      <c r="M51" s="18">
        <v>143728.5</v>
      </c>
      <c r="N51" s="56">
        <v>11</v>
      </c>
      <c r="O51" s="57">
        <v>94</v>
      </c>
      <c r="P51" s="57">
        <v>848</v>
      </c>
      <c r="Q51" s="58">
        <v>8614</v>
      </c>
      <c r="R51" s="59">
        <v>85613</v>
      </c>
      <c r="S51" s="59">
        <v>852266</v>
      </c>
    </row>
    <row r="52" spans="1:23" x14ac:dyDescent="0.15">
      <c r="A52" s="32">
        <v>45</v>
      </c>
      <c r="B52" s="26">
        <v>33551</v>
      </c>
      <c r="C52" s="76">
        <v>7</v>
      </c>
      <c r="D52" s="76">
        <v>3</v>
      </c>
      <c r="E52" s="76">
        <v>3</v>
      </c>
      <c r="F52" s="76">
        <v>0</v>
      </c>
      <c r="G52" s="76">
        <v>8</v>
      </c>
      <c r="H52" s="76">
        <v>5</v>
      </c>
      <c r="I52" s="13">
        <v>4</v>
      </c>
      <c r="J52" s="33">
        <v>26488760</v>
      </c>
      <c r="K52" s="77">
        <v>2</v>
      </c>
      <c r="L52" s="34">
        <v>977777</v>
      </c>
      <c r="M52" s="18">
        <v>71525.3</v>
      </c>
      <c r="N52" s="56">
        <v>5</v>
      </c>
      <c r="O52" s="57">
        <v>91</v>
      </c>
      <c r="P52" s="57">
        <v>933</v>
      </c>
      <c r="Q52" s="58">
        <v>9724</v>
      </c>
      <c r="R52" s="59">
        <v>96757</v>
      </c>
      <c r="S52" s="59">
        <v>969176</v>
      </c>
    </row>
    <row r="53" spans="1:23" x14ac:dyDescent="0.15">
      <c r="A53" s="32">
        <v>46</v>
      </c>
      <c r="B53" s="26">
        <v>33558</v>
      </c>
      <c r="C53" s="76">
        <v>8</v>
      </c>
      <c r="D53" s="76">
        <v>3</v>
      </c>
      <c r="E53" s="76">
        <v>2</v>
      </c>
      <c r="F53" s="76">
        <v>2</v>
      </c>
      <c r="G53" s="76">
        <v>6</v>
      </c>
      <c r="H53" s="76">
        <v>6</v>
      </c>
      <c r="I53" s="13">
        <v>5</v>
      </c>
      <c r="J53" s="33">
        <v>25703495</v>
      </c>
      <c r="K53" s="77">
        <v>2</v>
      </c>
      <c r="L53" s="34">
        <v>877777</v>
      </c>
      <c r="M53" s="18">
        <v>143489.79999999999</v>
      </c>
      <c r="N53" s="56">
        <v>6</v>
      </c>
      <c r="O53" s="57">
        <v>105</v>
      </c>
      <c r="P53" s="57">
        <v>877</v>
      </c>
      <c r="Q53" s="58">
        <v>9056</v>
      </c>
      <c r="R53" s="59">
        <v>93208</v>
      </c>
      <c r="S53" s="59">
        <v>926325</v>
      </c>
    </row>
    <row r="54" spans="1:23" x14ac:dyDescent="0.15">
      <c r="A54" s="32">
        <v>47</v>
      </c>
      <c r="B54" s="26">
        <v>33565</v>
      </c>
      <c r="C54" s="76">
        <v>3</v>
      </c>
      <c r="D54" s="76">
        <v>6</v>
      </c>
      <c r="E54" s="76">
        <v>9</v>
      </c>
      <c r="F54" s="76">
        <v>6</v>
      </c>
      <c r="G54" s="76">
        <v>2</v>
      </c>
      <c r="H54" s="76">
        <v>0</v>
      </c>
      <c r="I54" s="13">
        <v>8</v>
      </c>
      <c r="J54" s="33">
        <v>23678080</v>
      </c>
      <c r="K54" s="77">
        <v>1</v>
      </c>
      <c r="L54" s="34">
        <v>1777777</v>
      </c>
      <c r="M54" s="18">
        <v>49224.3</v>
      </c>
      <c r="N54" s="56">
        <v>2</v>
      </c>
      <c r="O54" s="57">
        <v>91</v>
      </c>
      <c r="P54" s="57">
        <v>838</v>
      </c>
      <c r="Q54" s="58">
        <v>8596</v>
      </c>
      <c r="R54" s="59">
        <v>82809</v>
      </c>
      <c r="S54" s="59">
        <v>875186</v>
      </c>
    </row>
    <row r="55" spans="1:23" x14ac:dyDescent="0.15">
      <c r="A55" s="32">
        <v>48</v>
      </c>
      <c r="B55" s="26">
        <v>33572</v>
      </c>
      <c r="C55" s="76">
        <v>4</v>
      </c>
      <c r="D55" s="76">
        <v>8</v>
      </c>
      <c r="E55" s="76">
        <v>7</v>
      </c>
      <c r="F55" s="76">
        <v>8</v>
      </c>
      <c r="G55" s="76">
        <v>5</v>
      </c>
      <c r="H55" s="76">
        <v>3</v>
      </c>
      <c r="I55" s="13">
        <v>9</v>
      </c>
      <c r="J55" s="33">
        <v>24539877.5</v>
      </c>
      <c r="K55" s="77">
        <v>1</v>
      </c>
      <c r="L55" s="34">
        <v>1777777</v>
      </c>
      <c r="M55" s="18">
        <v>16232.6</v>
      </c>
      <c r="N55" s="56">
        <v>9</v>
      </c>
      <c r="O55" s="57">
        <v>96</v>
      </c>
      <c r="P55" s="57">
        <v>868</v>
      </c>
      <c r="Q55" s="58">
        <v>8817</v>
      </c>
      <c r="R55" s="59">
        <v>90243</v>
      </c>
      <c r="S55" s="59">
        <v>889210</v>
      </c>
    </row>
    <row r="56" spans="1:23" x14ac:dyDescent="0.15">
      <c r="A56" s="32">
        <v>49</v>
      </c>
      <c r="B56" s="26">
        <v>33579</v>
      </c>
      <c r="C56" s="76">
        <v>4</v>
      </c>
      <c r="D56" s="76">
        <v>1</v>
      </c>
      <c r="E56" s="76">
        <v>0</v>
      </c>
      <c r="F56" s="76">
        <v>7</v>
      </c>
      <c r="G56" s="76">
        <v>4</v>
      </c>
      <c r="H56" s="76">
        <v>7</v>
      </c>
      <c r="I56" s="13">
        <v>1</v>
      </c>
      <c r="J56" s="33">
        <v>31964657.5</v>
      </c>
      <c r="K56" s="77">
        <v>3</v>
      </c>
      <c r="L56" s="34">
        <v>677777</v>
      </c>
      <c r="M56" s="18">
        <v>255588.7</v>
      </c>
      <c r="N56" s="56">
        <v>9</v>
      </c>
      <c r="O56" s="57">
        <v>107</v>
      </c>
      <c r="P56" s="57">
        <v>1103</v>
      </c>
      <c r="Q56" s="58">
        <v>11418</v>
      </c>
      <c r="R56" s="59">
        <v>112847</v>
      </c>
      <c r="S56" s="59">
        <v>1125383</v>
      </c>
    </row>
    <row r="57" spans="1:23" x14ac:dyDescent="0.15">
      <c r="A57" s="32">
        <v>50</v>
      </c>
      <c r="B57" s="26">
        <v>33586</v>
      </c>
      <c r="C57" s="76">
        <v>3</v>
      </c>
      <c r="D57" s="76">
        <v>8</v>
      </c>
      <c r="E57" s="76">
        <v>2</v>
      </c>
      <c r="F57" s="76">
        <v>0</v>
      </c>
      <c r="G57" s="76">
        <v>1</v>
      </c>
      <c r="H57" s="76">
        <v>1</v>
      </c>
      <c r="I57" s="13">
        <v>8</v>
      </c>
      <c r="J57" s="33">
        <v>26153885</v>
      </c>
      <c r="K57" s="159" t="s">
        <v>23</v>
      </c>
      <c r="L57" s="34"/>
      <c r="M57" s="18">
        <v>2115129.9</v>
      </c>
      <c r="N57" s="56">
        <v>4</v>
      </c>
      <c r="O57" s="57">
        <v>92</v>
      </c>
      <c r="P57" s="57">
        <v>894</v>
      </c>
      <c r="Q57" s="58">
        <v>9369</v>
      </c>
      <c r="R57" s="59">
        <v>95034</v>
      </c>
      <c r="S57" s="59">
        <v>950855</v>
      </c>
    </row>
    <row r="58" spans="1:23" x14ac:dyDescent="0.15">
      <c r="A58" s="32">
        <v>51</v>
      </c>
      <c r="B58" s="26">
        <v>33593</v>
      </c>
      <c r="C58" s="76">
        <v>1</v>
      </c>
      <c r="D58" s="76">
        <v>6</v>
      </c>
      <c r="E58" s="76">
        <v>0</v>
      </c>
      <c r="F58" s="76">
        <v>5</v>
      </c>
      <c r="G58" s="76">
        <v>0</v>
      </c>
      <c r="H58" s="76">
        <v>2</v>
      </c>
      <c r="I58" s="13">
        <v>3</v>
      </c>
      <c r="J58" s="33">
        <v>27328650</v>
      </c>
      <c r="K58" s="159" t="s">
        <v>23</v>
      </c>
      <c r="L58" s="34"/>
      <c r="M58" s="18">
        <v>4058196.9</v>
      </c>
      <c r="N58" s="56">
        <v>7</v>
      </c>
      <c r="O58" s="57">
        <v>92</v>
      </c>
      <c r="P58" s="57">
        <v>966</v>
      </c>
      <c r="Q58" s="58">
        <v>9876</v>
      </c>
      <c r="R58" s="59">
        <v>101218</v>
      </c>
      <c r="S58" s="59">
        <v>998710</v>
      </c>
    </row>
    <row r="59" spans="1:23" x14ac:dyDescent="0.15">
      <c r="A59" s="36">
        <v>52</v>
      </c>
      <c r="B59" s="37">
        <v>33600</v>
      </c>
      <c r="C59" s="38">
        <v>9</v>
      </c>
      <c r="D59" s="38">
        <v>4</v>
      </c>
      <c r="E59" s="38">
        <v>5</v>
      </c>
      <c r="F59" s="38">
        <v>1</v>
      </c>
      <c r="G59" s="38">
        <v>7</v>
      </c>
      <c r="H59" s="38">
        <v>9</v>
      </c>
      <c r="I59" s="39">
        <v>9</v>
      </c>
      <c r="J59" s="40">
        <v>24840190</v>
      </c>
      <c r="K59" s="188" t="s">
        <v>23</v>
      </c>
      <c r="L59" s="42"/>
      <c r="M59" s="43">
        <v>5824334.4000000004</v>
      </c>
      <c r="N59" s="61">
        <v>13</v>
      </c>
      <c r="O59" s="62">
        <v>89</v>
      </c>
      <c r="P59" s="62">
        <v>896</v>
      </c>
      <c r="Q59" s="63">
        <v>8981</v>
      </c>
      <c r="R59" s="64">
        <v>89830</v>
      </c>
      <c r="S59" s="64">
        <v>898636</v>
      </c>
    </row>
    <row r="60" spans="1:23" x14ac:dyDescent="0.15">
      <c r="A60" s="45"/>
      <c r="B60" s="46"/>
      <c r="C60" s="46"/>
      <c r="D60" s="46"/>
      <c r="E60" s="46"/>
      <c r="F60" s="46"/>
      <c r="G60" s="46"/>
      <c r="H60" s="46" t="s">
        <v>24</v>
      </c>
      <c r="I60" s="46"/>
      <c r="J60" s="46"/>
      <c r="K60" s="72">
        <f>SUM(K7:K59)</f>
        <v>59</v>
      </c>
      <c r="L60" s="47"/>
      <c r="M60" s="48"/>
      <c r="N60" s="66">
        <f t="shared" ref="N60:S60" si="0">SUM(N8:N59)</f>
        <v>433</v>
      </c>
      <c r="O60" s="66">
        <f t="shared" si="0"/>
        <v>4431</v>
      </c>
      <c r="P60" s="66">
        <f t="shared" si="0"/>
        <v>44011</v>
      </c>
      <c r="Q60" s="66">
        <f t="shared" si="0"/>
        <v>440418</v>
      </c>
      <c r="R60" s="66">
        <f t="shared" si="0"/>
        <v>4422953</v>
      </c>
      <c r="S60" s="128">
        <f t="shared" si="0"/>
        <v>44259104</v>
      </c>
      <c r="T60" s="91"/>
    </row>
    <row r="61" spans="1:23" x14ac:dyDescent="0.15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3"/>
      <c r="L61" s="94"/>
      <c r="M61" s="49"/>
      <c r="N61" s="86"/>
      <c r="O61" s="87"/>
      <c r="P61" s="87"/>
      <c r="Q61" s="95"/>
      <c r="R61" s="49"/>
      <c r="S61" s="49"/>
      <c r="T61" s="91"/>
    </row>
    <row r="62" spans="1:23" x14ac:dyDescent="0.15">
      <c r="T62" s="31" t="str">
        <f>IF(J61="","",SUM(K61,N61,O61,P61,Q61,R61,S61))</f>
        <v/>
      </c>
      <c r="W62" s="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0" orientation="landscape" horizontalDpi="4294967292" verticalDpi="4294967292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2"/>
  <sheetViews>
    <sheetView topLeftCell="F1" workbookViewId="0">
      <pane ySplit="7" topLeftCell="A35" activePane="bottomLeft" state="frozenSplit"/>
      <selection pane="bottomLeft" activeCell="B60" sqref="B60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9" width="15.6640625" customWidth="1"/>
  </cols>
  <sheetData>
    <row r="2" spans="1:23" ht="12.75" x14ac:dyDescent="0.2">
      <c r="A2" s="1" t="s">
        <v>0</v>
      </c>
      <c r="S2" s="3" t="s">
        <v>58</v>
      </c>
      <c r="U2" s="4"/>
    </row>
    <row r="3" spans="1:23" ht="12.75" x14ac:dyDescent="0.2">
      <c r="A3" s="6" t="s">
        <v>2</v>
      </c>
      <c r="P3" s="3"/>
      <c r="U3" s="4"/>
    </row>
    <row r="4" spans="1:23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9"/>
      <c r="L4" s="12"/>
      <c r="M4" s="11"/>
      <c r="N4" s="8"/>
      <c r="O4" s="8"/>
      <c r="P4" s="8"/>
      <c r="Q4" s="8"/>
      <c r="R4" s="8"/>
      <c r="S4" s="8"/>
      <c r="W4" s="4"/>
    </row>
    <row r="5" spans="1:23" x14ac:dyDescent="0.15">
      <c r="A5" s="13" t="s">
        <v>3</v>
      </c>
      <c r="B5" s="14">
        <v>1992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92" t="s">
        <v>7</v>
      </c>
      <c r="L5" s="18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S5" s="14" t="s">
        <v>49</v>
      </c>
      <c r="W5" s="4"/>
    </row>
    <row r="6" spans="1:23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92" t="s">
        <v>50</v>
      </c>
      <c r="L6" s="18"/>
      <c r="M6" s="14" t="s">
        <v>14</v>
      </c>
      <c r="N6" s="75" t="s">
        <v>51</v>
      </c>
      <c r="O6" s="75" t="s">
        <v>52</v>
      </c>
      <c r="P6" s="75" t="s">
        <v>53</v>
      </c>
      <c r="Q6" s="75" t="s">
        <v>54</v>
      </c>
      <c r="R6" s="75" t="s">
        <v>55</v>
      </c>
      <c r="S6" s="14" t="s">
        <v>56</v>
      </c>
      <c r="W6" s="4"/>
    </row>
    <row r="7" spans="1:23" x14ac:dyDescent="0.15">
      <c r="A7" s="39"/>
      <c r="B7" s="21"/>
      <c r="C7" s="38"/>
      <c r="D7" s="38"/>
      <c r="E7" s="38"/>
      <c r="F7" s="38"/>
      <c r="G7" s="38"/>
      <c r="H7" s="38"/>
      <c r="I7" s="39"/>
      <c r="J7" s="21"/>
      <c r="K7" s="60" t="s">
        <v>15</v>
      </c>
      <c r="L7" s="78" t="s">
        <v>14</v>
      </c>
      <c r="M7" s="21"/>
      <c r="N7" s="96" t="s">
        <v>15</v>
      </c>
      <c r="O7" s="96" t="s">
        <v>15</v>
      </c>
      <c r="P7" s="96" t="s">
        <v>15</v>
      </c>
      <c r="Q7" s="96" t="s">
        <v>15</v>
      </c>
      <c r="R7" s="96" t="s">
        <v>15</v>
      </c>
      <c r="S7" s="21" t="s">
        <v>15</v>
      </c>
      <c r="W7" s="4"/>
    </row>
    <row r="8" spans="1:23" x14ac:dyDescent="0.15">
      <c r="A8" s="32">
        <v>1</v>
      </c>
      <c r="B8" s="26">
        <v>33607</v>
      </c>
      <c r="C8" s="76">
        <v>5</v>
      </c>
      <c r="D8" s="76">
        <v>0</v>
      </c>
      <c r="E8" s="76">
        <v>7</v>
      </c>
      <c r="F8" s="76">
        <v>2</v>
      </c>
      <c r="G8" s="76">
        <v>3</v>
      </c>
      <c r="H8" s="76">
        <v>9</v>
      </c>
      <c r="I8" s="13">
        <v>3</v>
      </c>
      <c r="J8" s="33">
        <v>24955675</v>
      </c>
      <c r="K8" s="159" t="s">
        <v>23</v>
      </c>
      <c r="L8" s="34"/>
      <c r="M8" s="18">
        <v>7598682.9000000004</v>
      </c>
      <c r="N8" s="56">
        <v>13</v>
      </c>
      <c r="O8" s="57">
        <v>108</v>
      </c>
      <c r="P8" s="57">
        <v>901</v>
      </c>
      <c r="Q8" s="58">
        <v>8925</v>
      </c>
      <c r="R8" s="59">
        <v>89774</v>
      </c>
      <c r="S8" s="59">
        <v>903134</v>
      </c>
      <c r="W8" s="4"/>
    </row>
    <row r="9" spans="1:23" x14ac:dyDescent="0.15">
      <c r="A9" s="32">
        <v>2</v>
      </c>
      <c r="B9" s="26">
        <v>33614</v>
      </c>
      <c r="C9" s="76">
        <v>0</v>
      </c>
      <c r="D9" s="76">
        <v>2</v>
      </c>
      <c r="E9" s="76">
        <v>7</v>
      </c>
      <c r="F9" s="76">
        <v>5</v>
      </c>
      <c r="G9" s="76">
        <v>8</v>
      </c>
      <c r="H9" s="76">
        <v>1</v>
      </c>
      <c r="I9" s="13">
        <v>1</v>
      </c>
      <c r="J9" s="33">
        <v>29390317.5</v>
      </c>
      <c r="K9" s="77">
        <v>1</v>
      </c>
      <c r="L9" s="34">
        <v>9677777</v>
      </c>
      <c r="M9" s="18">
        <v>10557.5</v>
      </c>
      <c r="N9" s="56">
        <v>14</v>
      </c>
      <c r="O9" s="57">
        <v>113</v>
      </c>
      <c r="P9" s="57">
        <v>1052</v>
      </c>
      <c r="Q9" s="58">
        <v>10386</v>
      </c>
      <c r="R9" s="59">
        <v>103901</v>
      </c>
      <c r="S9" s="59">
        <v>1024658</v>
      </c>
      <c r="W9" s="4"/>
    </row>
    <row r="10" spans="1:23" x14ac:dyDescent="0.15">
      <c r="A10" s="32">
        <v>3</v>
      </c>
      <c r="B10" s="26">
        <v>33621</v>
      </c>
      <c r="C10" s="76">
        <v>2</v>
      </c>
      <c r="D10" s="76">
        <v>4</v>
      </c>
      <c r="E10" s="76">
        <v>0</v>
      </c>
      <c r="F10" s="76">
        <v>2</v>
      </c>
      <c r="G10" s="76">
        <v>5</v>
      </c>
      <c r="H10" s="76">
        <v>3</v>
      </c>
      <c r="I10" s="13">
        <v>9</v>
      </c>
      <c r="J10" s="33">
        <v>25103502.5</v>
      </c>
      <c r="K10" s="77">
        <v>2</v>
      </c>
      <c r="L10" s="18">
        <v>877777</v>
      </c>
      <c r="M10" s="18">
        <v>39862.5</v>
      </c>
      <c r="N10" s="56">
        <v>11</v>
      </c>
      <c r="O10" s="57">
        <v>97</v>
      </c>
      <c r="P10" s="57">
        <v>966</v>
      </c>
      <c r="Q10" s="58">
        <v>9327</v>
      </c>
      <c r="R10" s="59">
        <v>92206</v>
      </c>
      <c r="S10" s="59">
        <v>912279</v>
      </c>
      <c r="W10" s="4"/>
    </row>
    <row r="11" spans="1:23" x14ac:dyDescent="0.15">
      <c r="A11" s="32">
        <v>4</v>
      </c>
      <c r="B11" s="26">
        <v>33628</v>
      </c>
      <c r="C11" s="76">
        <v>0</v>
      </c>
      <c r="D11" s="76">
        <v>9</v>
      </c>
      <c r="E11" s="76">
        <v>0</v>
      </c>
      <c r="F11" s="76">
        <v>1</v>
      </c>
      <c r="G11" s="76">
        <v>5</v>
      </c>
      <c r="H11" s="76">
        <v>5</v>
      </c>
      <c r="I11" s="13">
        <v>6</v>
      </c>
      <c r="J11" s="33">
        <v>24614400</v>
      </c>
      <c r="K11" s="77">
        <v>2</v>
      </c>
      <c r="L11" s="18">
        <v>877777</v>
      </c>
      <c r="M11" s="18">
        <v>34392.300000000003</v>
      </c>
      <c r="N11" s="56">
        <v>9</v>
      </c>
      <c r="O11" s="57">
        <v>95</v>
      </c>
      <c r="P11" s="57">
        <v>858</v>
      </c>
      <c r="Q11" s="58">
        <v>8934</v>
      </c>
      <c r="R11" s="59">
        <v>90961</v>
      </c>
      <c r="S11" s="59">
        <v>904940</v>
      </c>
      <c r="W11" s="4"/>
    </row>
    <row r="12" spans="1:23" x14ac:dyDescent="0.15">
      <c r="A12" s="32">
        <v>5</v>
      </c>
      <c r="B12" s="26">
        <v>33635</v>
      </c>
      <c r="C12" s="76">
        <v>8</v>
      </c>
      <c r="D12" s="76">
        <v>7</v>
      </c>
      <c r="E12" s="76">
        <v>5</v>
      </c>
      <c r="F12" s="76">
        <v>3</v>
      </c>
      <c r="G12" s="76">
        <v>7</v>
      </c>
      <c r="H12" s="76">
        <v>4</v>
      </c>
      <c r="I12" s="13">
        <v>9</v>
      </c>
      <c r="J12" s="33">
        <v>24892545</v>
      </c>
      <c r="K12" s="77">
        <v>4</v>
      </c>
      <c r="L12" s="18">
        <v>377777</v>
      </c>
      <c r="M12" s="18">
        <v>293144.2</v>
      </c>
      <c r="N12" s="56">
        <v>10</v>
      </c>
      <c r="O12" s="57">
        <v>103</v>
      </c>
      <c r="P12" s="57">
        <v>926</v>
      </c>
      <c r="Q12" s="58">
        <v>9260</v>
      </c>
      <c r="R12" s="59">
        <v>91348</v>
      </c>
      <c r="S12" s="59">
        <v>901272</v>
      </c>
      <c r="W12" s="4"/>
    </row>
    <row r="13" spans="1:23" x14ac:dyDescent="0.15">
      <c r="A13" s="32">
        <v>6</v>
      </c>
      <c r="B13" s="26">
        <v>33642</v>
      </c>
      <c r="C13" s="76">
        <v>2</v>
      </c>
      <c r="D13" s="76">
        <v>8</v>
      </c>
      <c r="E13" s="76">
        <v>4</v>
      </c>
      <c r="F13" s="76">
        <v>9</v>
      </c>
      <c r="G13" s="76">
        <v>4</v>
      </c>
      <c r="H13" s="76">
        <v>5</v>
      </c>
      <c r="I13" s="13">
        <v>5</v>
      </c>
      <c r="J13" s="33">
        <v>25636530</v>
      </c>
      <c r="K13" s="159" t="s">
        <v>23</v>
      </c>
      <c r="L13" s="34"/>
      <c r="M13" s="18">
        <v>2115901.5</v>
      </c>
      <c r="N13" s="56">
        <v>12</v>
      </c>
      <c r="O13" s="57">
        <v>84</v>
      </c>
      <c r="P13" s="57">
        <v>920</v>
      </c>
      <c r="Q13" s="58">
        <v>9364</v>
      </c>
      <c r="R13" s="59">
        <v>93884</v>
      </c>
      <c r="S13" s="59">
        <v>934115</v>
      </c>
      <c r="W13" s="4"/>
    </row>
    <row r="14" spans="1:23" x14ac:dyDescent="0.15">
      <c r="A14" s="32">
        <v>7</v>
      </c>
      <c r="B14" s="26">
        <v>33649</v>
      </c>
      <c r="C14" s="76">
        <v>8</v>
      </c>
      <c r="D14" s="76">
        <v>8</v>
      </c>
      <c r="E14" s="76">
        <v>1</v>
      </c>
      <c r="F14" s="76">
        <v>6</v>
      </c>
      <c r="G14" s="76">
        <v>4</v>
      </c>
      <c r="H14" s="76">
        <v>2</v>
      </c>
      <c r="I14" s="13">
        <v>7</v>
      </c>
      <c r="J14" s="33">
        <v>24774172.5</v>
      </c>
      <c r="K14" s="77">
        <v>1</v>
      </c>
      <c r="L14" s="18">
        <v>3777777</v>
      </c>
      <c r="M14" s="18">
        <v>99568.2</v>
      </c>
      <c r="N14" s="56">
        <v>10</v>
      </c>
      <c r="O14" s="57">
        <v>109</v>
      </c>
      <c r="P14" s="57">
        <v>1003</v>
      </c>
      <c r="Q14" s="58">
        <v>9298</v>
      </c>
      <c r="R14" s="59">
        <v>93111</v>
      </c>
      <c r="S14" s="59">
        <v>925409</v>
      </c>
      <c r="W14" s="4"/>
    </row>
    <row r="15" spans="1:23" x14ac:dyDescent="0.15">
      <c r="A15" s="32">
        <v>8</v>
      </c>
      <c r="B15" s="26">
        <v>33656</v>
      </c>
      <c r="C15" s="76">
        <v>8</v>
      </c>
      <c r="D15" s="76">
        <v>6</v>
      </c>
      <c r="E15" s="76">
        <v>0</v>
      </c>
      <c r="F15" s="76">
        <v>0</v>
      </c>
      <c r="G15" s="76">
        <v>6</v>
      </c>
      <c r="H15" s="76">
        <v>4</v>
      </c>
      <c r="I15" s="13">
        <v>6</v>
      </c>
      <c r="J15" s="33">
        <v>24580652</v>
      </c>
      <c r="K15" s="159" t="s">
        <v>23</v>
      </c>
      <c r="L15" s="34"/>
      <c r="M15" s="18">
        <v>1847252.6</v>
      </c>
      <c r="N15" s="56">
        <v>6</v>
      </c>
      <c r="O15" s="57">
        <v>78</v>
      </c>
      <c r="P15" s="57">
        <v>918</v>
      </c>
      <c r="Q15" s="58">
        <v>9242</v>
      </c>
      <c r="R15" s="59">
        <v>90768</v>
      </c>
      <c r="S15" s="59">
        <v>893742</v>
      </c>
      <c r="W15" s="4"/>
    </row>
    <row r="16" spans="1:23" x14ac:dyDescent="0.15">
      <c r="A16" s="32">
        <v>9</v>
      </c>
      <c r="B16" s="26">
        <v>33663</v>
      </c>
      <c r="C16" s="76">
        <v>0</v>
      </c>
      <c r="D16" s="76">
        <v>6</v>
      </c>
      <c r="E16" s="76">
        <v>1</v>
      </c>
      <c r="F16" s="76">
        <v>4</v>
      </c>
      <c r="G16" s="76">
        <v>4</v>
      </c>
      <c r="H16" s="76">
        <v>0</v>
      </c>
      <c r="I16" s="13">
        <v>7</v>
      </c>
      <c r="J16" s="33">
        <v>24461402.5</v>
      </c>
      <c r="K16" s="159" t="s">
        <v>23</v>
      </c>
      <c r="L16" s="34"/>
      <c r="M16" s="18">
        <v>3586458.3</v>
      </c>
      <c r="N16" s="56">
        <v>3</v>
      </c>
      <c r="O16" s="57">
        <v>93</v>
      </c>
      <c r="P16" s="57">
        <v>817</v>
      </c>
      <c r="Q16" s="58">
        <v>8643</v>
      </c>
      <c r="R16" s="59">
        <v>86166</v>
      </c>
      <c r="S16" s="59">
        <v>903956</v>
      </c>
      <c r="W16" s="4"/>
    </row>
    <row r="17" spans="1:23" x14ac:dyDescent="0.15">
      <c r="A17" s="32">
        <v>10</v>
      </c>
      <c r="B17" s="26">
        <v>33670</v>
      </c>
      <c r="C17" s="76">
        <v>2</v>
      </c>
      <c r="D17" s="76">
        <v>4</v>
      </c>
      <c r="E17" s="76">
        <v>2</v>
      </c>
      <c r="F17" s="76">
        <v>7</v>
      </c>
      <c r="G17" s="76">
        <v>4</v>
      </c>
      <c r="H17" s="76">
        <v>5</v>
      </c>
      <c r="I17" s="13">
        <v>3</v>
      </c>
      <c r="J17" s="33">
        <v>24133915</v>
      </c>
      <c r="K17" s="159" t="s">
        <v>23</v>
      </c>
      <c r="L17" s="34"/>
      <c r="M17" s="18">
        <v>5302379.7</v>
      </c>
      <c r="N17" s="56">
        <v>8</v>
      </c>
      <c r="O17" s="57">
        <v>101</v>
      </c>
      <c r="P17" s="57">
        <v>883</v>
      </c>
      <c r="Q17" s="58">
        <v>8710</v>
      </c>
      <c r="R17" s="59">
        <v>88141</v>
      </c>
      <c r="S17" s="59">
        <v>878646</v>
      </c>
      <c r="W17" s="4"/>
    </row>
    <row r="18" spans="1:23" x14ac:dyDescent="0.15">
      <c r="A18" s="32">
        <v>11</v>
      </c>
      <c r="B18" s="26">
        <v>33677</v>
      </c>
      <c r="C18" s="76">
        <v>4</v>
      </c>
      <c r="D18" s="76">
        <v>6</v>
      </c>
      <c r="E18" s="76">
        <v>5</v>
      </c>
      <c r="F18" s="76">
        <v>4</v>
      </c>
      <c r="G18" s="76">
        <v>2</v>
      </c>
      <c r="H18" s="76">
        <v>2</v>
      </c>
      <c r="I18" s="13">
        <v>8</v>
      </c>
      <c r="J18" s="33">
        <v>26192737.5</v>
      </c>
      <c r="K18" s="77">
        <v>1</v>
      </c>
      <c r="L18" s="34">
        <v>7077777</v>
      </c>
      <c r="M18" s="18">
        <v>86906.3</v>
      </c>
      <c r="N18" s="56">
        <v>6</v>
      </c>
      <c r="O18" s="57">
        <v>84</v>
      </c>
      <c r="P18" s="57">
        <v>979</v>
      </c>
      <c r="Q18" s="58">
        <v>9587</v>
      </c>
      <c r="R18" s="59">
        <v>97872</v>
      </c>
      <c r="S18" s="59">
        <v>964549</v>
      </c>
      <c r="W18" s="4"/>
    </row>
    <row r="19" spans="1:23" x14ac:dyDescent="0.15">
      <c r="A19" s="32">
        <v>12</v>
      </c>
      <c r="B19" s="26">
        <v>33684</v>
      </c>
      <c r="C19" s="76">
        <v>3</v>
      </c>
      <c r="D19" s="76">
        <v>2</v>
      </c>
      <c r="E19" s="76">
        <v>7</v>
      </c>
      <c r="F19" s="76">
        <v>7</v>
      </c>
      <c r="G19" s="76">
        <v>5</v>
      </c>
      <c r="H19" s="76">
        <v>4</v>
      </c>
      <c r="I19" s="13">
        <v>8</v>
      </c>
      <c r="J19" s="33">
        <v>30961617.5</v>
      </c>
      <c r="K19" s="77">
        <v>1</v>
      </c>
      <c r="L19" s="34">
        <v>2277777</v>
      </c>
      <c r="M19" s="18">
        <v>10500.3</v>
      </c>
      <c r="N19" s="56">
        <v>13</v>
      </c>
      <c r="O19" s="57">
        <v>102</v>
      </c>
      <c r="P19" s="57">
        <v>1121</v>
      </c>
      <c r="Q19" s="58">
        <v>11004</v>
      </c>
      <c r="R19" s="59">
        <v>111373</v>
      </c>
      <c r="S19" s="59">
        <v>1095579</v>
      </c>
      <c r="W19" s="4"/>
    </row>
    <row r="20" spans="1:23" x14ac:dyDescent="0.15">
      <c r="A20" s="32">
        <v>13</v>
      </c>
      <c r="B20" s="26">
        <v>33691</v>
      </c>
      <c r="C20" s="76">
        <v>8</v>
      </c>
      <c r="D20" s="76">
        <v>4</v>
      </c>
      <c r="E20" s="76">
        <v>9</v>
      </c>
      <c r="F20" s="76">
        <v>3</v>
      </c>
      <c r="G20" s="76">
        <v>3</v>
      </c>
      <c r="H20" s="76">
        <v>2</v>
      </c>
      <c r="I20" s="13">
        <v>2</v>
      </c>
      <c r="J20" s="33">
        <v>29094652.5</v>
      </c>
      <c r="K20" s="77">
        <v>1</v>
      </c>
      <c r="L20" s="34">
        <v>2077777</v>
      </c>
      <c r="M20" s="18">
        <v>1353.1</v>
      </c>
      <c r="N20" s="56">
        <v>8</v>
      </c>
      <c r="O20" s="57">
        <v>99</v>
      </c>
      <c r="P20" s="57">
        <v>1078</v>
      </c>
      <c r="Q20" s="58">
        <v>10258</v>
      </c>
      <c r="R20" s="59">
        <v>103543</v>
      </c>
      <c r="S20" s="59">
        <v>1038857</v>
      </c>
      <c r="W20" s="4"/>
    </row>
    <row r="21" spans="1:23" x14ac:dyDescent="0.15">
      <c r="A21" s="32">
        <v>14</v>
      </c>
      <c r="B21" s="26">
        <v>33698</v>
      </c>
      <c r="C21" s="76">
        <v>4</v>
      </c>
      <c r="D21" s="76">
        <v>9</v>
      </c>
      <c r="E21" s="76">
        <v>2</v>
      </c>
      <c r="F21" s="76">
        <v>3</v>
      </c>
      <c r="G21" s="76">
        <v>3</v>
      </c>
      <c r="H21" s="76">
        <v>8</v>
      </c>
      <c r="I21" s="13">
        <v>1</v>
      </c>
      <c r="J21" s="33">
        <v>26662527.5</v>
      </c>
      <c r="K21" s="77">
        <v>1</v>
      </c>
      <c r="L21" s="34">
        <v>1877777</v>
      </c>
      <c r="M21" s="18">
        <v>97951.8</v>
      </c>
      <c r="N21" s="56">
        <v>6</v>
      </c>
      <c r="O21" s="57">
        <v>89</v>
      </c>
      <c r="P21" s="57">
        <v>896</v>
      </c>
      <c r="Q21" s="58">
        <v>9230</v>
      </c>
      <c r="R21" s="59">
        <v>93422</v>
      </c>
      <c r="S21" s="59">
        <v>938930</v>
      </c>
      <c r="W21" s="4"/>
    </row>
    <row r="22" spans="1:23" x14ac:dyDescent="0.15">
      <c r="A22" s="32">
        <v>15</v>
      </c>
      <c r="B22" s="26">
        <v>33705</v>
      </c>
      <c r="C22" s="76">
        <v>1</v>
      </c>
      <c r="D22" s="76">
        <v>8</v>
      </c>
      <c r="E22" s="76">
        <v>1</v>
      </c>
      <c r="F22" s="76">
        <v>0</v>
      </c>
      <c r="G22" s="76">
        <v>6</v>
      </c>
      <c r="H22" s="76">
        <v>1</v>
      </c>
      <c r="I22" s="13">
        <v>6</v>
      </c>
      <c r="J22" s="33">
        <v>24346987.5</v>
      </c>
      <c r="K22" s="77">
        <v>1</v>
      </c>
      <c r="L22" s="34">
        <v>1777777</v>
      </c>
      <c r="M22" s="18">
        <v>51245.599999999999</v>
      </c>
      <c r="N22" s="56">
        <v>7</v>
      </c>
      <c r="O22" s="57">
        <v>96</v>
      </c>
      <c r="P22" s="57">
        <v>861</v>
      </c>
      <c r="Q22" s="58">
        <v>9139</v>
      </c>
      <c r="R22" s="59">
        <v>88989</v>
      </c>
      <c r="S22" s="59">
        <v>891026</v>
      </c>
      <c r="W22" s="4"/>
    </row>
    <row r="23" spans="1:23" x14ac:dyDescent="0.15">
      <c r="A23" s="32">
        <v>16</v>
      </c>
      <c r="B23" s="26">
        <v>33712</v>
      </c>
      <c r="C23" s="76">
        <v>0</v>
      </c>
      <c r="D23" s="76">
        <v>3</v>
      </c>
      <c r="E23" s="76">
        <v>3</v>
      </c>
      <c r="F23" s="76">
        <v>8</v>
      </c>
      <c r="G23" s="76">
        <v>6</v>
      </c>
      <c r="H23" s="76">
        <v>8</v>
      </c>
      <c r="I23" s="13">
        <v>6</v>
      </c>
      <c r="J23" s="33">
        <v>23386825</v>
      </c>
      <c r="K23" s="159" t="s">
        <v>23</v>
      </c>
      <c r="L23" s="34"/>
      <c r="M23" s="18">
        <v>1714048.9</v>
      </c>
      <c r="N23" s="56">
        <v>8</v>
      </c>
      <c r="O23" s="57">
        <v>73</v>
      </c>
      <c r="P23" s="57">
        <v>797</v>
      </c>
      <c r="Q23" s="58">
        <v>8196</v>
      </c>
      <c r="R23" s="59">
        <v>82801</v>
      </c>
      <c r="S23" s="59">
        <v>821163</v>
      </c>
      <c r="W23" s="4"/>
    </row>
    <row r="24" spans="1:23" x14ac:dyDescent="0.15">
      <c r="A24" s="32">
        <v>17</v>
      </c>
      <c r="B24" s="26">
        <v>33719</v>
      </c>
      <c r="C24" s="76">
        <v>0</v>
      </c>
      <c r="D24" s="76">
        <v>5</v>
      </c>
      <c r="E24" s="76">
        <v>5</v>
      </c>
      <c r="F24" s="76">
        <v>1</v>
      </c>
      <c r="G24" s="76">
        <v>3</v>
      </c>
      <c r="H24" s="76">
        <v>8</v>
      </c>
      <c r="I24" s="13">
        <v>1</v>
      </c>
      <c r="J24" s="33">
        <v>22992017.5</v>
      </c>
      <c r="K24" s="77">
        <v>2</v>
      </c>
      <c r="L24" s="34">
        <v>1577777</v>
      </c>
      <c r="M24" s="18">
        <v>193227.3</v>
      </c>
      <c r="N24" s="56">
        <v>9</v>
      </c>
      <c r="O24" s="57">
        <v>85</v>
      </c>
      <c r="P24" s="57">
        <v>776</v>
      </c>
      <c r="Q24" s="58">
        <v>8035</v>
      </c>
      <c r="R24" s="59">
        <v>80062</v>
      </c>
      <c r="S24" s="59">
        <v>810042</v>
      </c>
      <c r="W24" s="4"/>
    </row>
    <row r="25" spans="1:23" x14ac:dyDescent="0.15">
      <c r="A25" s="32">
        <v>18</v>
      </c>
      <c r="B25" s="26">
        <v>33726</v>
      </c>
      <c r="C25" s="76">
        <v>2</v>
      </c>
      <c r="D25" s="76">
        <v>8</v>
      </c>
      <c r="E25" s="76">
        <v>7</v>
      </c>
      <c r="F25" s="76">
        <v>7</v>
      </c>
      <c r="G25" s="76">
        <v>1</v>
      </c>
      <c r="H25" s="76">
        <v>7</v>
      </c>
      <c r="I25" s="13">
        <v>8</v>
      </c>
      <c r="J25" s="33">
        <v>22146297.5</v>
      </c>
      <c r="K25" s="159" t="s">
        <v>23</v>
      </c>
      <c r="L25" s="34"/>
      <c r="M25" s="18">
        <v>1767829.1</v>
      </c>
      <c r="N25" s="56">
        <v>10</v>
      </c>
      <c r="O25" s="57">
        <v>96</v>
      </c>
      <c r="P25" s="57">
        <v>877</v>
      </c>
      <c r="Q25" s="58">
        <v>8115</v>
      </c>
      <c r="R25" s="59">
        <v>81951</v>
      </c>
      <c r="S25" s="59">
        <v>814574</v>
      </c>
      <c r="W25" s="4"/>
    </row>
    <row r="26" spans="1:23" x14ac:dyDescent="0.15">
      <c r="A26" s="32">
        <v>19</v>
      </c>
      <c r="B26" s="26">
        <v>33733</v>
      </c>
      <c r="C26" s="76">
        <v>0</v>
      </c>
      <c r="D26" s="76">
        <v>2</v>
      </c>
      <c r="E26" s="76">
        <v>5</v>
      </c>
      <c r="F26" s="76">
        <v>0</v>
      </c>
      <c r="G26" s="76">
        <v>8</v>
      </c>
      <c r="H26" s="76">
        <v>1</v>
      </c>
      <c r="I26" s="13">
        <v>8</v>
      </c>
      <c r="J26" s="33">
        <v>26594220</v>
      </c>
      <c r="K26" s="77">
        <v>1</v>
      </c>
      <c r="L26" s="34">
        <v>3577777</v>
      </c>
      <c r="M26" s="18">
        <v>80901.100000000006</v>
      </c>
      <c r="N26" s="56">
        <v>5</v>
      </c>
      <c r="O26" s="57">
        <v>91</v>
      </c>
      <c r="P26" s="57">
        <v>922</v>
      </c>
      <c r="Q26" s="58">
        <v>9233</v>
      </c>
      <c r="R26" s="59">
        <v>95199</v>
      </c>
      <c r="S26" s="59">
        <v>944751</v>
      </c>
      <c r="W26" s="4"/>
    </row>
    <row r="27" spans="1:23" x14ac:dyDescent="0.15">
      <c r="A27" s="32">
        <v>20</v>
      </c>
      <c r="B27" s="26">
        <v>33740</v>
      </c>
      <c r="C27" s="76">
        <v>6</v>
      </c>
      <c r="D27" s="76">
        <v>7</v>
      </c>
      <c r="E27" s="76">
        <v>5</v>
      </c>
      <c r="F27" s="76">
        <v>5</v>
      </c>
      <c r="G27" s="76">
        <v>8</v>
      </c>
      <c r="H27" s="76">
        <v>0</v>
      </c>
      <c r="I27" s="13">
        <v>6</v>
      </c>
      <c r="J27" s="33">
        <v>22805457.5</v>
      </c>
      <c r="K27" s="159" t="s">
        <v>23</v>
      </c>
      <c r="L27" s="34"/>
      <c r="M27" s="18">
        <v>1702369.1</v>
      </c>
      <c r="N27" s="56">
        <v>9</v>
      </c>
      <c r="O27" s="57">
        <v>90</v>
      </c>
      <c r="P27" s="57">
        <v>831</v>
      </c>
      <c r="Q27" s="58">
        <v>7965</v>
      </c>
      <c r="R27" s="59">
        <v>80370</v>
      </c>
      <c r="S27" s="59">
        <v>843213</v>
      </c>
      <c r="W27" s="4"/>
    </row>
    <row r="28" spans="1:23" x14ac:dyDescent="0.15">
      <c r="A28" s="32">
        <v>21</v>
      </c>
      <c r="B28" s="26">
        <v>33747</v>
      </c>
      <c r="C28" s="76">
        <v>4</v>
      </c>
      <c r="D28" s="76">
        <v>4</v>
      </c>
      <c r="E28" s="76">
        <v>1</v>
      </c>
      <c r="F28" s="76">
        <v>3</v>
      </c>
      <c r="G28" s="76">
        <v>0</v>
      </c>
      <c r="H28" s="76">
        <v>2</v>
      </c>
      <c r="I28" s="13">
        <v>9</v>
      </c>
      <c r="J28" s="33">
        <v>21879950</v>
      </c>
      <c r="K28" s="77">
        <v>3</v>
      </c>
      <c r="L28" s="34">
        <v>1077777</v>
      </c>
      <c r="M28" s="18">
        <v>24702.5</v>
      </c>
      <c r="N28" s="56">
        <v>6</v>
      </c>
      <c r="O28" s="57">
        <v>76</v>
      </c>
      <c r="P28" s="57">
        <v>806</v>
      </c>
      <c r="Q28" s="58">
        <v>7718</v>
      </c>
      <c r="R28" s="59">
        <v>80872</v>
      </c>
      <c r="S28" s="59">
        <v>797401</v>
      </c>
      <c r="W28" s="4"/>
    </row>
    <row r="29" spans="1:23" x14ac:dyDescent="0.15">
      <c r="A29" s="32">
        <v>22</v>
      </c>
      <c r="B29" s="26">
        <v>33754</v>
      </c>
      <c r="C29" s="76">
        <v>0</v>
      </c>
      <c r="D29" s="76">
        <v>1</v>
      </c>
      <c r="E29" s="76">
        <v>8</v>
      </c>
      <c r="F29" s="76">
        <v>9</v>
      </c>
      <c r="G29" s="76">
        <v>7</v>
      </c>
      <c r="H29" s="76">
        <v>0</v>
      </c>
      <c r="I29" s="13">
        <v>9</v>
      </c>
      <c r="J29" s="33">
        <v>21284745</v>
      </c>
      <c r="K29" s="77">
        <v>1</v>
      </c>
      <c r="L29" s="34">
        <v>1477777</v>
      </c>
      <c r="M29" s="18">
        <v>60270.9</v>
      </c>
      <c r="N29" s="56">
        <v>8</v>
      </c>
      <c r="O29" s="57">
        <v>73</v>
      </c>
      <c r="P29" s="57">
        <v>717</v>
      </c>
      <c r="Q29" s="58">
        <v>7363</v>
      </c>
      <c r="R29" s="59">
        <v>71626</v>
      </c>
      <c r="S29" s="59">
        <v>750381</v>
      </c>
      <c r="W29" s="4"/>
    </row>
    <row r="30" spans="1:23" x14ac:dyDescent="0.15">
      <c r="A30" s="32">
        <v>23</v>
      </c>
      <c r="B30" s="26">
        <v>33761</v>
      </c>
      <c r="C30" s="76">
        <v>4</v>
      </c>
      <c r="D30" s="76">
        <v>0</v>
      </c>
      <c r="E30" s="76">
        <v>3</v>
      </c>
      <c r="F30" s="76">
        <v>4</v>
      </c>
      <c r="G30" s="76">
        <v>8</v>
      </c>
      <c r="H30" s="76">
        <v>3</v>
      </c>
      <c r="I30" s="13">
        <v>0</v>
      </c>
      <c r="J30" s="33">
        <v>22278325</v>
      </c>
      <c r="K30" s="77">
        <v>1</v>
      </c>
      <c r="L30" s="34">
        <v>1577777</v>
      </c>
      <c r="M30" s="18">
        <v>66482.8</v>
      </c>
      <c r="N30" s="56">
        <v>10</v>
      </c>
      <c r="O30" s="57">
        <v>72</v>
      </c>
      <c r="P30" s="57">
        <v>754</v>
      </c>
      <c r="Q30" s="58">
        <v>7569</v>
      </c>
      <c r="R30" s="59">
        <v>75580</v>
      </c>
      <c r="S30" s="59">
        <v>756953</v>
      </c>
      <c r="W30" s="4"/>
    </row>
    <row r="31" spans="1:23" x14ac:dyDescent="0.15">
      <c r="A31" s="32">
        <v>24</v>
      </c>
      <c r="B31" s="26">
        <v>33768</v>
      </c>
      <c r="C31" s="76">
        <v>5</v>
      </c>
      <c r="D31" s="76">
        <v>1</v>
      </c>
      <c r="E31" s="76">
        <v>9</v>
      </c>
      <c r="F31" s="76">
        <v>7</v>
      </c>
      <c r="G31" s="76">
        <v>3</v>
      </c>
      <c r="H31" s="76">
        <v>7</v>
      </c>
      <c r="I31" s="13">
        <v>8</v>
      </c>
      <c r="J31" s="33">
        <v>21495152.5</v>
      </c>
      <c r="K31" s="159" t="s">
        <v>23</v>
      </c>
      <c r="L31" s="34"/>
      <c r="M31" s="18">
        <v>1594788.1</v>
      </c>
      <c r="N31" s="56">
        <v>8</v>
      </c>
      <c r="O31" s="57">
        <v>67</v>
      </c>
      <c r="P31" s="57">
        <v>767</v>
      </c>
      <c r="Q31" s="58">
        <v>7790</v>
      </c>
      <c r="R31" s="59">
        <v>79738</v>
      </c>
      <c r="S31" s="59">
        <v>794614</v>
      </c>
      <c r="W31" s="4"/>
    </row>
    <row r="32" spans="1:23" x14ac:dyDescent="0.15">
      <c r="A32" s="32">
        <v>25</v>
      </c>
      <c r="B32" s="26">
        <v>33775</v>
      </c>
      <c r="C32" s="76">
        <v>1</v>
      </c>
      <c r="D32" s="76">
        <v>4</v>
      </c>
      <c r="E32" s="76">
        <v>7</v>
      </c>
      <c r="F32" s="76">
        <v>9</v>
      </c>
      <c r="G32" s="76">
        <v>8</v>
      </c>
      <c r="H32" s="76">
        <v>1</v>
      </c>
      <c r="I32" s="13">
        <v>5</v>
      </c>
      <c r="J32" s="33">
        <v>21066662.5</v>
      </c>
      <c r="K32" s="77">
        <v>2</v>
      </c>
      <c r="L32" s="34">
        <v>1477777</v>
      </c>
      <c r="M32" s="18">
        <v>137073.79999999999</v>
      </c>
      <c r="N32" s="56">
        <v>6</v>
      </c>
      <c r="O32" s="57">
        <v>57</v>
      </c>
      <c r="P32" s="57">
        <v>771</v>
      </c>
      <c r="Q32" s="58">
        <v>7759</v>
      </c>
      <c r="R32" s="59">
        <v>76623</v>
      </c>
      <c r="S32" s="59">
        <v>767852</v>
      </c>
      <c r="W32" s="4"/>
    </row>
    <row r="33" spans="1:23" x14ac:dyDescent="0.15">
      <c r="A33" s="32">
        <v>26</v>
      </c>
      <c r="B33" s="26">
        <v>33782</v>
      </c>
      <c r="C33" s="76">
        <v>7</v>
      </c>
      <c r="D33" s="76">
        <v>7</v>
      </c>
      <c r="E33" s="76">
        <v>6</v>
      </c>
      <c r="F33" s="76">
        <v>6</v>
      </c>
      <c r="G33" s="76">
        <v>3</v>
      </c>
      <c r="H33" s="76">
        <v>8</v>
      </c>
      <c r="I33" s="13">
        <v>2</v>
      </c>
      <c r="J33" s="33">
        <v>21819217.5</v>
      </c>
      <c r="K33" s="159" t="s">
        <v>23</v>
      </c>
      <c r="L33" s="34"/>
      <c r="M33" s="18">
        <v>1688420.2</v>
      </c>
      <c r="N33" s="56">
        <v>9</v>
      </c>
      <c r="O33" s="57">
        <v>78</v>
      </c>
      <c r="P33" s="57">
        <v>784</v>
      </c>
      <c r="Q33" s="58">
        <v>7903</v>
      </c>
      <c r="R33" s="59">
        <v>78013</v>
      </c>
      <c r="S33" s="59">
        <v>779633</v>
      </c>
      <c r="W33" s="4"/>
    </row>
    <row r="34" spans="1:23" x14ac:dyDescent="0.15">
      <c r="A34" s="32">
        <v>27</v>
      </c>
      <c r="B34" s="26">
        <v>33789</v>
      </c>
      <c r="C34" s="76">
        <v>4</v>
      </c>
      <c r="D34" s="76">
        <v>5</v>
      </c>
      <c r="E34" s="76">
        <v>2</v>
      </c>
      <c r="F34" s="76">
        <v>4</v>
      </c>
      <c r="G34" s="76">
        <v>0</v>
      </c>
      <c r="H34" s="76">
        <v>2</v>
      </c>
      <c r="I34" s="13">
        <v>8</v>
      </c>
      <c r="J34" s="33">
        <v>21357910</v>
      </c>
      <c r="K34" s="77">
        <v>3</v>
      </c>
      <c r="L34" s="34">
        <v>977777</v>
      </c>
      <c r="M34" s="18">
        <v>273636.59999999998</v>
      </c>
      <c r="N34" s="56">
        <v>10</v>
      </c>
      <c r="O34" s="57">
        <v>85</v>
      </c>
      <c r="P34" s="57">
        <v>796</v>
      </c>
      <c r="Q34" s="58">
        <v>7801</v>
      </c>
      <c r="R34" s="59">
        <v>80090</v>
      </c>
      <c r="S34" s="59">
        <v>787833</v>
      </c>
      <c r="W34" s="4"/>
    </row>
    <row r="35" spans="1:23" x14ac:dyDescent="0.15">
      <c r="A35" s="32">
        <v>28</v>
      </c>
      <c r="B35" s="26">
        <v>33796</v>
      </c>
      <c r="C35" s="76">
        <v>9</v>
      </c>
      <c r="D35" s="76">
        <v>4</v>
      </c>
      <c r="E35" s="76">
        <v>5</v>
      </c>
      <c r="F35" s="76">
        <v>9</v>
      </c>
      <c r="G35" s="76">
        <v>4</v>
      </c>
      <c r="H35" s="76">
        <v>2</v>
      </c>
      <c r="I35" s="13">
        <v>2</v>
      </c>
      <c r="J35" s="33">
        <v>21972057.5</v>
      </c>
      <c r="K35" s="77">
        <v>1</v>
      </c>
      <c r="L35" s="34">
        <v>1777777</v>
      </c>
      <c r="M35" s="18">
        <v>58072.9</v>
      </c>
      <c r="N35" s="56">
        <v>8</v>
      </c>
      <c r="O35" s="57">
        <v>97</v>
      </c>
      <c r="P35" s="57">
        <v>805</v>
      </c>
      <c r="Q35" s="58">
        <v>7970</v>
      </c>
      <c r="R35" s="59">
        <v>78202</v>
      </c>
      <c r="S35" s="59">
        <v>779812</v>
      </c>
      <c r="W35" s="4"/>
    </row>
    <row r="36" spans="1:23" x14ac:dyDescent="0.15">
      <c r="A36" s="32">
        <v>29</v>
      </c>
      <c r="B36" s="26">
        <v>33803</v>
      </c>
      <c r="C36" s="76">
        <v>1</v>
      </c>
      <c r="D36" s="76">
        <v>3</v>
      </c>
      <c r="E36" s="76">
        <v>0</v>
      </c>
      <c r="F36" s="76">
        <v>8</v>
      </c>
      <c r="G36" s="76">
        <v>0</v>
      </c>
      <c r="H36" s="76">
        <v>8</v>
      </c>
      <c r="I36" s="13">
        <v>2</v>
      </c>
      <c r="J36" s="33">
        <v>22303950</v>
      </c>
      <c r="K36" s="77">
        <v>1</v>
      </c>
      <c r="L36" s="34">
        <v>1577777</v>
      </c>
      <c r="M36" s="18">
        <v>66106.7</v>
      </c>
      <c r="N36" s="56">
        <v>8</v>
      </c>
      <c r="O36" s="57">
        <v>77</v>
      </c>
      <c r="P36" s="57">
        <v>764</v>
      </c>
      <c r="Q36" s="58">
        <v>7519</v>
      </c>
      <c r="R36" s="59">
        <v>77066</v>
      </c>
      <c r="S36" s="59">
        <v>766116</v>
      </c>
      <c r="W36" s="4"/>
    </row>
    <row r="37" spans="1:23" x14ac:dyDescent="0.15">
      <c r="A37" s="32">
        <v>30</v>
      </c>
      <c r="B37" s="26">
        <v>33810</v>
      </c>
      <c r="C37" s="76">
        <v>9</v>
      </c>
      <c r="D37" s="76">
        <v>5</v>
      </c>
      <c r="E37" s="76">
        <v>6</v>
      </c>
      <c r="F37" s="76">
        <v>2</v>
      </c>
      <c r="G37" s="76">
        <v>7</v>
      </c>
      <c r="H37" s="76">
        <v>2</v>
      </c>
      <c r="I37" s="13">
        <v>4</v>
      </c>
      <c r="J37" s="33">
        <v>22528532.5</v>
      </c>
      <c r="K37" s="77">
        <v>2</v>
      </c>
      <c r="L37" s="34">
        <v>777777</v>
      </c>
      <c r="M37" s="18">
        <v>112331.4</v>
      </c>
      <c r="N37" s="56">
        <v>12</v>
      </c>
      <c r="O37" s="57">
        <v>94</v>
      </c>
      <c r="P37" s="57">
        <v>876</v>
      </c>
      <c r="Q37" s="58">
        <v>8437</v>
      </c>
      <c r="R37" s="59">
        <v>82934</v>
      </c>
      <c r="S37" s="59">
        <v>821030</v>
      </c>
      <c r="W37" s="4"/>
    </row>
    <row r="38" spans="1:23" x14ac:dyDescent="0.15">
      <c r="A38" s="32">
        <v>31</v>
      </c>
      <c r="B38" s="26">
        <v>33817</v>
      </c>
      <c r="C38" s="76">
        <v>6</v>
      </c>
      <c r="D38" s="76">
        <v>9</v>
      </c>
      <c r="E38" s="76">
        <v>5</v>
      </c>
      <c r="F38" s="76">
        <v>8</v>
      </c>
      <c r="G38" s="76">
        <v>8</v>
      </c>
      <c r="H38" s="76">
        <v>3</v>
      </c>
      <c r="I38" s="13">
        <v>0</v>
      </c>
      <c r="J38" s="33">
        <v>21256530</v>
      </c>
      <c r="K38" s="77">
        <v>2</v>
      </c>
      <c r="L38" s="34">
        <v>777777</v>
      </c>
      <c r="M38" s="18">
        <v>68116.7</v>
      </c>
      <c r="N38" s="56">
        <v>11</v>
      </c>
      <c r="O38" s="57">
        <v>65</v>
      </c>
      <c r="P38" s="57">
        <v>715</v>
      </c>
      <c r="Q38" s="58">
        <v>7246</v>
      </c>
      <c r="R38" s="59">
        <v>72065</v>
      </c>
      <c r="S38" s="59">
        <v>718564</v>
      </c>
      <c r="W38" s="4"/>
    </row>
    <row r="39" spans="1:23" x14ac:dyDescent="0.15">
      <c r="A39" s="32">
        <v>32</v>
      </c>
      <c r="B39" s="26">
        <v>33824</v>
      </c>
      <c r="C39" s="76">
        <v>5</v>
      </c>
      <c r="D39" s="76">
        <v>3</v>
      </c>
      <c r="E39" s="76">
        <v>6</v>
      </c>
      <c r="F39" s="76">
        <v>5</v>
      </c>
      <c r="G39" s="76">
        <v>4</v>
      </c>
      <c r="H39" s="76">
        <v>7</v>
      </c>
      <c r="I39" s="13">
        <v>0</v>
      </c>
      <c r="J39" s="33">
        <v>21271360</v>
      </c>
      <c r="K39" s="159" t="s">
        <v>23</v>
      </c>
      <c r="L39" s="34"/>
      <c r="M39" s="18">
        <v>1580510.4</v>
      </c>
      <c r="N39" s="56">
        <v>3</v>
      </c>
      <c r="O39" s="57">
        <v>74</v>
      </c>
      <c r="P39" s="57">
        <v>718</v>
      </c>
      <c r="Q39" s="58">
        <v>6889</v>
      </c>
      <c r="R39" s="59">
        <v>70410</v>
      </c>
      <c r="S39" s="59">
        <v>700623</v>
      </c>
      <c r="W39" s="4"/>
    </row>
    <row r="40" spans="1:23" x14ac:dyDescent="0.15">
      <c r="A40" s="32">
        <v>33</v>
      </c>
      <c r="B40" s="26">
        <v>33831</v>
      </c>
      <c r="C40" s="76">
        <v>0</v>
      </c>
      <c r="D40" s="76">
        <v>6</v>
      </c>
      <c r="E40" s="76">
        <v>4</v>
      </c>
      <c r="F40" s="76">
        <v>0</v>
      </c>
      <c r="G40" s="76">
        <v>6</v>
      </c>
      <c r="H40" s="76">
        <v>0</v>
      </c>
      <c r="I40" s="13">
        <v>6</v>
      </c>
      <c r="J40" s="33">
        <v>21476017.5</v>
      </c>
      <c r="K40" s="77">
        <v>1</v>
      </c>
      <c r="L40" s="34">
        <v>3077777</v>
      </c>
      <c r="M40" s="18">
        <v>29678.2</v>
      </c>
      <c r="N40" s="56">
        <v>11</v>
      </c>
      <c r="O40" s="57">
        <v>70</v>
      </c>
      <c r="P40" s="57">
        <v>794</v>
      </c>
      <c r="Q40" s="58">
        <v>7738</v>
      </c>
      <c r="R40" s="59">
        <v>75206</v>
      </c>
      <c r="S40" s="59">
        <v>787451</v>
      </c>
      <c r="W40" s="4"/>
    </row>
    <row r="41" spans="1:23" x14ac:dyDescent="0.15">
      <c r="A41" s="32">
        <v>34</v>
      </c>
      <c r="B41" s="26">
        <v>33838</v>
      </c>
      <c r="C41" s="76">
        <v>9</v>
      </c>
      <c r="D41" s="76">
        <v>0</v>
      </c>
      <c r="E41" s="76">
        <v>0</v>
      </c>
      <c r="F41" s="76">
        <v>3</v>
      </c>
      <c r="G41" s="76">
        <v>3</v>
      </c>
      <c r="H41" s="76">
        <v>6</v>
      </c>
      <c r="I41" s="13">
        <v>7</v>
      </c>
      <c r="J41" s="33">
        <v>21420217.5</v>
      </c>
      <c r="K41" s="77">
        <v>1</v>
      </c>
      <c r="L41" s="34">
        <v>1477777</v>
      </c>
      <c r="M41" s="18">
        <v>74878.7</v>
      </c>
      <c r="N41" s="56">
        <v>6</v>
      </c>
      <c r="O41" s="57">
        <v>65</v>
      </c>
      <c r="P41" s="57">
        <v>773</v>
      </c>
      <c r="Q41" s="58">
        <v>7786</v>
      </c>
      <c r="R41" s="59">
        <v>79688</v>
      </c>
      <c r="S41" s="59">
        <v>790526</v>
      </c>
      <c r="W41" s="4"/>
    </row>
    <row r="42" spans="1:23" x14ac:dyDescent="0.15">
      <c r="A42" s="32">
        <v>35</v>
      </c>
      <c r="B42" s="26">
        <v>33845</v>
      </c>
      <c r="C42" s="76">
        <v>6</v>
      </c>
      <c r="D42" s="76">
        <v>1</v>
      </c>
      <c r="E42" s="76">
        <v>7</v>
      </c>
      <c r="F42" s="76">
        <v>9</v>
      </c>
      <c r="G42" s="76">
        <v>2</v>
      </c>
      <c r="H42" s="76">
        <v>2</v>
      </c>
      <c r="I42" s="13">
        <v>5</v>
      </c>
      <c r="J42" s="33">
        <v>21642275</v>
      </c>
      <c r="K42" s="77">
        <v>1</v>
      </c>
      <c r="L42" s="34">
        <v>1577777</v>
      </c>
      <c r="M42" s="18">
        <v>35867.5</v>
      </c>
      <c r="N42" s="56">
        <v>16</v>
      </c>
      <c r="O42" s="57">
        <v>76</v>
      </c>
      <c r="P42" s="57">
        <v>782</v>
      </c>
      <c r="Q42" s="58">
        <v>7953</v>
      </c>
      <c r="R42" s="59">
        <v>79873</v>
      </c>
      <c r="S42" s="59">
        <v>788250</v>
      </c>
      <c r="W42" s="4"/>
    </row>
    <row r="43" spans="1:23" x14ac:dyDescent="0.15">
      <c r="A43" s="32">
        <v>36</v>
      </c>
      <c r="B43" s="26">
        <v>33852</v>
      </c>
      <c r="C43" s="76">
        <v>2</v>
      </c>
      <c r="D43" s="76">
        <v>3</v>
      </c>
      <c r="E43" s="76">
        <v>1</v>
      </c>
      <c r="F43" s="76">
        <v>7</v>
      </c>
      <c r="G43" s="76">
        <v>6</v>
      </c>
      <c r="H43" s="76">
        <v>0</v>
      </c>
      <c r="I43" s="13">
        <v>9</v>
      </c>
      <c r="J43" s="33">
        <v>28369760</v>
      </c>
      <c r="K43" s="77">
        <v>1</v>
      </c>
      <c r="L43" s="34">
        <v>1977777</v>
      </c>
      <c r="M43" s="18">
        <v>75180.399999999994</v>
      </c>
      <c r="N43" s="56">
        <v>13</v>
      </c>
      <c r="O43" s="57">
        <v>100</v>
      </c>
      <c r="P43" s="57">
        <v>928</v>
      </c>
      <c r="Q43" s="58">
        <v>10063</v>
      </c>
      <c r="R43" s="59">
        <v>100338</v>
      </c>
      <c r="S43" s="59">
        <v>1044030</v>
      </c>
      <c r="W43" s="4"/>
    </row>
    <row r="44" spans="1:23" x14ac:dyDescent="0.15">
      <c r="A44" s="32">
        <v>37</v>
      </c>
      <c r="B44" s="26">
        <v>33859</v>
      </c>
      <c r="C44" s="76">
        <v>2</v>
      </c>
      <c r="D44" s="76">
        <v>8</v>
      </c>
      <c r="E44" s="76">
        <v>1</v>
      </c>
      <c r="F44" s="76">
        <v>9</v>
      </c>
      <c r="G44" s="76">
        <v>4</v>
      </c>
      <c r="H44" s="76">
        <v>2</v>
      </c>
      <c r="I44" s="13">
        <v>6</v>
      </c>
      <c r="J44" s="33">
        <v>24850110</v>
      </c>
      <c r="K44" s="77">
        <v>2</v>
      </c>
      <c r="L44" s="34">
        <v>877777</v>
      </c>
      <c r="M44" s="18">
        <v>86469.2</v>
      </c>
      <c r="N44" s="56">
        <v>11</v>
      </c>
      <c r="O44" s="57">
        <v>91</v>
      </c>
      <c r="P44" s="57">
        <v>876</v>
      </c>
      <c r="Q44" s="58">
        <v>9139</v>
      </c>
      <c r="R44" s="59">
        <v>90290</v>
      </c>
      <c r="S44" s="59">
        <v>901872</v>
      </c>
      <c r="W44" s="4"/>
    </row>
    <row r="45" spans="1:23" x14ac:dyDescent="0.15">
      <c r="A45" s="32">
        <v>38</v>
      </c>
      <c r="B45" s="26">
        <v>33866</v>
      </c>
      <c r="C45" s="76">
        <v>1</v>
      </c>
      <c r="D45" s="76">
        <v>9</v>
      </c>
      <c r="E45" s="76">
        <v>5</v>
      </c>
      <c r="F45" s="76">
        <v>1</v>
      </c>
      <c r="G45" s="76">
        <v>9</v>
      </c>
      <c r="H45" s="76">
        <v>5</v>
      </c>
      <c r="I45" s="13">
        <v>1</v>
      </c>
      <c r="J45" s="33">
        <v>25481767.5</v>
      </c>
      <c r="K45" s="159" t="s">
        <v>23</v>
      </c>
      <c r="L45" s="34"/>
      <c r="M45" s="18">
        <v>1898222.9</v>
      </c>
      <c r="N45" s="56">
        <v>11</v>
      </c>
      <c r="O45" s="57">
        <v>84</v>
      </c>
      <c r="P45" s="57">
        <v>944</v>
      </c>
      <c r="Q45" s="58">
        <v>9222</v>
      </c>
      <c r="R45" s="59">
        <v>90855</v>
      </c>
      <c r="S45" s="59">
        <v>896120</v>
      </c>
      <c r="W45" s="4"/>
    </row>
    <row r="46" spans="1:23" x14ac:dyDescent="0.15">
      <c r="A46" s="32">
        <v>39</v>
      </c>
      <c r="B46" s="26">
        <v>33873</v>
      </c>
      <c r="C46" s="76">
        <v>2</v>
      </c>
      <c r="D46" s="76">
        <v>6</v>
      </c>
      <c r="E46" s="76">
        <v>2</v>
      </c>
      <c r="F46" s="76">
        <v>1</v>
      </c>
      <c r="G46" s="76">
        <v>7</v>
      </c>
      <c r="H46" s="76">
        <v>0</v>
      </c>
      <c r="I46" s="13">
        <v>7</v>
      </c>
      <c r="J46" s="33">
        <v>22960507.5</v>
      </c>
      <c r="K46" s="77">
        <v>1</v>
      </c>
      <c r="L46" s="34">
        <v>3477777</v>
      </c>
      <c r="M46" s="18">
        <v>52938</v>
      </c>
      <c r="N46" s="56">
        <v>8</v>
      </c>
      <c r="O46" s="57">
        <v>79</v>
      </c>
      <c r="P46" s="57">
        <v>849</v>
      </c>
      <c r="Q46" s="58">
        <v>8253</v>
      </c>
      <c r="R46" s="59">
        <v>81479</v>
      </c>
      <c r="S46" s="59">
        <v>849963</v>
      </c>
      <c r="W46" s="4"/>
    </row>
    <row r="47" spans="1:23" x14ac:dyDescent="0.15">
      <c r="A47" s="32">
        <v>40</v>
      </c>
      <c r="B47" s="26">
        <v>33880</v>
      </c>
      <c r="C47" s="76">
        <v>2</v>
      </c>
      <c r="D47" s="76">
        <v>8</v>
      </c>
      <c r="E47" s="76">
        <v>1</v>
      </c>
      <c r="F47" s="76">
        <v>3</v>
      </c>
      <c r="G47" s="76">
        <v>7</v>
      </c>
      <c r="H47" s="76">
        <v>8</v>
      </c>
      <c r="I47" s="13">
        <v>7</v>
      </c>
      <c r="J47" s="33">
        <v>24590645</v>
      </c>
      <c r="K47" s="159" t="s">
        <v>23</v>
      </c>
      <c r="L47" s="34"/>
      <c r="M47" s="18">
        <v>1801332.9</v>
      </c>
      <c r="N47" s="56">
        <v>8</v>
      </c>
      <c r="O47" s="57">
        <v>87</v>
      </c>
      <c r="P47" s="57">
        <v>873</v>
      </c>
      <c r="Q47" s="58">
        <v>8905</v>
      </c>
      <c r="R47" s="59">
        <v>87895</v>
      </c>
      <c r="S47" s="59">
        <v>877456</v>
      </c>
      <c r="W47" s="4"/>
    </row>
    <row r="48" spans="1:23" x14ac:dyDescent="0.15">
      <c r="A48" s="32">
        <v>41</v>
      </c>
      <c r="B48" s="26">
        <v>33887</v>
      </c>
      <c r="C48" s="76">
        <v>4</v>
      </c>
      <c r="D48" s="76">
        <v>1</v>
      </c>
      <c r="E48" s="76">
        <v>9</v>
      </c>
      <c r="F48" s="76">
        <v>8</v>
      </c>
      <c r="G48" s="76">
        <v>9</v>
      </c>
      <c r="H48" s="76">
        <v>1</v>
      </c>
      <c r="I48" s="13">
        <v>0</v>
      </c>
      <c r="J48" s="33">
        <v>24469590</v>
      </c>
      <c r="K48" s="77">
        <v>1</v>
      </c>
      <c r="L48" s="34">
        <v>3477777</v>
      </c>
      <c r="M48" s="18">
        <v>63343.7</v>
      </c>
      <c r="N48" s="56">
        <v>7</v>
      </c>
      <c r="O48" s="57">
        <v>83</v>
      </c>
      <c r="P48" s="57">
        <v>843</v>
      </c>
      <c r="Q48" s="58">
        <v>8396</v>
      </c>
      <c r="R48" s="59">
        <v>84051</v>
      </c>
      <c r="S48" s="59">
        <v>832641</v>
      </c>
      <c r="W48" s="4"/>
    </row>
    <row r="49" spans="1:23" x14ac:dyDescent="0.15">
      <c r="A49" s="32">
        <v>42</v>
      </c>
      <c r="B49" s="26">
        <v>33894</v>
      </c>
      <c r="C49" s="76">
        <v>6</v>
      </c>
      <c r="D49" s="76">
        <v>8</v>
      </c>
      <c r="E49" s="76">
        <v>3</v>
      </c>
      <c r="F49" s="76">
        <v>9</v>
      </c>
      <c r="G49" s="76">
        <v>2</v>
      </c>
      <c r="H49" s="76">
        <v>7</v>
      </c>
      <c r="I49" s="13">
        <v>3</v>
      </c>
      <c r="J49" s="33">
        <v>24211427.5</v>
      </c>
      <c r="K49" s="77">
        <v>1</v>
      </c>
      <c r="L49" s="34">
        <v>1777777</v>
      </c>
      <c r="M49" s="18">
        <v>6999.2</v>
      </c>
      <c r="N49" s="56">
        <v>6</v>
      </c>
      <c r="O49" s="57">
        <v>93</v>
      </c>
      <c r="P49" s="57">
        <v>879</v>
      </c>
      <c r="Q49" s="58">
        <v>8928</v>
      </c>
      <c r="R49" s="59">
        <v>88531</v>
      </c>
      <c r="S49" s="59">
        <v>883178</v>
      </c>
      <c r="W49" s="4"/>
    </row>
    <row r="50" spans="1:23" x14ac:dyDescent="0.15">
      <c r="A50" s="32">
        <v>43</v>
      </c>
      <c r="B50" s="26">
        <v>33901</v>
      </c>
      <c r="C50" s="76">
        <v>4</v>
      </c>
      <c r="D50" s="76">
        <v>9</v>
      </c>
      <c r="E50" s="76">
        <v>6</v>
      </c>
      <c r="F50" s="76">
        <v>7</v>
      </c>
      <c r="G50" s="76">
        <v>3</v>
      </c>
      <c r="H50" s="76">
        <v>0</v>
      </c>
      <c r="I50" s="13">
        <v>6</v>
      </c>
      <c r="J50" s="33">
        <v>23186500</v>
      </c>
      <c r="K50" s="77">
        <v>1</v>
      </c>
      <c r="L50" s="34">
        <v>1577777</v>
      </c>
      <c r="M50" s="18">
        <v>77782.399999999994</v>
      </c>
      <c r="N50" s="56">
        <v>7</v>
      </c>
      <c r="O50" s="57">
        <v>86</v>
      </c>
      <c r="P50" s="57">
        <v>871</v>
      </c>
      <c r="Q50" s="58">
        <v>8233</v>
      </c>
      <c r="R50" s="59">
        <v>81235</v>
      </c>
      <c r="S50" s="59">
        <v>855489</v>
      </c>
    </row>
    <row r="51" spans="1:23" x14ac:dyDescent="0.15">
      <c r="A51" s="32">
        <v>44</v>
      </c>
      <c r="B51" s="26">
        <v>33908</v>
      </c>
      <c r="C51" s="76">
        <v>5</v>
      </c>
      <c r="D51" s="76">
        <v>5</v>
      </c>
      <c r="E51" s="76">
        <v>9</v>
      </c>
      <c r="F51" s="76">
        <v>4</v>
      </c>
      <c r="G51" s="76">
        <v>9</v>
      </c>
      <c r="H51" s="76">
        <v>5</v>
      </c>
      <c r="I51" s="13">
        <v>5</v>
      </c>
      <c r="J51" s="33">
        <v>23400157.5</v>
      </c>
      <c r="K51" s="159" t="s">
        <v>23</v>
      </c>
      <c r="L51" s="34"/>
      <c r="M51" s="18">
        <v>1741533.6</v>
      </c>
      <c r="N51" s="56">
        <v>7</v>
      </c>
      <c r="O51" s="57">
        <v>69</v>
      </c>
      <c r="P51" s="57">
        <v>823</v>
      </c>
      <c r="Q51" s="58">
        <v>8662</v>
      </c>
      <c r="R51" s="59">
        <v>85187</v>
      </c>
      <c r="S51" s="59">
        <v>848734</v>
      </c>
    </row>
    <row r="52" spans="1:23" x14ac:dyDescent="0.15">
      <c r="A52" s="32">
        <v>45</v>
      </c>
      <c r="B52" s="26">
        <v>33915</v>
      </c>
      <c r="C52" s="76">
        <v>6</v>
      </c>
      <c r="D52" s="76">
        <v>4</v>
      </c>
      <c r="E52" s="76">
        <v>9</v>
      </c>
      <c r="F52" s="76">
        <v>3</v>
      </c>
      <c r="G52" s="76">
        <v>0</v>
      </c>
      <c r="H52" s="76">
        <v>9</v>
      </c>
      <c r="I52" s="13">
        <v>4</v>
      </c>
      <c r="J52" s="33">
        <v>25165907.5</v>
      </c>
      <c r="K52" s="77">
        <v>2</v>
      </c>
      <c r="L52" s="34">
        <v>1677777</v>
      </c>
      <c r="M52" s="18">
        <v>175275.6</v>
      </c>
      <c r="N52" s="56">
        <v>12</v>
      </c>
      <c r="O52" s="57">
        <v>97</v>
      </c>
      <c r="P52" s="57">
        <v>873</v>
      </c>
      <c r="Q52" s="58">
        <v>8848</v>
      </c>
      <c r="R52" s="59">
        <v>91252</v>
      </c>
      <c r="S52" s="59">
        <v>908651</v>
      </c>
    </row>
    <row r="53" spans="1:23" x14ac:dyDescent="0.15">
      <c r="A53" s="32">
        <v>46</v>
      </c>
      <c r="B53" s="26">
        <v>33922</v>
      </c>
      <c r="C53" s="76">
        <v>0</v>
      </c>
      <c r="D53" s="76">
        <v>2</v>
      </c>
      <c r="E53" s="76">
        <v>2</v>
      </c>
      <c r="F53" s="76">
        <v>4</v>
      </c>
      <c r="G53" s="76">
        <v>4</v>
      </c>
      <c r="H53" s="76">
        <v>5</v>
      </c>
      <c r="I53" s="13">
        <v>0</v>
      </c>
      <c r="J53" s="33">
        <v>23730110</v>
      </c>
      <c r="K53" s="77">
        <v>2</v>
      </c>
      <c r="L53" s="34">
        <v>877777</v>
      </c>
      <c r="M53" s="18">
        <v>106932.4</v>
      </c>
      <c r="N53" s="56">
        <v>10</v>
      </c>
      <c r="O53" s="57">
        <v>64</v>
      </c>
      <c r="P53" s="57">
        <v>844</v>
      </c>
      <c r="Q53" s="58">
        <v>8143</v>
      </c>
      <c r="R53" s="59">
        <v>81797</v>
      </c>
      <c r="S53" s="59">
        <v>805120</v>
      </c>
    </row>
    <row r="54" spans="1:23" x14ac:dyDescent="0.15">
      <c r="A54" s="32">
        <v>47</v>
      </c>
      <c r="B54" s="26">
        <v>33929</v>
      </c>
      <c r="C54" s="76">
        <v>8</v>
      </c>
      <c r="D54" s="76">
        <v>7</v>
      </c>
      <c r="E54" s="76">
        <v>7</v>
      </c>
      <c r="F54" s="76">
        <v>0</v>
      </c>
      <c r="G54" s="76">
        <v>7</v>
      </c>
      <c r="H54" s="76">
        <v>2</v>
      </c>
      <c r="I54" s="13">
        <v>4</v>
      </c>
      <c r="J54" s="33">
        <v>23111090</v>
      </c>
      <c r="K54" s="77">
        <v>1</v>
      </c>
      <c r="L54" s="34">
        <v>1677777</v>
      </c>
      <c r="M54" s="18">
        <v>72353.899999999994</v>
      </c>
      <c r="N54" s="56">
        <v>5</v>
      </c>
      <c r="O54" s="57">
        <v>79</v>
      </c>
      <c r="P54" s="57">
        <v>837</v>
      </c>
      <c r="Q54" s="58">
        <v>8507</v>
      </c>
      <c r="R54" s="59">
        <v>84317</v>
      </c>
      <c r="S54" s="59">
        <v>831329</v>
      </c>
    </row>
    <row r="55" spans="1:23" x14ac:dyDescent="0.15">
      <c r="A55" s="32">
        <v>48</v>
      </c>
      <c r="B55" s="26">
        <v>33936</v>
      </c>
      <c r="C55" s="76">
        <v>0</v>
      </c>
      <c r="D55" s="76">
        <v>0</v>
      </c>
      <c r="E55" s="76">
        <v>1</v>
      </c>
      <c r="F55" s="76">
        <v>0</v>
      </c>
      <c r="G55" s="76">
        <v>6</v>
      </c>
      <c r="H55" s="76">
        <v>1</v>
      </c>
      <c r="I55" s="13">
        <v>0</v>
      </c>
      <c r="J55" s="33">
        <v>23436917.5</v>
      </c>
      <c r="K55" s="159" t="s">
        <v>23</v>
      </c>
      <c r="L55" s="34"/>
      <c r="M55" s="18">
        <v>1738718.7</v>
      </c>
      <c r="N55" s="56">
        <v>10</v>
      </c>
      <c r="O55" s="57">
        <v>72</v>
      </c>
      <c r="P55" s="57">
        <v>795</v>
      </c>
      <c r="Q55" s="58">
        <v>8094</v>
      </c>
      <c r="R55" s="59">
        <v>78868</v>
      </c>
      <c r="S55" s="59">
        <v>793260</v>
      </c>
    </row>
    <row r="56" spans="1:23" x14ac:dyDescent="0.15">
      <c r="A56" s="32">
        <v>49</v>
      </c>
      <c r="B56" s="26">
        <v>33943</v>
      </c>
      <c r="C56" s="76">
        <v>9</v>
      </c>
      <c r="D56" s="76">
        <v>1</v>
      </c>
      <c r="E56" s="76">
        <v>4</v>
      </c>
      <c r="F56" s="76">
        <v>9</v>
      </c>
      <c r="G56" s="76">
        <v>7</v>
      </c>
      <c r="H56" s="76">
        <v>5</v>
      </c>
      <c r="I56" s="13">
        <v>6</v>
      </c>
      <c r="J56" s="33">
        <v>31042442.5</v>
      </c>
      <c r="K56" s="77">
        <v>1</v>
      </c>
      <c r="L56" s="34">
        <v>3877777</v>
      </c>
      <c r="M56" s="18">
        <v>68059.399999999994</v>
      </c>
      <c r="N56" s="56">
        <v>15</v>
      </c>
      <c r="O56" s="57">
        <v>109</v>
      </c>
      <c r="P56" s="57">
        <v>1092</v>
      </c>
      <c r="Q56" s="58">
        <v>11647</v>
      </c>
      <c r="R56" s="59">
        <v>113822</v>
      </c>
      <c r="S56" s="59">
        <v>1131366</v>
      </c>
    </row>
    <row r="57" spans="1:23" x14ac:dyDescent="0.15">
      <c r="A57" s="32">
        <v>50</v>
      </c>
      <c r="B57" s="26">
        <v>33950</v>
      </c>
      <c r="C57" s="76">
        <v>9</v>
      </c>
      <c r="D57" s="76">
        <v>8</v>
      </c>
      <c r="E57" s="76">
        <v>8</v>
      </c>
      <c r="F57" s="76">
        <v>1</v>
      </c>
      <c r="G57" s="76">
        <v>7</v>
      </c>
      <c r="H57" s="76">
        <v>9</v>
      </c>
      <c r="I57" s="13">
        <v>1</v>
      </c>
      <c r="J57" s="33">
        <v>24559637.5</v>
      </c>
      <c r="K57" s="77">
        <v>3</v>
      </c>
      <c r="L57" s="34">
        <v>577777</v>
      </c>
      <c r="M57" s="18">
        <v>80918.600000000006</v>
      </c>
      <c r="N57" s="56">
        <v>5</v>
      </c>
      <c r="O57" s="57">
        <v>64</v>
      </c>
      <c r="P57" s="57">
        <v>853</v>
      </c>
      <c r="Q57" s="58">
        <v>8586</v>
      </c>
      <c r="R57" s="59">
        <v>86183</v>
      </c>
      <c r="S57" s="59">
        <v>865429</v>
      </c>
    </row>
    <row r="58" spans="1:23" x14ac:dyDescent="0.15">
      <c r="A58" s="32">
        <v>51</v>
      </c>
      <c r="B58" s="26">
        <v>33957</v>
      </c>
      <c r="C58" s="76">
        <v>6</v>
      </c>
      <c r="D58" s="76">
        <v>2</v>
      </c>
      <c r="E58" s="76">
        <v>2</v>
      </c>
      <c r="F58" s="76">
        <v>9</v>
      </c>
      <c r="G58" s="76">
        <v>7</v>
      </c>
      <c r="H58" s="76">
        <v>2</v>
      </c>
      <c r="I58" s="13">
        <v>6</v>
      </c>
      <c r="J58" s="33">
        <v>25959457.5</v>
      </c>
      <c r="K58" s="159" t="s">
        <v>23</v>
      </c>
      <c r="L58" s="34"/>
      <c r="M58" s="18">
        <v>1926636</v>
      </c>
      <c r="N58" s="56">
        <v>10</v>
      </c>
      <c r="O58" s="57">
        <v>99</v>
      </c>
      <c r="P58" s="57">
        <v>970</v>
      </c>
      <c r="Q58" s="58">
        <v>9411</v>
      </c>
      <c r="R58" s="59">
        <v>95328</v>
      </c>
      <c r="S58" s="59">
        <v>948956</v>
      </c>
    </row>
    <row r="59" spans="1:23" x14ac:dyDescent="0.15">
      <c r="A59" s="32">
        <v>52</v>
      </c>
      <c r="B59" s="26">
        <v>33964</v>
      </c>
      <c r="C59" s="76">
        <v>9</v>
      </c>
      <c r="D59" s="76">
        <v>7</v>
      </c>
      <c r="E59" s="76">
        <v>2</v>
      </c>
      <c r="F59" s="76">
        <v>4</v>
      </c>
      <c r="G59" s="76">
        <v>5</v>
      </c>
      <c r="H59" s="76">
        <v>5</v>
      </c>
      <c r="I59" s="13">
        <v>2</v>
      </c>
      <c r="J59" s="33">
        <v>22977320</v>
      </c>
      <c r="K59" s="77">
        <v>1</v>
      </c>
      <c r="L59" s="34">
        <v>3477777</v>
      </c>
      <c r="M59" s="18">
        <v>82546.5</v>
      </c>
      <c r="N59" s="56">
        <v>11</v>
      </c>
      <c r="O59" s="57">
        <v>70</v>
      </c>
      <c r="P59" s="57">
        <v>886</v>
      </c>
      <c r="Q59" s="58">
        <v>8363</v>
      </c>
      <c r="R59" s="59">
        <v>83847</v>
      </c>
      <c r="S59" s="59">
        <v>825897</v>
      </c>
    </row>
    <row r="60" spans="1:23" x14ac:dyDescent="0.15">
      <c r="A60" s="36">
        <v>53</v>
      </c>
      <c r="B60" s="26">
        <v>33971</v>
      </c>
      <c r="C60" s="38">
        <v>2</v>
      </c>
      <c r="D60" s="38">
        <v>3</v>
      </c>
      <c r="E60" s="38">
        <v>2</v>
      </c>
      <c r="F60" s="38">
        <v>5</v>
      </c>
      <c r="G60" s="38">
        <v>5</v>
      </c>
      <c r="H60" s="38">
        <v>4</v>
      </c>
      <c r="I60" s="39">
        <v>5</v>
      </c>
      <c r="J60" s="40">
        <v>22641650</v>
      </c>
      <c r="K60" s="188" t="s">
        <v>23</v>
      </c>
      <c r="L60" s="42"/>
      <c r="M60" s="43">
        <v>1692367.8</v>
      </c>
      <c r="N60" s="61">
        <v>5</v>
      </c>
      <c r="O60" s="62">
        <v>94</v>
      </c>
      <c r="P60" s="62">
        <v>863</v>
      </c>
      <c r="Q60" s="63">
        <v>8369</v>
      </c>
      <c r="R60" s="64">
        <v>84158</v>
      </c>
      <c r="S60" s="64">
        <v>825319</v>
      </c>
    </row>
    <row r="61" spans="1:23" x14ac:dyDescent="0.15">
      <c r="A61" s="45"/>
      <c r="B61" s="46"/>
      <c r="C61" s="46"/>
      <c r="D61" s="46"/>
      <c r="E61" s="46"/>
      <c r="F61" s="46"/>
      <c r="G61" s="46"/>
      <c r="H61" s="46" t="s">
        <v>24</v>
      </c>
      <c r="I61" s="46"/>
      <c r="J61" s="46"/>
      <c r="K61" s="72">
        <f>SUM(K8:K60)</f>
        <v>54</v>
      </c>
      <c r="L61" s="47"/>
      <c r="M61" s="48"/>
      <c r="N61" s="66">
        <f t="shared" ref="N61:S61" si="0">SUM(N8:N60)</f>
        <v>470</v>
      </c>
      <c r="O61" s="67">
        <f t="shared" si="0"/>
        <v>4532</v>
      </c>
      <c r="P61" s="67">
        <f t="shared" si="0"/>
        <v>45903</v>
      </c>
      <c r="Q61" s="68">
        <f t="shared" si="0"/>
        <v>458061</v>
      </c>
      <c r="R61" s="48">
        <f>SUM(R8:R60)</f>
        <v>4583261</v>
      </c>
      <c r="S61" s="127">
        <f t="shared" si="0"/>
        <v>45856684</v>
      </c>
    </row>
    <row r="62" spans="1:23" x14ac:dyDescent="0.15">
      <c r="T62" s="31" t="str">
        <f>IF(J61="","",SUM(K61,N61,O61,P61,Q61,R61,S61))</f>
        <v/>
      </c>
      <c r="W62" s="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1" orientation="landscape" horizontalDpi="4294967292" verticalDpi="4294967292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1"/>
  <sheetViews>
    <sheetView topLeftCell="E1" workbookViewId="0">
      <pane ySplit="7" topLeftCell="A35" activePane="bottomLeft" state="frozenSplit"/>
      <selection pane="bottomLeft" activeCell="B59" sqref="B59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9" width="15.6640625" customWidth="1"/>
  </cols>
  <sheetData>
    <row r="2" spans="1:23" ht="12.75" x14ac:dyDescent="0.2">
      <c r="A2" s="1" t="s">
        <v>0</v>
      </c>
      <c r="S2" s="3" t="s">
        <v>59</v>
      </c>
      <c r="U2" s="4"/>
    </row>
    <row r="3" spans="1:23" ht="12.75" x14ac:dyDescent="0.2">
      <c r="A3" s="6" t="s">
        <v>2</v>
      </c>
      <c r="P3" s="3"/>
      <c r="U3" s="4"/>
    </row>
    <row r="4" spans="1:23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9"/>
      <c r="L4" s="12"/>
      <c r="M4" s="11"/>
      <c r="N4" s="8"/>
      <c r="O4" s="8"/>
      <c r="P4" s="8"/>
      <c r="Q4" s="8"/>
      <c r="R4" s="8"/>
      <c r="S4" s="8"/>
      <c r="W4" s="4"/>
    </row>
    <row r="5" spans="1:23" x14ac:dyDescent="0.15">
      <c r="A5" s="13" t="s">
        <v>3</v>
      </c>
      <c r="B5" s="14">
        <v>1993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92" t="s">
        <v>7</v>
      </c>
      <c r="L5" s="18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S5" s="14" t="s">
        <v>49</v>
      </c>
      <c r="W5" s="4"/>
    </row>
    <row r="6" spans="1:23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92" t="s">
        <v>50</v>
      </c>
      <c r="L6" s="18"/>
      <c r="M6" s="14" t="s">
        <v>14</v>
      </c>
      <c r="N6" s="75" t="s">
        <v>51</v>
      </c>
      <c r="O6" s="75" t="s">
        <v>52</v>
      </c>
      <c r="P6" s="75" t="s">
        <v>53</v>
      </c>
      <c r="Q6" s="75" t="s">
        <v>54</v>
      </c>
      <c r="R6" s="75" t="s">
        <v>55</v>
      </c>
      <c r="S6" s="14" t="s">
        <v>56</v>
      </c>
      <c r="W6" s="4"/>
    </row>
    <row r="7" spans="1:23" x14ac:dyDescent="0.15">
      <c r="A7" s="13"/>
      <c r="B7" s="21"/>
      <c r="C7" s="76"/>
      <c r="D7" s="76"/>
      <c r="E7" s="76"/>
      <c r="F7" s="76"/>
      <c r="G7" s="76"/>
      <c r="H7" s="76"/>
      <c r="I7" s="39"/>
      <c r="J7" s="14"/>
      <c r="K7" s="143" t="s">
        <v>15</v>
      </c>
      <c r="L7" s="23" t="s">
        <v>14</v>
      </c>
      <c r="M7" s="14"/>
      <c r="N7" s="75" t="s">
        <v>15</v>
      </c>
      <c r="O7" s="75" t="s">
        <v>15</v>
      </c>
      <c r="P7" s="75" t="s">
        <v>15</v>
      </c>
      <c r="Q7" s="75" t="s">
        <v>15</v>
      </c>
      <c r="R7" s="75" t="s">
        <v>15</v>
      </c>
      <c r="S7" s="21" t="s">
        <v>15</v>
      </c>
      <c r="W7" s="4"/>
    </row>
    <row r="8" spans="1:23" x14ac:dyDescent="0.15">
      <c r="A8" s="25">
        <v>1</v>
      </c>
      <c r="B8" s="26">
        <v>33978</v>
      </c>
      <c r="C8" s="27">
        <v>4</v>
      </c>
      <c r="D8" s="27">
        <v>0</v>
      </c>
      <c r="E8" s="27">
        <v>1</v>
      </c>
      <c r="F8" s="27">
        <v>5</v>
      </c>
      <c r="G8" s="27">
        <v>1</v>
      </c>
      <c r="H8" s="27">
        <v>3</v>
      </c>
      <c r="I8" s="7">
        <v>0</v>
      </c>
      <c r="J8" s="28">
        <v>24536490</v>
      </c>
      <c r="K8" s="73">
        <v>1</v>
      </c>
      <c r="L8" s="29">
        <v>3377777</v>
      </c>
      <c r="M8" s="12">
        <v>59135.199999999997</v>
      </c>
      <c r="N8" s="52">
        <v>12</v>
      </c>
      <c r="O8" s="53">
        <v>84</v>
      </c>
      <c r="P8" s="53">
        <v>844</v>
      </c>
      <c r="Q8" s="54">
        <v>8176</v>
      </c>
      <c r="R8" s="55">
        <v>83060</v>
      </c>
      <c r="S8" s="55">
        <v>822658</v>
      </c>
      <c r="T8" s="31" t="str">
        <f>IF(J7="","",SUM(K7,N7,O7,P7,Q7,R7,S7))</f>
        <v/>
      </c>
      <c r="W8" s="4"/>
    </row>
    <row r="9" spans="1:23" x14ac:dyDescent="0.15">
      <c r="A9" s="32">
        <v>2</v>
      </c>
      <c r="B9" s="26" t="s">
        <v>60</v>
      </c>
      <c r="C9" s="76">
        <v>8</v>
      </c>
      <c r="D9" s="76">
        <v>2</v>
      </c>
      <c r="E9" s="76">
        <v>6</v>
      </c>
      <c r="F9" s="76">
        <v>6</v>
      </c>
      <c r="G9" s="76">
        <v>7</v>
      </c>
      <c r="H9" s="76">
        <v>6</v>
      </c>
      <c r="I9" s="13">
        <v>0</v>
      </c>
      <c r="J9" s="33">
        <v>31604755</v>
      </c>
      <c r="K9" s="159" t="s">
        <v>23</v>
      </c>
      <c r="L9" s="34"/>
      <c r="M9" s="18">
        <v>2306233.2999999998</v>
      </c>
      <c r="N9" s="56">
        <v>13</v>
      </c>
      <c r="O9" s="57">
        <v>112</v>
      </c>
      <c r="P9" s="57">
        <v>1035</v>
      </c>
      <c r="Q9" s="58">
        <v>10387</v>
      </c>
      <c r="R9" s="59">
        <v>104895</v>
      </c>
      <c r="S9" s="59">
        <v>1050702</v>
      </c>
      <c r="W9" s="4"/>
    </row>
    <row r="10" spans="1:23" x14ac:dyDescent="0.15">
      <c r="A10" s="32">
        <v>3</v>
      </c>
      <c r="B10" s="26" t="s">
        <v>61</v>
      </c>
      <c r="C10" s="76">
        <v>2</v>
      </c>
      <c r="D10" s="76">
        <v>3</v>
      </c>
      <c r="E10" s="76">
        <v>0</v>
      </c>
      <c r="F10" s="76">
        <v>2</v>
      </c>
      <c r="G10" s="76">
        <v>5</v>
      </c>
      <c r="H10" s="76">
        <v>0</v>
      </c>
      <c r="I10" s="13">
        <v>7</v>
      </c>
      <c r="J10" s="33">
        <v>24661235</v>
      </c>
      <c r="K10" s="159" t="s">
        <v>23</v>
      </c>
      <c r="L10" s="34"/>
      <c r="M10" s="18">
        <v>4059647.1</v>
      </c>
      <c r="N10" s="56">
        <v>6</v>
      </c>
      <c r="O10" s="57">
        <v>76</v>
      </c>
      <c r="P10" s="57">
        <v>851</v>
      </c>
      <c r="Q10" s="58">
        <v>8611</v>
      </c>
      <c r="R10" s="59">
        <v>88007</v>
      </c>
      <c r="S10" s="59">
        <v>911825</v>
      </c>
      <c r="W10" s="4"/>
    </row>
    <row r="11" spans="1:23" x14ac:dyDescent="0.15">
      <c r="A11" s="32">
        <v>4</v>
      </c>
      <c r="B11" s="26" t="s">
        <v>62</v>
      </c>
      <c r="C11" s="76">
        <v>6</v>
      </c>
      <c r="D11" s="76">
        <v>6</v>
      </c>
      <c r="E11" s="76">
        <v>7</v>
      </c>
      <c r="F11" s="76">
        <v>5</v>
      </c>
      <c r="G11" s="76">
        <v>9</v>
      </c>
      <c r="H11" s="76">
        <v>9</v>
      </c>
      <c r="I11" s="13">
        <v>9</v>
      </c>
      <c r="J11" s="33">
        <v>24421857.5</v>
      </c>
      <c r="K11" s="77">
        <v>2</v>
      </c>
      <c r="L11" s="18">
        <v>2877777</v>
      </c>
      <c r="M11" s="18">
        <v>40487.199999999997</v>
      </c>
      <c r="N11" s="56">
        <v>6</v>
      </c>
      <c r="O11" s="57">
        <v>90</v>
      </c>
      <c r="P11" s="57">
        <v>929</v>
      </c>
      <c r="Q11" s="58">
        <v>8937</v>
      </c>
      <c r="R11" s="59">
        <v>89232</v>
      </c>
      <c r="S11" s="59">
        <v>893258</v>
      </c>
      <c r="W11" s="4"/>
    </row>
    <row r="12" spans="1:23" x14ac:dyDescent="0.15">
      <c r="A12" s="32">
        <v>5</v>
      </c>
      <c r="B12" s="26" t="s">
        <v>63</v>
      </c>
      <c r="C12" s="76">
        <v>4</v>
      </c>
      <c r="D12" s="76">
        <v>3</v>
      </c>
      <c r="E12" s="76">
        <v>6</v>
      </c>
      <c r="F12" s="76">
        <v>6</v>
      </c>
      <c r="G12" s="76">
        <v>6</v>
      </c>
      <c r="H12" s="76">
        <v>3</v>
      </c>
      <c r="I12" s="13">
        <v>0</v>
      </c>
      <c r="J12" s="33">
        <v>24671020</v>
      </c>
      <c r="K12" s="77">
        <v>2</v>
      </c>
      <c r="L12" s="18">
        <v>877777</v>
      </c>
      <c r="M12" s="18">
        <v>39042.699999999997</v>
      </c>
      <c r="N12" s="56">
        <v>11</v>
      </c>
      <c r="O12" s="57">
        <v>70</v>
      </c>
      <c r="P12" s="57">
        <v>876</v>
      </c>
      <c r="Q12" s="58">
        <v>8543</v>
      </c>
      <c r="R12" s="59">
        <v>84194</v>
      </c>
      <c r="S12" s="59">
        <v>839396</v>
      </c>
      <c r="W12" s="4"/>
    </row>
    <row r="13" spans="1:23" x14ac:dyDescent="0.15">
      <c r="A13" s="32">
        <v>6</v>
      </c>
      <c r="B13" s="26" t="s">
        <v>64</v>
      </c>
      <c r="C13" s="76">
        <v>5</v>
      </c>
      <c r="D13" s="76">
        <v>2</v>
      </c>
      <c r="E13" s="76">
        <v>8</v>
      </c>
      <c r="F13" s="76">
        <v>5</v>
      </c>
      <c r="G13" s="76">
        <v>0</v>
      </c>
      <c r="H13" s="76">
        <v>7</v>
      </c>
      <c r="I13" s="13">
        <v>3</v>
      </c>
      <c r="J13" s="33">
        <v>23934350</v>
      </c>
      <c r="K13" s="77">
        <v>1</v>
      </c>
      <c r="L13" s="34">
        <v>1677777</v>
      </c>
      <c r="M13" s="18">
        <v>62998</v>
      </c>
      <c r="N13" s="56">
        <v>8</v>
      </c>
      <c r="O13" s="57">
        <v>72</v>
      </c>
      <c r="P13" s="57">
        <v>834</v>
      </c>
      <c r="Q13" s="58">
        <v>8421</v>
      </c>
      <c r="R13" s="59">
        <v>87053</v>
      </c>
      <c r="S13" s="59">
        <v>873787</v>
      </c>
      <c r="W13" s="4"/>
    </row>
    <row r="14" spans="1:23" x14ac:dyDescent="0.15">
      <c r="A14" s="32">
        <v>7</v>
      </c>
      <c r="B14" s="26" t="s">
        <v>65</v>
      </c>
      <c r="C14" s="76">
        <v>7</v>
      </c>
      <c r="D14" s="76">
        <v>9</v>
      </c>
      <c r="E14" s="76">
        <v>2</v>
      </c>
      <c r="F14" s="76">
        <v>0</v>
      </c>
      <c r="G14" s="76">
        <v>6</v>
      </c>
      <c r="H14" s="76">
        <v>0</v>
      </c>
      <c r="I14" s="13">
        <v>8</v>
      </c>
      <c r="J14" s="33">
        <v>23673825</v>
      </c>
      <c r="K14" s="159" t="s">
        <v>23</v>
      </c>
      <c r="L14" s="34"/>
      <c r="M14" s="18">
        <v>1746207</v>
      </c>
      <c r="N14" s="56">
        <v>11</v>
      </c>
      <c r="O14" s="57">
        <v>79</v>
      </c>
      <c r="P14" s="57">
        <v>793</v>
      </c>
      <c r="Q14" s="58">
        <v>8440</v>
      </c>
      <c r="R14" s="59">
        <v>82512</v>
      </c>
      <c r="S14" s="59">
        <v>871541</v>
      </c>
      <c r="W14" s="4"/>
    </row>
    <row r="15" spans="1:23" x14ac:dyDescent="0.15">
      <c r="A15" s="32">
        <v>8</v>
      </c>
      <c r="B15" s="26" t="s">
        <v>66</v>
      </c>
      <c r="C15" s="76">
        <v>3</v>
      </c>
      <c r="D15" s="76">
        <v>7</v>
      </c>
      <c r="E15" s="76">
        <v>3</v>
      </c>
      <c r="F15" s="76">
        <v>2</v>
      </c>
      <c r="G15" s="76">
        <v>4</v>
      </c>
      <c r="H15" s="76">
        <v>9</v>
      </c>
      <c r="I15" s="13">
        <v>5</v>
      </c>
      <c r="J15" s="33">
        <v>23696597.5</v>
      </c>
      <c r="K15" s="159" t="s">
        <v>23</v>
      </c>
      <c r="L15" s="34"/>
      <c r="M15" s="18">
        <v>3431035.1</v>
      </c>
      <c r="N15" s="56">
        <v>11</v>
      </c>
      <c r="O15" s="57">
        <v>69</v>
      </c>
      <c r="P15" s="57">
        <v>878</v>
      </c>
      <c r="Q15" s="58">
        <v>8907</v>
      </c>
      <c r="R15" s="59">
        <v>87181</v>
      </c>
      <c r="S15" s="59">
        <v>870401</v>
      </c>
      <c r="W15" s="4"/>
    </row>
    <row r="16" spans="1:23" x14ac:dyDescent="0.15">
      <c r="A16" s="32">
        <v>9</v>
      </c>
      <c r="B16" s="26" t="s">
        <v>67</v>
      </c>
      <c r="C16" s="76">
        <v>5</v>
      </c>
      <c r="D16" s="76">
        <v>5</v>
      </c>
      <c r="E16" s="76">
        <v>0</v>
      </c>
      <c r="F16" s="76">
        <v>7</v>
      </c>
      <c r="G16" s="76">
        <v>8</v>
      </c>
      <c r="H16" s="76">
        <v>7</v>
      </c>
      <c r="I16" s="13">
        <v>2</v>
      </c>
      <c r="J16" s="33">
        <v>26610732.5</v>
      </c>
      <c r="K16" s="77">
        <v>2</v>
      </c>
      <c r="L16" s="34">
        <v>2577777</v>
      </c>
      <c r="M16" s="18">
        <v>167504.20000000001</v>
      </c>
      <c r="N16" s="56">
        <v>7</v>
      </c>
      <c r="O16" s="57">
        <v>101</v>
      </c>
      <c r="P16" s="57">
        <v>925</v>
      </c>
      <c r="Q16" s="58">
        <v>9655</v>
      </c>
      <c r="R16" s="59">
        <v>96763</v>
      </c>
      <c r="S16" s="59">
        <v>955536</v>
      </c>
      <c r="W16" s="4"/>
    </row>
    <row r="17" spans="1:23" x14ac:dyDescent="0.15">
      <c r="A17" s="32">
        <v>10</v>
      </c>
      <c r="B17" s="26" t="s">
        <v>68</v>
      </c>
      <c r="C17" s="76">
        <v>1</v>
      </c>
      <c r="D17" s="76">
        <v>3</v>
      </c>
      <c r="E17" s="76">
        <v>2</v>
      </c>
      <c r="F17" s="76">
        <v>2</v>
      </c>
      <c r="G17" s="76">
        <v>5</v>
      </c>
      <c r="H17" s="76">
        <v>1</v>
      </c>
      <c r="I17" s="13">
        <v>9</v>
      </c>
      <c r="J17" s="33">
        <v>24276455</v>
      </c>
      <c r="K17" s="77">
        <v>1</v>
      </c>
      <c r="L17" s="34">
        <v>1877777</v>
      </c>
      <c r="M17" s="18">
        <v>15783.2</v>
      </c>
      <c r="N17" s="56">
        <v>14</v>
      </c>
      <c r="O17" s="57">
        <v>90</v>
      </c>
      <c r="P17" s="57">
        <v>896</v>
      </c>
      <c r="Q17" s="58">
        <v>8735</v>
      </c>
      <c r="R17" s="59">
        <v>88292</v>
      </c>
      <c r="S17" s="59">
        <v>886470</v>
      </c>
      <c r="W17" s="4"/>
    </row>
    <row r="18" spans="1:23" x14ac:dyDescent="0.15">
      <c r="A18" s="32">
        <v>11</v>
      </c>
      <c r="B18" s="26" t="s">
        <v>69</v>
      </c>
      <c r="C18" s="76">
        <v>8</v>
      </c>
      <c r="D18" s="76">
        <v>2</v>
      </c>
      <c r="E18" s="76">
        <v>4</v>
      </c>
      <c r="F18" s="76">
        <v>9</v>
      </c>
      <c r="G18" s="76">
        <v>5</v>
      </c>
      <c r="H18" s="76">
        <v>1</v>
      </c>
      <c r="I18" s="13">
        <v>9</v>
      </c>
      <c r="J18" s="33">
        <v>23372610</v>
      </c>
      <c r="K18" s="159" t="s">
        <v>23</v>
      </c>
      <c r="L18" s="34"/>
      <c r="M18" s="18">
        <v>1677575.8</v>
      </c>
      <c r="N18" s="56">
        <v>10</v>
      </c>
      <c r="O18" s="57">
        <v>78</v>
      </c>
      <c r="P18" s="57">
        <v>800</v>
      </c>
      <c r="Q18" s="58">
        <v>7953</v>
      </c>
      <c r="R18" s="59">
        <v>81759</v>
      </c>
      <c r="S18" s="59">
        <v>822959</v>
      </c>
      <c r="W18" s="4"/>
    </row>
    <row r="19" spans="1:23" x14ac:dyDescent="0.15">
      <c r="A19" s="32">
        <v>12</v>
      </c>
      <c r="B19" s="26" t="s">
        <v>70</v>
      </c>
      <c r="C19" s="76">
        <v>7</v>
      </c>
      <c r="D19" s="76">
        <v>8</v>
      </c>
      <c r="E19" s="76">
        <v>5</v>
      </c>
      <c r="F19" s="76">
        <v>2</v>
      </c>
      <c r="G19" s="76">
        <v>8</v>
      </c>
      <c r="H19" s="76">
        <v>7</v>
      </c>
      <c r="I19" s="13">
        <v>0</v>
      </c>
      <c r="J19" s="33">
        <v>23927437.5</v>
      </c>
      <c r="K19" s="159" t="s">
        <v>23</v>
      </c>
      <c r="L19" s="34"/>
      <c r="M19" s="18">
        <v>3378816.6</v>
      </c>
      <c r="N19" s="56">
        <v>8</v>
      </c>
      <c r="O19" s="57">
        <v>86</v>
      </c>
      <c r="P19" s="57">
        <v>840</v>
      </c>
      <c r="Q19" s="58">
        <v>8274</v>
      </c>
      <c r="R19" s="59">
        <v>82702</v>
      </c>
      <c r="S19" s="59">
        <v>825299</v>
      </c>
      <c r="W19" s="4"/>
    </row>
    <row r="20" spans="1:23" x14ac:dyDescent="0.15">
      <c r="A20" s="32">
        <v>13</v>
      </c>
      <c r="B20" s="26" t="s">
        <v>71</v>
      </c>
      <c r="C20" s="76">
        <v>9</v>
      </c>
      <c r="D20" s="76">
        <v>0</v>
      </c>
      <c r="E20" s="76">
        <v>8</v>
      </c>
      <c r="F20" s="76">
        <v>7</v>
      </c>
      <c r="G20" s="76">
        <v>2</v>
      </c>
      <c r="H20" s="76">
        <v>5</v>
      </c>
      <c r="I20" s="13">
        <v>2</v>
      </c>
      <c r="J20" s="33">
        <v>23853357.5</v>
      </c>
      <c r="K20" s="77">
        <v>2</v>
      </c>
      <c r="L20" s="18">
        <v>2477777</v>
      </c>
      <c r="M20" s="18">
        <v>119236.3</v>
      </c>
      <c r="N20" s="56">
        <v>5</v>
      </c>
      <c r="O20" s="57">
        <v>93</v>
      </c>
      <c r="P20" s="57">
        <v>861</v>
      </c>
      <c r="Q20" s="58">
        <v>8492</v>
      </c>
      <c r="R20" s="59">
        <v>86332</v>
      </c>
      <c r="S20" s="59">
        <v>853813</v>
      </c>
      <c r="W20" s="4"/>
    </row>
    <row r="21" spans="1:23" x14ac:dyDescent="0.15">
      <c r="A21" s="32">
        <v>14</v>
      </c>
      <c r="B21" s="26" t="s">
        <v>72</v>
      </c>
      <c r="C21" s="76">
        <v>1</v>
      </c>
      <c r="D21" s="76">
        <v>1</v>
      </c>
      <c r="E21" s="76">
        <v>0</v>
      </c>
      <c r="F21" s="76">
        <v>0</v>
      </c>
      <c r="G21" s="76">
        <v>6</v>
      </c>
      <c r="H21" s="76">
        <v>8</v>
      </c>
      <c r="I21" s="13">
        <v>9</v>
      </c>
      <c r="J21" s="33">
        <v>22422080</v>
      </c>
      <c r="K21" s="77">
        <v>1</v>
      </c>
      <c r="L21" s="34">
        <v>1677777</v>
      </c>
      <c r="M21" s="18">
        <v>35669.199999999997</v>
      </c>
      <c r="N21" s="56">
        <v>6</v>
      </c>
      <c r="O21" s="57">
        <v>77</v>
      </c>
      <c r="P21" s="57">
        <v>839</v>
      </c>
      <c r="Q21" s="58">
        <v>8360</v>
      </c>
      <c r="R21" s="59">
        <v>81671</v>
      </c>
      <c r="S21" s="59">
        <v>818726</v>
      </c>
      <c r="W21" s="4"/>
    </row>
    <row r="22" spans="1:23" x14ac:dyDescent="0.15">
      <c r="A22" s="32">
        <v>15</v>
      </c>
      <c r="B22" s="26" t="s">
        <v>73</v>
      </c>
      <c r="C22" s="76">
        <v>4</v>
      </c>
      <c r="D22" s="76">
        <v>6</v>
      </c>
      <c r="E22" s="76">
        <v>4</v>
      </c>
      <c r="F22" s="76">
        <v>9</v>
      </c>
      <c r="G22" s="76">
        <v>1</v>
      </c>
      <c r="H22" s="76">
        <v>8</v>
      </c>
      <c r="I22" s="13">
        <v>3</v>
      </c>
      <c r="J22" s="33">
        <v>22518310</v>
      </c>
      <c r="K22" s="77">
        <v>1</v>
      </c>
      <c r="L22" s="18">
        <v>1577777</v>
      </c>
      <c r="M22" s="18">
        <v>58944</v>
      </c>
      <c r="N22" s="56">
        <v>9</v>
      </c>
      <c r="O22" s="57">
        <v>93</v>
      </c>
      <c r="P22" s="57">
        <v>795</v>
      </c>
      <c r="Q22" s="58">
        <v>8007</v>
      </c>
      <c r="R22" s="59">
        <v>80889</v>
      </c>
      <c r="S22" s="59">
        <v>817883</v>
      </c>
      <c r="W22" s="4"/>
    </row>
    <row r="23" spans="1:23" x14ac:dyDescent="0.15">
      <c r="A23" s="32">
        <v>16</v>
      </c>
      <c r="B23" s="26" t="s">
        <v>74</v>
      </c>
      <c r="C23" s="76">
        <v>6</v>
      </c>
      <c r="D23" s="76">
        <v>1</v>
      </c>
      <c r="E23" s="76">
        <v>8</v>
      </c>
      <c r="F23" s="76">
        <v>1</v>
      </c>
      <c r="G23" s="76">
        <v>0</v>
      </c>
      <c r="H23" s="76">
        <v>9</v>
      </c>
      <c r="I23" s="13">
        <v>5</v>
      </c>
      <c r="J23" s="33">
        <v>22472437.5</v>
      </c>
      <c r="K23" s="159" t="s">
        <v>23</v>
      </c>
      <c r="L23" s="34"/>
      <c r="M23" s="18">
        <v>1656734.3</v>
      </c>
      <c r="N23" s="56">
        <v>11</v>
      </c>
      <c r="O23" s="57">
        <v>81</v>
      </c>
      <c r="P23" s="57">
        <v>849</v>
      </c>
      <c r="Q23" s="58">
        <v>7989</v>
      </c>
      <c r="R23" s="59">
        <v>82575</v>
      </c>
      <c r="S23" s="59">
        <v>822708</v>
      </c>
      <c r="W23" s="4"/>
    </row>
    <row r="24" spans="1:23" x14ac:dyDescent="0.15">
      <c r="A24" s="32">
        <v>17</v>
      </c>
      <c r="B24" s="26" t="s">
        <v>75</v>
      </c>
      <c r="C24" s="76">
        <v>7</v>
      </c>
      <c r="D24" s="76">
        <v>4</v>
      </c>
      <c r="E24" s="76">
        <v>3</v>
      </c>
      <c r="F24" s="76">
        <v>1</v>
      </c>
      <c r="G24" s="76">
        <v>6</v>
      </c>
      <c r="H24" s="76">
        <v>4</v>
      </c>
      <c r="I24" s="13">
        <v>5</v>
      </c>
      <c r="J24" s="33">
        <v>22894592.5</v>
      </c>
      <c r="K24" s="77">
        <v>1</v>
      </c>
      <c r="L24" s="18">
        <v>3277777</v>
      </c>
      <c r="M24" s="18">
        <v>6762.8</v>
      </c>
      <c r="N24" s="56">
        <v>5</v>
      </c>
      <c r="O24" s="57">
        <v>97</v>
      </c>
      <c r="P24" s="57">
        <v>851</v>
      </c>
      <c r="Q24" s="58">
        <v>8135</v>
      </c>
      <c r="R24" s="59">
        <v>81109</v>
      </c>
      <c r="S24" s="59">
        <v>808281</v>
      </c>
      <c r="W24" s="4"/>
    </row>
    <row r="25" spans="1:23" x14ac:dyDescent="0.15">
      <c r="A25" s="32">
        <v>18</v>
      </c>
      <c r="B25" s="26" t="s">
        <v>76</v>
      </c>
      <c r="C25" s="76">
        <v>2</v>
      </c>
      <c r="D25" s="76">
        <v>4</v>
      </c>
      <c r="E25" s="76">
        <v>4</v>
      </c>
      <c r="F25" s="76">
        <v>4</v>
      </c>
      <c r="G25" s="76">
        <v>3</v>
      </c>
      <c r="H25" s="76">
        <v>3</v>
      </c>
      <c r="I25" s="13">
        <v>9</v>
      </c>
      <c r="J25" s="33">
        <v>27257892.5</v>
      </c>
      <c r="K25" s="159" t="s">
        <v>23</v>
      </c>
      <c r="L25" s="34"/>
      <c r="M25" s="18">
        <v>1944799</v>
      </c>
      <c r="N25" s="56">
        <v>9</v>
      </c>
      <c r="O25" s="57">
        <v>96</v>
      </c>
      <c r="P25" s="57">
        <v>1045</v>
      </c>
      <c r="Q25" s="58">
        <v>9987</v>
      </c>
      <c r="R25" s="59">
        <v>101122</v>
      </c>
      <c r="S25" s="59">
        <v>999749</v>
      </c>
      <c r="W25" s="4"/>
    </row>
    <row r="26" spans="1:23" x14ac:dyDescent="0.15">
      <c r="A26" s="32">
        <v>19</v>
      </c>
      <c r="B26" s="26" t="s">
        <v>77</v>
      </c>
      <c r="C26" s="76">
        <v>4</v>
      </c>
      <c r="D26" s="76">
        <v>0</v>
      </c>
      <c r="E26" s="76">
        <v>3</v>
      </c>
      <c r="F26" s="76">
        <v>1</v>
      </c>
      <c r="G26" s="76">
        <v>7</v>
      </c>
      <c r="H26" s="76">
        <v>4</v>
      </c>
      <c r="I26" s="13">
        <v>7</v>
      </c>
      <c r="J26" s="33">
        <v>22816742.5</v>
      </c>
      <c r="K26" s="77">
        <v>1</v>
      </c>
      <c r="L26" s="34">
        <v>3477777</v>
      </c>
      <c r="M26" s="18">
        <v>89292.4</v>
      </c>
      <c r="N26" s="56">
        <v>16</v>
      </c>
      <c r="O26" s="57">
        <v>89</v>
      </c>
      <c r="P26" s="57">
        <v>835</v>
      </c>
      <c r="Q26" s="58">
        <v>8588</v>
      </c>
      <c r="R26" s="59">
        <v>85013</v>
      </c>
      <c r="S26" s="59">
        <v>844366</v>
      </c>
      <c r="W26" s="4"/>
    </row>
    <row r="27" spans="1:23" x14ac:dyDescent="0.15">
      <c r="A27" s="32">
        <v>20</v>
      </c>
      <c r="B27" s="26" t="s">
        <v>78</v>
      </c>
      <c r="C27" s="76">
        <v>3</v>
      </c>
      <c r="D27" s="76">
        <v>5</v>
      </c>
      <c r="E27" s="76">
        <v>0</v>
      </c>
      <c r="F27" s="76">
        <v>1</v>
      </c>
      <c r="G27" s="76">
        <v>2</v>
      </c>
      <c r="H27" s="76">
        <v>7</v>
      </c>
      <c r="I27" s="13">
        <v>2</v>
      </c>
      <c r="J27" s="33">
        <v>21794627.5</v>
      </c>
      <c r="K27" s="77">
        <v>4</v>
      </c>
      <c r="L27" s="34">
        <v>377777</v>
      </c>
      <c r="M27" s="18">
        <v>127782.39999999999</v>
      </c>
      <c r="N27" s="56">
        <v>5</v>
      </c>
      <c r="O27" s="57">
        <v>59</v>
      </c>
      <c r="P27" s="57">
        <v>751</v>
      </c>
      <c r="Q27" s="58">
        <v>7892</v>
      </c>
      <c r="R27" s="59">
        <v>78342</v>
      </c>
      <c r="S27" s="59">
        <v>775107</v>
      </c>
      <c r="W27" s="4"/>
    </row>
    <row r="28" spans="1:23" x14ac:dyDescent="0.15">
      <c r="A28" s="32">
        <v>21</v>
      </c>
      <c r="B28" s="26" t="s">
        <v>79</v>
      </c>
      <c r="C28" s="76">
        <v>7</v>
      </c>
      <c r="D28" s="76">
        <v>7</v>
      </c>
      <c r="E28" s="76">
        <v>5</v>
      </c>
      <c r="F28" s="76">
        <v>1</v>
      </c>
      <c r="G28" s="76">
        <v>2</v>
      </c>
      <c r="H28" s="76">
        <v>5</v>
      </c>
      <c r="I28" s="13">
        <v>2</v>
      </c>
      <c r="J28" s="33">
        <v>22475012.5</v>
      </c>
      <c r="K28" s="159" t="s">
        <v>23</v>
      </c>
      <c r="L28" s="34"/>
      <c r="M28" s="18">
        <v>1725755.8</v>
      </c>
      <c r="N28" s="56">
        <v>10</v>
      </c>
      <c r="O28" s="57">
        <v>97</v>
      </c>
      <c r="P28" s="57">
        <v>801</v>
      </c>
      <c r="Q28" s="58">
        <v>7981</v>
      </c>
      <c r="R28" s="59">
        <v>79410</v>
      </c>
      <c r="S28" s="59">
        <v>785435</v>
      </c>
      <c r="W28" s="4"/>
    </row>
    <row r="29" spans="1:23" x14ac:dyDescent="0.15">
      <c r="A29" s="32">
        <v>22</v>
      </c>
      <c r="B29" s="26" t="s">
        <v>80</v>
      </c>
      <c r="C29" s="76">
        <v>3</v>
      </c>
      <c r="D29" s="76">
        <v>5</v>
      </c>
      <c r="E29" s="76">
        <v>5</v>
      </c>
      <c r="F29" s="76">
        <v>9</v>
      </c>
      <c r="G29" s="76">
        <v>8</v>
      </c>
      <c r="H29" s="76">
        <v>2</v>
      </c>
      <c r="I29" s="13">
        <v>5</v>
      </c>
      <c r="J29" s="33">
        <v>23198840</v>
      </c>
      <c r="K29" s="77">
        <v>1</v>
      </c>
      <c r="L29" s="18">
        <v>3277777</v>
      </c>
      <c r="M29" s="18">
        <v>97416.3</v>
      </c>
      <c r="N29" s="56">
        <v>8</v>
      </c>
      <c r="O29" s="57">
        <v>89</v>
      </c>
      <c r="P29" s="57">
        <v>827</v>
      </c>
      <c r="Q29" s="58">
        <v>8502</v>
      </c>
      <c r="R29" s="59">
        <v>84987</v>
      </c>
      <c r="S29" s="59">
        <v>838620</v>
      </c>
      <c r="W29" s="4"/>
    </row>
    <row r="30" spans="1:23" x14ac:dyDescent="0.15">
      <c r="A30" s="32">
        <v>23</v>
      </c>
      <c r="B30" s="26" t="s">
        <v>81</v>
      </c>
      <c r="C30" s="76">
        <v>4</v>
      </c>
      <c r="D30" s="76">
        <v>6</v>
      </c>
      <c r="E30" s="76">
        <v>2</v>
      </c>
      <c r="F30" s="76">
        <v>3</v>
      </c>
      <c r="G30" s="76">
        <v>5</v>
      </c>
      <c r="H30" s="76">
        <v>2</v>
      </c>
      <c r="I30" s="13">
        <v>5</v>
      </c>
      <c r="J30" s="33">
        <v>21432862.5</v>
      </c>
      <c r="K30" s="77">
        <v>1</v>
      </c>
      <c r="L30" s="18">
        <v>1577777</v>
      </c>
      <c r="M30" s="18">
        <v>43515.8</v>
      </c>
      <c r="N30" s="56">
        <v>13</v>
      </c>
      <c r="O30" s="57">
        <v>66</v>
      </c>
      <c r="P30" s="57">
        <v>782</v>
      </c>
      <c r="Q30" s="58">
        <v>7541</v>
      </c>
      <c r="R30" s="59">
        <v>75425</v>
      </c>
      <c r="S30" s="59">
        <v>750458</v>
      </c>
      <c r="W30" s="4"/>
    </row>
    <row r="31" spans="1:23" x14ac:dyDescent="0.15">
      <c r="A31" s="32">
        <v>24</v>
      </c>
      <c r="B31" s="26" t="s">
        <v>82</v>
      </c>
      <c r="C31" s="76">
        <v>9</v>
      </c>
      <c r="D31" s="76">
        <v>3</v>
      </c>
      <c r="E31" s="76">
        <v>8</v>
      </c>
      <c r="F31" s="76">
        <v>2</v>
      </c>
      <c r="G31" s="76">
        <v>1</v>
      </c>
      <c r="H31" s="76">
        <v>8</v>
      </c>
      <c r="I31" s="13">
        <v>7</v>
      </c>
      <c r="J31" s="33">
        <v>22292290</v>
      </c>
      <c r="K31" s="159" t="s">
        <v>23</v>
      </c>
      <c r="L31" s="34"/>
      <c r="M31" s="18">
        <v>1628497.6</v>
      </c>
      <c r="N31" s="56">
        <v>10</v>
      </c>
      <c r="O31" s="57">
        <v>102</v>
      </c>
      <c r="P31" s="57">
        <v>804</v>
      </c>
      <c r="Q31" s="58">
        <v>8203</v>
      </c>
      <c r="R31" s="59">
        <v>82161</v>
      </c>
      <c r="S31" s="59">
        <v>825155</v>
      </c>
      <c r="W31" s="4"/>
    </row>
    <row r="32" spans="1:23" x14ac:dyDescent="0.15">
      <c r="A32" s="32">
        <v>25</v>
      </c>
      <c r="B32" s="26" t="s">
        <v>83</v>
      </c>
      <c r="C32" s="76">
        <v>7</v>
      </c>
      <c r="D32" s="76">
        <v>0</v>
      </c>
      <c r="E32" s="76">
        <v>4</v>
      </c>
      <c r="F32" s="76">
        <v>3</v>
      </c>
      <c r="G32" s="76">
        <v>1</v>
      </c>
      <c r="H32" s="76">
        <v>4</v>
      </c>
      <c r="I32" s="13">
        <v>7</v>
      </c>
      <c r="J32" s="33">
        <v>22318237.5</v>
      </c>
      <c r="K32" s="77">
        <v>3</v>
      </c>
      <c r="L32" s="18">
        <v>977777</v>
      </c>
      <c r="M32" s="18">
        <v>281993.3</v>
      </c>
      <c r="N32" s="56">
        <v>13</v>
      </c>
      <c r="O32" s="57">
        <v>79</v>
      </c>
      <c r="P32" s="57">
        <v>735</v>
      </c>
      <c r="Q32" s="58">
        <v>8037</v>
      </c>
      <c r="R32" s="59">
        <v>79368</v>
      </c>
      <c r="S32" s="59">
        <v>792646</v>
      </c>
      <c r="W32" s="4"/>
    </row>
    <row r="33" spans="1:23" x14ac:dyDescent="0.15">
      <c r="A33" s="32">
        <v>26</v>
      </c>
      <c r="B33" s="26" t="s">
        <v>84</v>
      </c>
      <c r="C33" s="76">
        <v>1</v>
      </c>
      <c r="D33" s="76">
        <v>8</v>
      </c>
      <c r="E33" s="76">
        <v>0</v>
      </c>
      <c r="F33" s="76">
        <v>0</v>
      </c>
      <c r="G33" s="76">
        <v>6</v>
      </c>
      <c r="H33" s="76">
        <v>6</v>
      </c>
      <c r="I33" s="13">
        <v>0</v>
      </c>
      <c r="J33" s="33">
        <v>22500412.5</v>
      </c>
      <c r="K33" s="159" t="s">
        <v>23</v>
      </c>
      <c r="L33" s="34"/>
      <c r="M33" s="18">
        <v>1881772.6</v>
      </c>
      <c r="N33" s="56">
        <v>1</v>
      </c>
      <c r="O33" s="57">
        <v>76</v>
      </c>
      <c r="P33" s="57">
        <v>727</v>
      </c>
      <c r="Q33" s="58">
        <v>7478</v>
      </c>
      <c r="R33" s="59">
        <v>76731</v>
      </c>
      <c r="S33" s="59">
        <v>767060</v>
      </c>
      <c r="W33" s="4"/>
    </row>
    <row r="34" spans="1:23" x14ac:dyDescent="0.15">
      <c r="A34" s="32">
        <v>27</v>
      </c>
      <c r="B34" s="26" t="s">
        <v>85</v>
      </c>
      <c r="C34" s="76">
        <v>9</v>
      </c>
      <c r="D34" s="76">
        <v>0</v>
      </c>
      <c r="E34" s="76">
        <v>8</v>
      </c>
      <c r="F34" s="76">
        <v>0</v>
      </c>
      <c r="G34" s="76">
        <v>7</v>
      </c>
      <c r="H34" s="76">
        <v>1</v>
      </c>
      <c r="I34" s="13">
        <v>8</v>
      </c>
      <c r="J34" s="33">
        <v>21746205</v>
      </c>
      <c r="K34" s="159" t="s">
        <v>23</v>
      </c>
      <c r="L34" s="34"/>
      <c r="M34" s="18">
        <v>3427927.8</v>
      </c>
      <c r="N34" s="56">
        <v>9</v>
      </c>
      <c r="O34" s="57">
        <v>85</v>
      </c>
      <c r="P34" s="57">
        <v>786</v>
      </c>
      <c r="Q34" s="58">
        <v>7815</v>
      </c>
      <c r="R34" s="59">
        <v>77841</v>
      </c>
      <c r="S34" s="59">
        <v>780883</v>
      </c>
      <c r="W34" s="4"/>
    </row>
    <row r="35" spans="1:23" x14ac:dyDescent="0.15">
      <c r="A35" s="32">
        <v>28</v>
      </c>
      <c r="B35" s="26" t="s">
        <v>86</v>
      </c>
      <c r="C35" s="76">
        <v>4</v>
      </c>
      <c r="D35" s="76">
        <v>5</v>
      </c>
      <c r="E35" s="76">
        <v>8</v>
      </c>
      <c r="F35" s="76">
        <v>5</v>
      </c>
      <c r="G35" s="76">
        <v>6</v>
      </c>
      <c r="H35" s="76">
        <v>3</v>
      </c>
      <c r="I35" s="13">
        <v>9</v>
      </c>
      <c r="J35" s="33">
        <v>21856155</v>
      </c>
      <c r="K35" s="159" t="s">
        <v>23</v>
      </c>
      <c r="L35" s="34"/>
      <c r="M35" s="18">
        <v>4981900.4000000004</v>
      </c>
      <c r="N35" s="56">
        <v>4</v>
      </c>
      <c r="O35" s="57">
        <v>100</v>
      </c>
      <c r="P35" s="57">
        <v>775</v>
      </c>
      <c r="Q35" s="58">
        <v>8171</v>
      </c>
      <c r="R35" s="59">
        <v>80452</v>
      </c>
      <c r="S35" s="59">
        <v>802494</v>
      </c>
      <c r="W35" s="4"/>
    </row>
    <row r="36" spans="1:23" x14ac:dyDescent="0.15">
      <c r="A36" s="32">
        <v>29</v>
      </c>
      <c r="B36" s="26" t="s">
        <v>87</v>
      </c>
      <c r="C36" s="76">
        <v>0</v>
      </c>
      <c r="D36" s="76">
        <v>7</v>
      </c>
      <c r="E36" s="76">
        <v>2</v>
      </c>
      <c r="F36" s="76">
        <v>1</v>
      </c>
      <c r="G36" s="76">
        <v>2</v>
      </c>
      <c r="H36" s="76">
        <v>6</v>
      </c>
      <c r="I36" s="13">
        <v>9</v>
      </c>
      <c r="J36" s="33">
        <v>22025007.5</v>
      </c>
      <c r="K36" s="77">
        <v>1</v>
      </c>
      <c r="L36" s="18">
        <v>6477777</v>
      </c>
      <c r="M36" s="18">
        <v>70101.399999999994</v>
      </c>
      <c r="N36" s="56">
        <v>7</v>
      </c>
      <c r="O36" s="57">
        <v>71</v>
      </c>
      <c r="P36" s="57">
        <v>829</v>
      </c>
      <c r="Q36" s="58">
        <v>7842</v>
      </c>
      <c r="R36" s="59">
        <v>78517</v>
      </c>
      <c r="S36" s="59">
        <v>783267</v>
      </c>
      <c r="W36" s="4"/>
    </row>
    <row r="37" spans="1:23" x14ac:dyDescent="0.15">
      <c r="A37" s="32">
        <v>30</v>
      </c>
      <c r="B37" s="26" t="s">
        <v>88</v>
      </c>
      <c r="C37" s="76">
        <v>2</v>
      </c>
      <c r="D37" s="76">
        <v>6</v>
      </c>
      <c r="E37" s="76">
        <v>5</v>
      </c>
      <c r="F37" s="76">
        <v>8</v>
      </c>
      <c r="G37" s="76">
        <v>2</v>
      </c>
      <c r="H37" s="76">
        <v>3</v>
      </c>
      <c r="I37" s="13">
        <v>2</v>
      </c>
      <c r="J37" s="33">
        <v>21886287.5</v>
      </c>
      <c r="K37" s="159" t="s">
        <v>23</v>
      </c>
      <c r="L37" s="34"/>
      <c r="M37" s="18">
        <v>1626216.4</v>
      </c>
      <c r="N37" s="56">
        <v>9</v>
      </c>
      <c r="O37" s="57">
        <v>87</v>
      </c>
      <c r="P37" s="57">
        <v>797</v>
      </c>
      <c r="Q37" s="58">
        <v>7845</v>
      </c>
      <c r="R37" s="59">
        <v>79664</v>
      </c>
      <c r="S37" s="59">
        <v>787476</v>
      </c>
      <c r="W37" s="4"/>
    </row>
    <row r="38" spans="1:23" x14ac:dyDescent="0.15">
      <c r="A38" s="32">
        <v>31</v>
      </c>
      <c r="B38" s="26" t="s">
        <v>89</v>
      </c>
      <c r="C38" s="76">
        <v>8</v>
      </c>
      <c r="D38" s="76">
        <v>8</v>
      </c>
      <c r="E38" s="76">
        <v>8</v>
      </c>
      <c r="F38" s="76">
        <v>3</v>
      </c>
      <c r="G38" s="76">
        <v>8</v>
      </c>
      <c r="H38" s="76">
        <v>5</v>
      </c>
      <c r="I38" s="13">
        <v>5</v>
      </c>
      <c r="J38" s="33">
        <v>22653470</v>
      </c>
      <c r="K38" s="159" t="s">
        <v>23</v>
      </c>
      <c r="L38" s="34"/>
      <c r="M38" s="18">
        <v>3236878.1</v>
      </c>
      <c r="N38" s="56">
        <v>5</v>
      </c>
      <c r="O38" s="57">
        <v>83</v>
      </c>
      <c r="P38" s="57">
        <v>836</v>
      </c>
      <c r="Q38" s="58">
        <v>8326</v>
      </c>
      <c r="R38" s="59">
        <v>83642</v>
      </c>
      <c r="S38" s="59">
        <v>832379</v>
      </c>
      <c r="W38" s="4"/>
    </row>
    <row r="39" spans="1:23" x14ac:dyDescent="0.15">
      <c r="A39" s="32">
        <v>32</v>
      </c>
      <c r="B39" s="26" t="s">
        <v>90</v>
      </c>
      <c r="C39" s="76">
        <v>5</v>
      </c>
      <c r="D39" s="76">
        <v>5</v>
      </c>
      <c r="E39" s="76">
        <v>1</v>
      </c>
      <c r="F39" s="76">
        <v>5</v>
      </c>
      <c r="G39" s="76">
        <v>9</v>
      </c>
      <c r="H39" s="76">
        <v>4</v>
      </c>
      <c r="I39" s="13">
        <v>3</v>
      </c>
      <c r="J39" s="33">
        <v>22556000</v>
      </c>
      <c r="K39" s="159" t="s">
        <v>23</v>
      </c>
      <c r="L39" s="34"/>
      <c r="M39" s="18">
        <v>4840609.7</v>
      </c>
      <c r="N39" s="56">
        <v>6</v>
      </c>
      <c r="O39" s="57">
        <v>76</v>
      </c>
      <c r="P39" s="57">
        <v>834</v>
      </c>
      <c r="Q39" s="58">
        <v>8411</v>
      </c>
      <c r="R39" s="59">
        <v>82451</v>
      </c>
      <c r="S39" s="59">
        <v>830138</v>
      </c>
      <c r="W39" s="4"/>
    </row>
    <row r="40" spans="1:23" x14ac:dyDescent="0.15">
      <c r="A40" s="32">
        <v>33</v>
      </c>
      <c r="B40" s="26" t="s">
        <v>91</v>
      </c>
      <c r="C40" s="76">
        <v>4</v>
      </c>
      <c r="D40" s="76">
        <v>9</v>
      </c>
      <c r="E40" s="76">
        <v>5</v>
      </c>
      <c r="F40" s="76">
        <v>9</v>
      </c>
      <c r="G40" s="76">
        <v>6</v>
      </c>
      <c r="H40" s="76">
        <v>2</v>
      </c>
      <c r="I40" s="13">
        <v>6</v>
      </c>
      <c r="J40" s="33">
        <v>22003670</v>
      </c>
      <c r="K40" s="77">
        <v>1</v>
      </c>
      <c r="L40" s="18">
        <v>6377777</v>
      </c>
      <c r="M40" s="18">
        <v>27293.599999999999</v>
      </c>
      <c r="N40" s="56">
        <v>6</v>
      </c>
      <c r="O40" s="57">
        <v>82</v>
      </c>
      <c r="P40" s="57">
        <v>802</v>
      </c>
      <c r="Q40" s="58">
        <v>8035</v>
      </c>
      <c r="R40" s="59">
        <v>81368</v>
      </c>
      <c r="S40" s="59">
        <v>806782</v>
      </c>
      <c r="W40" s="4"/>
    </row>
    <row r="41" spans="1:23" x14ac:dyDescent="0.15">
      <c r="A41" s="32">
        <v>34</v>
      </c>
      <c r="B41" s="26" t="s">
        <v>92</v>
      </c>
      <c r="C41" s="76">
        <v>5</v>
      </c>
      <c r="D41" s="76">
        <v>4</v>
      </c>
      <c r="E41" s="76">
        <v>2</v>
      </c>
      <c r="F41" s="76">
        <v>9</v>
      </c>
      <c r="G41" s="76">
        <v>7</v>
      </c>
      <c r="H41" s="76">
        <v>0</v>
      </c>
      <c r="I41" s="13">
        <v>8</v>
      </c>
      <c r="J41" s="33">
        <v>22143075</v>
      </c>
      <c r="K41" s="77">
        <v>1</v>
      </c>
      <c r="L41" s="18">
        <v>1577777</v>
      </c>
      <c r="M41" s="18">
        <v>23889.200000000001</v>
      </c>
      <c r="N41" s="56">
        <v>13</v>
      </c>
      <c r="O41" s="57">
        <v>67</v>
      </c>
      <c r="P41" s="57">
        <v>801</v>
      </c>
      <c r="Q41" s="58">
        <v>7857</v>
      </c>
      <c r="R41" s="59">
        <v>78077</v>
      </c>
      <c r="S41" s="59">
        <v>816268</v>
      </c>
      <c r="W41" s="4"/>
    </row>
    <row r="42" spans="1:23" x14ac:dyDescent="0.15">
      <c r="A42" s="32">
        <v>35</v>
      </c>
      <c r="B42" s="26" t="s">
        <v>93</v>
      </c>
      <c r="C42" s="76">
        <v>7</v>
      </c>
      <c r="D42" s="76">
        <v>9</v>
      </c>
      <c r="E42" s="76">
        <v>8</v>
      </c>
      <c r="F42" s="76">
        <v>2</v>
      </c>
      <c r="G42" s="76">
        <v>6</v>
      </c>
      <c r="H42" s="76">
        <v>3</v>
      </c>
      <c r="I42" s="13">
        <v>7</v>
      </c>
      <c r="J42" s="33">
        <v>28473690</v>
      </c>
      <c r="K42" s="77">
        <v>2</v>
      </c>
      <c r="L42" s="18">
        <v>977777</v>
      </c>
      <c r="M42" s="18">
        <v>92814.6</v>
      </c>
      <c r="N42" s="56">
        <v>13</v>
      </c>
      <c r="O42" s="57">
        <v>91</v>
      </c>
      <c r="P42" s="57">
        <v>1026</v>
      </c>
      <c r="Q42" s="58">
        <v>10742</v>
      </c>
      <c r="R42" s="59">
        <v>106120</v>
      </c>
      <c r="S42" s="59">
        <v>1056223</v>
      </c>
      <c r="W42" s="4"/>
    </row>
    <row r="43" spans="1:23" x14ac:dyDescent="0.15">
      <c r="A43" s="32">
        <v>36</v>
      </c>
      <c r="B43" s="26" t="s">
        <v>94</v>
      </c>
      <c r="C43" s="76">
        <v>3</v>
      </c>
      <c r="D43" s="76">
        <v>5</v>
      </c>
      <c r="E43" s="76">
        <v>1</v>
      </c>
      <c r="F43" s="76">
        <v>0</v>
      </c>
      <c r="G43" s="76">
        <v>5</v>
      </c>
      <c r="H43" s="76">
        <v>2</v>
      </c>
      <c r="I43" s="13">
        <v>3</v>
      </c>
      <c r="J43" s="33">
        <v>22881442.5</v>
      </c>
      <c r="K43" s="77">
        <v>2</v>
      </c>
      <c r="L43" s="18">
        <v>777777</v>
      </c>
      <c r="M43" s="18">
        <v>164131.20000000001</v>
      </c>
      <c r="N43" s="56">
        <v>10</v>
      </c>
      <c r="O43" s="57">
        <v>68</v>
      </c>
      <c r="P43" s="57">
        <v>813</v>
      </c>
      <c r="Q43" s="58">
        <v>8368</v>
      </c>
      <c r="R43" s="59">
        <v>83333</v>
      </c>
      <c r="S43" s="59">
        <v>828995</v>
      </c>
      <c r="W43" s="4"/>
    </row>
    <row r="44" spans="1:23" x14ac:dyDescent="0.15">
      <c r="A44" s="32">
        <v>37</v>
      </c>
      <c r="B44" s="26" t="s">
        <v>95</v>
      </c>
      <c r="C44" s="76">
        <v>7</v>
      </c>
      <c r="D44" s="76">
        <v>5</v>
      </c>
      <c r="E44" s="76">
        <v>7</v>
      </c>
      <c r="F44" s="76">
        <v>4</v>
      </c>
      <c r="G44" s="76">
        <v>5</v>
      </c>
      <c r="H44" s="76">
        <v>8</v>
      </c>
      <c r="I44" s="13">
        <v>1</v>
      </c>
      <c r="J44" s="33">
        <v>23826047.5</v>
      </c>
      <c r="K44" s="77">
        <v>3</v>
      </c>
      <c r="L44" s="34">
        <v>577777</v>
      </c>
      <c r="M44" s="18">
        <v>124832.2</v>
      </c>
      <c r="N44" s="56">
        <v>6</v>
      </c>
      <c r="O44" s="57">
        <v>77</v>
      </c>
      <c r="P44" s="57">
        <v>821</v>
      </c>
      <c r="Q44" s="58">
        <v>8368</v>
      </c>
      <c r="R44" s="59">
        <v>82549</v>
      </c>
      <c r="S44" s="59">
        <v>832993</v>
      </c>
      <c r="W44" s="4"/>
    </row>
    <row r="45" spans="1:23" x14ac:dyDescent="0.15">
      <c r="A45" s="32">
        <v>38</v>
      </c>
      <c r="B45" s="26" t="s">
        <v>96</v>
      </c>
      <c r="C45" s="76">
        <v>0</v>
      </c>
      <c r="D45" s="76">
        <v>8</v>
      </c>
      <c r="E45" s="76">
        <v>0</v>
      </c>
      <c r="F45" s="76">
        <v>5</v>
      </c>
      <c r="G45" s="76">
        <v>3</v>
      </c>
      <c r="H45" s="76">
        <v>4</v>
      </c>
      <c r="I45" s="13">
        <v>9</v>
      </c>
      <c r="J45" s="33">
        <v>24501535</v>
      </c>
      <c r="K45" s="77">
        <v>2</v>
      </c>
      <c r="L45" s="34">
        <v>877777</v>
      </c>
      <c r="M45" s="18">
        <v>111337.3</v>
      </c>
      <c r="N45" s="56">
        <v>6</v>
      </c>
      <c r="O45" s="57">
        <v>76</v>
      </c>
      <c r="P45" s="57">
        <v>877</v>
      </c>
      <c r="Q45" s="58">
        <v>9137</v>
      </c>
      <c r="R45" s="59">
        <v>90147</v>
      </c>
      <c r="S45" s="59">
        <v>896700</v>
      </c>
      <c r="W45" s="4"/>
    </row>
    <row r="46" spans="1:23" x14ac:dyDescent="0.15">
      <c r="A46" s="32">
        <v>39</v>
      </c>
      <c r="B46" s="26" t="s">
        <v>97</v>
      </c>
      <c r="C46" s="76">
        <v>3</v>
      </c>
      <c r="D46" s="76">
        <v>9</v>
      </c>
      <c r="E46" s="76">
        <v>5</v>
      </c>
      <c r="F46" s="76">
        <v>6</v>
      </c>
      <c r="G46" s="76">
        <v>5</v>
      </c>
      <c r="H46" s="76">
        <v>5</v>
      </c>
      <c r="I46" s="13">
        <v>2</v>
      </c>
      <c r="J46" s="33">
        <v>25046267.5</v>
      </c>
      <c r="K46" s="77">
        <v>1</v>
      </c>
      <c r="L46" s="18">
        <v>1877777</v>
      </c>
      <c r="M46" s="18">
        <v>14349.9</v>
      </c>
      <c r="N46" s="56">
        <v>9</v>
      </c>
      <c r="O46" s="57">
        <v>83</v>
      </c>
      <c r="P46" s="57">
        <v>976</v>
      </c>
      <c r="Q46" s="58">
        <v>9047</v>
      </c>
      <c r="R46" s="59">
        <v>91220</v>
      </c>
      <c r="S46" s="59">
        <v>906147</v>
      </c>
      <c r="W46" s="4"/>
    </row>
    <row r="47" spans="1:23" x14ac:dyDescent="0.15">
      <c r="A47" s="32">
        <v>40</v>
      </c>
      <c r="B47" s="26" t="s">
        <v>98</v>
      </c>
      <c r="C47" s="76">
        <v>7</v>
      </c>
      <c r="D47" s="76">
        <v>9</v>
      </c>
      <c r="E47" s="76">
        <v>6</v>
      </c>
      <c r="F47" s="76">
        <v>4</v>
      </c>
      <c r="G47" s="76">
        <v>9</v>
      </c>
      <c r="H47" s="76">
        <v>5</v>
      </c>
      <c r="I47" s="13">
        <v>1</v>
      </c>
      <c r="J47" s="33">
        <v>23147125</v>
      </c>
      <c r="K47" s="77">
        <v>1</v>
      </c>
      <c r="L47" s="18">
        <v>1577777</v>
      </c>
      <c r="M47" s="18">
        <v>82333.5</v>
      </c>
      <c r="N47" s="56">
        <v>6</v>
      </c>
      <c r="O47" s="57">
        <v>75</v>
      </c>
      <c r="P47" s="57">
        <v>831</v>
      </c>
      <c r="Q47" s="58">
        <v>8081</v>
      </c>
      <c r="R47" s="59">
        <v>80432</v>
      </c>
      <c r="S47" s="59">
        <v>802578</v>
      </c>
      <c r="W47" s="4"/>
    </row>
    <row r="48" spans="1:23" x14ac:dyDescent="0.15">
      <c r="A48" s="32">
        <v>41</v>
      </c>
      <c r="B48" s="26" t="s">
        <v>99</v>
      </c>
      <c r="C48" s="76">
        <v>5</v>
      </c>
      <c r="D48" s="76">
        <v>6</v>
      </c>
      <c r="E48" s="76">
        <v>8</v>
      </c>
      <c r="F48" s="76">
        <v>5</v>
      </c>
      <c r="G48" s="76">
        <v>3</v>
      </c>
      <c r="H48" s="76">
        <v>8</v>
      </c>
      <c r="I48" s="13">
        <v>4</v>
      </c>
      <c r="J48" s="33">
        <v>23271880</v>
      </c>
      <c r="K48" s="77">
        <v>1</v>
      </c>
      <c r="L48" s="34">
        <v>1677777</v>
      </c>
      <c r="M48" s="18">
        <v>59187.199999999997</v>
      </c>
      <c r="N48" s="56">
        <v>10</v>
      </c>
      <c r="O48" s="57">
        <v>77</v>
      </c>
      <c r="P48" s="57">
        <v>821</v>
      </c>
      <c r="Q48" s="58">
        <v>8728</v>
      </c>
      <c r="R48" s="59">
        <v>84934</v>
      </c>
      <c r="S48" s="59">
        <v>849289</v>
      </c>
      <c r="W48" s="4"/>
    </row>
    <row r="49" spans="1:23" x14ac:dyDescent="0.15">
      <c r="A49" s="32">
        <v>42</v>
      </c>
      <c r="B49" s="26" t="s">
        <v>100</v>
      </c>
      <c r="C49" s="76">
        <v>4</v>
      </c>
      <c r="D49" s="76">
        <v>0</v>
      </c>
      <c r="E49" s="76">
        <v>8</v>
      </c>
      <c r="F49" s="76">
        <v>6</v>
      </c>
      <c r="G49" s="76">
        <v>6</v>
      </c>
      <c r="H49" s="76">
        <v>1</v>
      </c>
      <c r="I49" s="13">
        <v>6</v>
      </c>
      <c r="J49" s="33">
        <v>22941242.5</v>
      </c>
      <c r="K49" s="159" t="s">
        <v>23</v>
      </c>
      <c r="L49" s="34"/>
      <c r="M49" s="18">
        <v>1690309.5</v>
      </c>
      <c r="N49" s="56">
        <v>4</v>
      </c>
      <c r="O49" s="57">
        <v>86</v>
      </c>
      <c r="P49" s="57">
        <v>811</v>
      </c>
      <c r="Q49" s="58">
        <v>8598</v>
      </c>
      <c r="R49" s="59">
        <v>83811</v>
      </c>
      <c r="S49" s="59">
        <v>843664</v>
      </c>
      <c r="W49" s="4"/>
    </row>
    <row r="50" spans="1:23" x14ac:dyDescent="0.15">
      <c r="A50" s="32">
        <v>43</v>
      </c>
      <c r="B50" s="26" t="s">
        <v>101</v>
      </c>
      <c r="C50" s="76">
        <v>0</v>
      </c>
      <c r="D50" s="76">
        <v>0</v>
      </c>
      <c r="E50" s="76">
        <v>4</v>
      </c>
      <c r="F50" s="76">
        <v>2</v>
      </c>
      <c r="G50" s="76">
        <v>4</v>
      </c>
      <c r="H50" s="76">
        <v>1</v>
      </c>
      <c r="I50" s="13">
        <v>1</v>
      </c>
      <c r="J50" s="33">
        <v>24288235</v>
      </c>
      <c r="K50" s="159" t="s">
        <v>23</v>
      </c>
      <c r="L50" s="34"/>
      <c r="M50" s="18">
        <v>3417203</v>
      </c>
      <c r="N50" s="56">
        <v>9</v>
      </c>
      <c r="O50" s="57">
        <v>105</v>
      </c>
      <c r="P50" s="57">
        <v>833</v>
      </c>
      <c r="Q50" s="58">
        <v>8485</v>
      </c>
      <c r="R50" s="59">
        <v>83482</v>
      </c>
      <c r="S50" s="59">
        <v>837188</v>
      </c>
    </row>
    <row r="51" spans="1:23" x14ac:dyDescent="0.15">
      <c r="A51" s="32">
        <v>44</v>
      </c>
      <c r="B51" s="26" t="s">
        <v>102</v>
      </c>
      <c r="C51" s="76">
        <v>8</v>
      </c>
      <c r="D51" s="76">
        <v>4</v>
      </c>
      <c r="E51" s="76">
        <v>6</v>
      </c>
      <c r="F51" s="76">
        <v>8</v>
      </c>
      <c r="G51" s="76">
        <v>7</v>
      </c>
      <c r="H51" s="76">
        <v>7</v>
      </c>
      <c r="I51" s="13">
        <v>7</v>
      </c>
      <c r="J51" s="33">
        <v>24806677.5</v>
      </c>
      <c r="K51" s="77">
        <v>1</v>
      </c>
      <c r="L51" s="18">
        <v>5177777</v>
      </c>
      <c r="M51" s="18">
        <v>3180.8</v>
      </c>
      <c r="N51" s="56">
        <v>14</v>
      </c>
      <c r="O51" s="57">
        <v>90</v>
      </c>
      <c r="P51" s="57">
        <v>936</v>
      </c>
      <c r="Q51" s="58">
        <v>9644</v>
      </c>
      <c r="R51" s="59">
        <v>91807</v>
      </c>
      <c r="S51" s="59">
        <v>905758</v>
      </c>
    </row>
    <row r="52" spans="1:23" x14ac:dyDescent="0.15">
      <c r="A52" s="32">
        <v>45</v>
      </c>
      <c r="B52" s="26" t="s">
        <v>103</v>
      </c>
      <c r="C52" s="76">
        <v>1</v>
      </c>
      <c r="D52" s="76">
        <v>4</v>
      </c>
      <c r="E52" s="76">
        <v>5</v>
      </c>
      <c r="F52" s="76">
        <v>1</v>
      </c>
      <c r="G52" s="76">
        <v>6</v>
      </c>
      <c r="H52" s="76">
        <v>6</v>
      </c>
      <c r="I52" s="13">
        <v>0</v>
      </c>
      <c r="J52" s="33">
        <v>23364700</v>
      </c>
      <c r="K52" s="77">
        <v>1</v>
      </c>
      <c r="L52" s="18">
        <v>1577777</v>
      </c>
      <c r="M52" s="18">
        <v>86634</v>
      </c>
      <c r="N52" s="56">
        <v>7</v>
      </c>
      <c r="O52" s="57">
        <v>81</v>
      </c>
      <c r="P52" s="57">
        <v>825</v>
      </c>
      <c r="Q52" s="58">
        <v>8006</v>
      </c>
      <c r="R52" s="59">
        <v>80059</v>
      </c>
      <c r="S52" s="59">
        <v>801753</v>
      </c>
    </row>
    <row r="53" spans="1:23" x14ac:dyDescent="0.15">
      <c r="A53" s="32">
        <v>46</v>
      </c>
      <c r="B53" s="26" t="s">
        <v>104</v>
      </c>
      <c r="C53" s="76">
        <v>1</v>
      </c>
      <c r="D53" s="76">
        <v>9</v>
      </c>
      <c r="E53" s="76">
        <v>5</v>
      </c>
      <c r="F53" s="76">
        <v>0</v>
      </c>
      <c r="G53" s="76">
        <v>5</v>
      </c>
      <c r="H53" s="76">
        <v>4</v>
      </c>
      <c r="I53" s="13">
        <v>5</v>
      </c>
      <c r="J53" s="33">
        <v>22884175</v>
      </c>
      <c r="K53" s="77">
        <v>2</v>
      </c>
      <c r="L53" s="18">
        <v>777777</v>
      </c>
      <c r="M53" s="18">
        <v>158144.79999999999</v>
      </c>
      <c r="N53" s="56">
        <v>5</v>
      </c>
      <c r="O53" s="57">
        <v>84</v>
      </c>
      <c r="P53" s="57">
        <v>802</v>
      </c>
      <c r="Q53" s="58">
        <v>8391</v>
      </c>
      <c r="R53" s="59">
        <v>84875</v>
      </c>
      <c r="S53" s="59">
        <v>841374</v>
      </c>
    </row>
    <row r="54" spans="1:23" x14ac:dyDescent="0.15">
      <c r="A54" s="32">
        <v>47</v>
      </c>
      <c r="B54" s="26" t="s">
        <v>105</v>
      </c>
      <c r="C54" s="76">
        <v>3</v>
      </c>
      <c r="D54" s="76">
        <v>0</v>
      </c>
      <c r="E54" s="76">
        <v>5</v>
      </c>
      <c r="F54" s="76">
        <v>3</v>
      </c>
      <c r="G54" s="76">
        <v>5</v>
      </c>
      <c r="H54" s="76">
        <v>9</v>
      </c>
      <c r="I54" s="13">
        <v>7</v>
      </c>
      <c r="J54" s="33">
        <v>23290662.5</v>
      </c>
      <c r="K54" s="77">
        <v>3</v>
      </c>
      <c r="L54" s="18">
        <v>577777</v>
      </c>
      <c r="M54" s="18">
        <v>80779.899999999994</v>
      </c>
      <c r="N54" s="56">
        <v>11</v>
      </c>
      <c r="O54" s="57">
        <v>105</v>
      </c>
      <c r="P54" s="57">
        <v>856</v>
      </c>
      <c r="Q54" s="58">
        <v>8593</v>
      </c>
      <c r="R54" s="59">
        <v>85336</v>
      </c>
      <c r="S54" s="59">
        <v>853969</v>
      </c>
    </row>
    <row r="55" spans="1:23" x14ac:dyDescent="0.15">
      <c r="A55" s="32">
        <v>48</v>
      </c>
      <c r="B55" s="26" t="s">
        <v>106</v>
      </c>
      <c r="C55" s="76">
        <v>8</v>
      </c>
      <c r="D55" s="76">
        <v>5</v>
      </c>
      <c r="E55" s="76">
        <v>7</v>
      </c>
      <c r="F55" s="76">
        <v>7</v>
      </c>
      <c r="G55" s="76">
        <v>9</v>
      </c>
      <c r="H55" s="76">
        <v>7</v>
      </c>
      <c r="I55" s="13">
        <v>5</v>
      </c>
      <c r="J55" s="33">
        <v>32271690</v>
      </c>
      <c r="K55" s="77">
        <v>2</v>
      </c>
      <c r="L55" s="18">
        <v>1177777</v>
      </c>
      <c r="M55" s="18">
        <v>19743.099999999999</v>
      </c>
      <c r="N55" s="56">
        <v>8</v>
      </c>
      <c r="O55" s="57">
        <v>98</v>
      </c>
      <c r="P55" s="57">
        <v>1209</v>
      </c>
      <c r="Q55" s="58">
        <v>11790</v>
      </c>
      <c r="R55" s="59">
        <v>117024</v>
      </c>
      <c r="S55" s="59">
        <v>1163713</v>
      </c>
    </row>
    <row r="56" spans="1:23" x14ac:dyDescent="0.15">
      <c r="A56" s="32">
        <v>49</v>
      </c>
      <c r="B56" s="26" t="s">
        <v>107</v>
      </c>
      <c r="C56" s="76">
        <v>3</v>
      </c>
      <c r="D56" s="76">
        <v>2</v>
      </c>
      <c r="E56" s="76">
        <v>3</v>
      </c>
      <c r="F56" s="76">
        <v>9</v>
      </c>
      <c r="G56" s="76">
        <v>1</v>
      </c>
      <c r="H56" s="76">
        <v>3</v>
      </c>
      <c r="I56" s="13">
        <v>4</v>
      </c>
      <c r="J56" s="33">
        <v>24709582.5</v>
      </c>
      <c r="K56" s="159" t="s">
        <v>23</v>
      </c>
      <c r="L56" s="34"/>
      <c r="M56" s="18">
        <v>1776594.4</v>
      </c>
      <c r="N56" s="56">
        <v>10</v>
      </c>
      <c r="O56" s="57">
        <v>99</v>
      </c>
      <c r="P56" s="57">
        <v>890</v>
      </c>
      <c r="Q56" s="58">
        <v>8956</v>
      </c>
      <c r="R56" s="59">
        <v>88586</v>
      </c>
      <c r="S56" s="59">
        <v>879769</v>
      </c>
    </row>
    <row r="57" spans="1:23" x14ac:dyDescent="0.15">
      <c r="A57" s="32">
        <v>50</v>
      </c>
      <c r="B57" s="26" t="s">
        <v>108</v>
      </c>
      <c r="C57" s="76">
        <v>1</v>
      </c>
      <c r="D57" s="76">
        <v>5</v>
      </c>
      <c r="E57" s="76">
        <v>2</v>
      </c>
      <c r="F57" s="76">
        <v>6</v>
      </c>
      <c r="G57" s="76">
        <v>0</v>
      </c>
      <c r="H57" s="76">
        <v>4</v>
      </c>
      <c r="I57" s="13">
        <v>8</v>
      </c>
      <c r="J57" s="33">
        <v>25976752.5</v>
      </c>
      <c r="K57" s="77">
        <v>1</v>
      </c>
      <c r="L57" s="34">
        <v>3577777</v>
      </c>
      <c r="M57" s="18">
        <v>45764.5</v>
      </c>
      <c r="N57" s="56">
        <v>6</v>
      </c>
      <c r="O57" s="57">
        <v>98</v>
      </c>
      <c r="P57" s="57">
        <v>917</v>
      </c>
      <c r="Q57" s="58">
        <v>9297</v>
      </c>
      <c r="R57" s="59">
        <v>95619</v>
      </c>
      <c r="S57" s="59">
        <v>939725</v>
      </c>
    </row>
    <row r="58" spans="1:23" x14ac:dyDescent="0.15">
      <c r="A58" s="32">
        <v>51</v>
      </c>
      <c r="B58" s="26" t="s">
        <v>109</v>
      </c>
      <c r="C58" s="76">
        <v>1</v>
      </c>
      <c r="D58" s="76">
        <v>7</v>
      </c>
      <c r="E58" s="76">
        <v>3</v>
      </c>
      <c r="F58" s="76">
        <v>8</v>
      </c>
      <c r="G58" s="76">
        <v>3</v>
      </c>
      <c r="H58" s="76">
        <v>8</v>
      </c>
      <c r="I58" s="13">
        <v>3</v>
      </c>
      <c r="J58" s="33">
        <v>24779030</v>
      </c>
      <c r="K58" s="77">
        <v>2</v>
      </c>
      <c r="L58" s="34">
        <v>877777</v>
      </c>
      <c r="M58" s="18">
        <v>51999.5</v>
      </c>
      <c r="N58" s="56">
        <v>9</v>
      </c>
      <c r="O58" s="57">
        <v>90</v>
      </c>
      <c r="P58" s="57">
        <v>897</v>
      </c>
      <c r="Q58" s="58">
        <v>9183</v>
      </c>
      <c r="R58" s="59">
        <v>89924</v>
      </c>
      <c r="S58" s="59">
        <v>901920</v>
      </c>
    </row>
    <row r="59" spans="1:23" x14ac:dyDescent="0.15">
      <c r="A59" s="36">
        <v>52</v>
      </c>
      <c r="B59" s="26">
        <v>34335</v>
      </c>
      <c r="C59" s="38">
        <v>1</v>
      </c>
      <c r="D59" s="38">
        <v>7</v>
      </c>
      <c r="E59" s="38">
        <v>9</v>
      </c>
      <c r="F59" s="38">
        <v>5</v>
      </c>
      <c r="G59" s="38">
        <v>8</v>
      </c>
      <c r="H59" s="38">
        <v>3</v>
      </c>
      <c r="I59" s="39">
        <v>6</v>
      </c>
      <c r="J59" s="40">
        <v>24289722.5</v>
      </c>
      <c r="K59" s="71">
        <v>3</v>
      </c>
      <c r="L59" s="42">
        <v>577777</v>
      </c>
      <c r="M59" s="43">
        <v>45667.8</v>
      </c>
      <c r="N59" s="61">
        <v>5</v>
      </c>
      <c r="O59" s="62">
        <v>100</v>
      </c>
      <c r="P59" s="62">
        <v>930</v>
      </c>
      <c r="Q59" s="63">
        <v>8868</v>
      </c>
      <c r="R59" s="64">
        <v>90860</v>
      </c>
      <c r="S59" s="64">
        <v>891778</v>
      </c>
    </row>
    <row r="60" spans="1:23" x14ac:dyDescent="0.15">
      <c r="A60" s="130"/>
      <c r="B60" s="97"/>
      <c r="C60" s="97"/>
      <c r="D60" s="97"/>
      <c r="E60" s="97"/>
      <c r="F60" s="97"/>
      <c r="G60" s="97"/>
      <c r="H60" s="97" t="s">
        <v>24</v>
      </c>
      <c r="I60" s="97"/>
      <c r="J60" s="97"/>
      <c r="K60" s="131">
        <f>SUM(K8:K59)</f>
        <v>54</v>
      </c>
      <c r="L60" s="132"/>
      <c r="M60" s="133"/>
      <c r="N60" s="134">
        <f t="shared" ref="N60:S60" si="0">SUM(N8:N59)</f>
        <v>445</v>
      </c>
      <c r="O60" s="135">
        <f t="shared" si="0"/>
        <v>4435</v>
      </c>
      <c r="P60" s="135">
        <f t="shared" si="0"/>
        <v>44534</v>
      </c>
      <c r="Q60" s="136">
        <f t="shared" si="0"/>
        <v>446815</v>
      </c>
      <c r="R60" s="133">
        <f t="shared" si="0"/>
        <v>4462915</v>
      </c>
      <c r="S60" s="129">
        <f t="shared" si="0"/>
        <v>44597062</v>
      </c>
    </row>
    <row r="61" spans="1:23" x14ac:dyDescent="0.15">
      <c r="W61" s="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1" orientation="landscape" horizontalDpi="4294967292" verticalDpi="4294967292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125"/>
  <sheetViews>
    <sheetView topLeftCell="D28" workbookViewId="0">
      <selection activeCell="I50" sqref="I50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9" width="15.6640625" customWidth="1"/>
  </cols>
  <sheetData>
    <row r="2" spans="1:23" ht="12.75" x14ac:dyDescent="0.2">
      <c r="A2" s="1" t="s">
        <v>0</v>
      </c>
      <c r="S2" s="3" t="s">
        <v>110</v>
      </c>
      <c r="U2" s="4"/>
    </row>
    <row r="3" spans="1:23" ht="12.75" x14ac:dyDescent="0.2">
      <c r="A3" s="6" t="s">
        <v>2</v>
      </c>
      <c r="P3" s="3"/>
      <c r="U3" s="4"/>
    </row>
    <row r="4" spans="1:23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9"/>
      <c r="L4" s="12"/>
      <c r="M4" s="11"/>
      <c r="N4" s="8"/>
      <c r="O4" s="8"/>
      <c r="P4" s="8"/>
      <c r="Q4" s="8"/>
      <c r="R4" s="8"/>
      <c r="S4" s="8"/>
      <c r="W4" s="4"/>
    </row>
    <row r="5" spans="1:23" x14ac:dyDescent="0.15">
      <c r="A5" s="13" t="s">
        <v>3</v>
      </c>
      <c r="B5" s="14">
        <v>1994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92" t="s">
        <v>7</v>
      </c>
      <c r="L5" s="18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S5" s="14" t="s">
        <v>49</v>
      </c>
      <c r="W5" s="4"/>
    </row>
    <row r="6" spans="1:23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92" t="s">
        <v>50</v>
      </c>
      <c r="L6" s="18"/>
      <c r="M6" s="14" t="s">
        <v>14</v>
      </c>
      <c r="N6" s="74" t="s">
        <v>51</v>
      </c>
      <c r="O6" s="74" t="s">
        <v>52</v>
      </c>
      <c r="P6" s="74" t="s">
        <v>53</v>
      </c>
      <c r="Q6" s="74" t="s">
        <v>54</v>
      </c>
      <c r="R6" s="74" t="s">
        <v>55</v>
      </c>
      <c r="S6" s="14" t="s">
        <v>56</v>
      </c>
      <c r="W6" s="4"/>
    </row>
    <row r="7" spans="1:23" x14ac:dyDescent="0.15">
      <c r="A7" s="13"/>
      <c r="B7" s="21"/>
      <c r="C7" s="76"/>
      <c r="D7" s="76"/>
      <c r="E7" s="76"/>
      <c r="F7" s="76"/>
      <c r="G7" s="76"/>
      <c r="H7" s="76"/>
      <c r="I7" s="13"/>
      <c r="J7" s="14"/>
      <c r="K7" s="143" t="s">
        <v>15</v>
      </c>
      <c r="L7" s="23" t="s">
        <v>14</v>
      </c>
      <c r="M7" s="14"/>
      <c r="N7" s="74" t="s">
        <v>15</v>
      </c>
      <c r="O7" s="74" t="s">
        <v>15</v>
      </c>
      <c r="P7" s="74" t="s">
        <v>15</v>
      </c>
      <c r="Q7" s="74" t="s">
        <v>15</v>
      </c>
      <c r="R7" s="74" t="s">
        <v>15</v>
      </c>
      <c r="S7" s="21" t="s">
        <v>15</v>
      </c>
      <c r="W7" s="4"/>
    </row>
    <row r="8" spans="1:23" x14ac:dyDescent="0.15">
      <c r="A8" s="25">
        <v>1</v>
      </c>
      <c r="B8" s="26" t="s">
        <v>111</v>
      </c>
      <c r="C8" s="27">
        <v>5</v>
      </c>
      <c r="D8" s="27">
        <v>1</v>
      </c>
      <c r="E8" s="27">
        <v>6</v>
      </c>
      <c r="F8" s="27">
        <v>6</v>
      </c>
      <c r="G8" s="27">
        <v>5</v>
      </c>
      <c r="H8" s="27">
        <v>8</v>
      </c>
      <c r="I8" s="7">
        <v>9</v>
      </c>
      <c r="J8" s="28">
        <v>23826730</v>
      </c>
      <c r="K8" s="73">
        <v>1</v>
      </c>
      <c r="L8" s="29">
        <v>1677777</v>
      </c>
      <c r="M8" s="12">
        <v>61971.3</v>
      </c>
      <c r="N8" s="52">
        <v>8</v>
      </c>
      <c r="O8" s="53">
        <v>79</v>
      </c>
      <c r="P8" s="53">
        <v>867</v>
      </c>
      <c r="Q8" s="54">
        <v>8878</v>
      </c>
      <c r="R8" s="55">
        <v>87507</v>
      </c>
      <c r="S8" s="55">
        <v>872441</v>
      </c>
      <c r="W8" s="4"/>
    </row>
    <row r="9" spans="1:23" x14ac:dyDescent="0.15">
      <c r="A9" s="32">
        <v>2</v>
      </c>
      <c r="B9" s="26" t="s">
        <v>112</v>
      </c>
      <c r="C9" s="76">
        <v>8</v>
      </c>
      <c r="D9" s="76">
        <v>6</v>
      </c>
      <c r="E9" s="76">
        <v>2</v>
      </c>
      <c r="F9" s="76">
        <v>5</v>
      </c>
      <c r="G9" s="76">
        <v>5</v>
      </c>
      <c r="H9" s="76">
        <v>4</v>
      </c>
      <c r="I9" s="13">
        <v>8</v>
      </c>
      <c r="J9" s="33">
        <v>30733265</v>
      </c>
      <c r="K9" s="159" t="s">
        <v>23</v>
      </c>
      <c r="L9" s="34"/>
      <c r="M9" s="18">
        <v>2247106.4</v>
      </c>
      <c r="N9" s="56">
        <v>11</v>
      </c>
      <c r="O9" s="57">
        <v>103</v>
      </c>
      <c r="P9" s="57">
        <v>1128</v>
      </c>
      <c r="Q9" s="58">
        <v>11422</v>
      </c>
      <c r="R9" s="59">
        <v>113887</v>
      </c>
      <c r="S9" s="59">
        <v>1129344</v>
      </c>
      <c r="W9" s="4"/>
    </row>
    <row r="10" spans="1:23" x14ac:dyDescent="0.15">
      <c r="A10" s="32">
        <v>3</v>
      </c>
      <c r="B10" s="26" t="s">
        <v>113</v>
      </c>
      <c r="C10" s="76">
        <v>7</v>
      </c>
      <c r="D10" s="76">
        <v>1</v>
      </c>
      <c r="E10" s="76">
        <v>2</v>
      </c>
      <c r="F10" s="76">
        <v>3</v>
      </c>
      <c r="G10" s="76">
        <v>7</v>
      </c>
      <c r="H10" s="76">
        <v>3</v>
      </c>
      <c r="I10" s="13">
        <v>7</v>
      </c>
      <c r="J10" s="33">
        <v>25395410</v>
      </c>
      <c r="K10" s="77">
        <v>1</v>
      </c>
      <c r="L10" s="18">
        <v>3977777</v>
      </c>
      <c r="M10" s="18">
        <v>74943.100000000006</v>
      </c>
      <c r="N10" s="56">
        <v>10</v>
      </c>
      <c r="O10" s="57">
        <v>102</v>
      </c>
      <c r="P10" s="57">
        <v>923</v>
      </c>
      <c r="Q10" s="58">
        <v>9505</v>
      </c>
      <c r="R10" s="59">
        <v>96011</v>
      </c>
      <c r="S10" s="59">
        <v>953574</v>
      </c>
      <c r="W10" s="4"/>
    </row>
    <row r="11" spans="1:23" x14ac:dyDescent="0.15">
      <c r="A11" s="32">
        <v>4</v>
      </c>
      <c r="B11" s="26" t="s">
        <v>114</v>
      </c>
      <c r="C11" s="76">
        <v>5</v>
      </c>
      <c r="D11" s="76">
        <v>1</v>
      </c>
      <c r="E11" s="76">
        <v>4</v>
      </c>
      <c r="F11" s="76">
        <v>8</v>
      </c>
      <c r="G11" s="76">
        <v>4</v>
      </c>
      <c r="H11" s="76">
        <v>5</v>
      </c>
      <c r="I11" s="13">
        <v>1</v>
      </c>
      <c r="J11" s="33">
        <v>24180717.5</v>
      </c>
      <c r="K11" s="77">
        <v>1</v>
      </c>
      <c r="L11" s="18">
        <v>1177777</v>
      </c>
      <c r="M11" s="18">
        <v>16415.099999999999</v>
      </c>
      <c r="N11" s="56">
        <v>11</v>
      </c>
      <c r="O11" s="57">
        <v>90</v>
      </c>
      <c r="P11" s="57">
        <v>807</v>
      </c>
      <c r="Q11" s="58">
        <v>8760</v>
      </c>
      <c r="R11" s="59">
        <v>84859</v>
      </c>
      <c r="S11" s="59">
        <v>848209</v>
      </c>
      <c r="W11" s="4"/>
    </row>
    <row r="12" spans="1:23" x14ac:dyDescent="0.15">
      <c r="A12" s="32">
        <v>5</v>
      </c>
      <c r="B12" s="26" t="s">
        <v>115</v>
      </c>
      <c r="C12" s="76">
        <v>4</v>
      </c>
      <c r="D12" s="76">
        <v>6</v>
      </c>
      <c r="E12" s="76">
        <v>4</v>
      </c>
      <c r="F12" s="76">
        <v>7</v>
      </c>
      <c r="G12" s="76">
        <v>6</v>
      </c>
      <c r="H12" s="76">
        <v>2</v>
      </c>
      <c r="I12" s="13">
        <v>7</v>
      </c>
      <c r="J12" s="33">
        <v>25200055</v>
      </c>
      <c r="K12" s="159" t="s">
        <v>23</v>
      </c>
      <c r="L12" s="34"/>
      <c r="M12" s="18">
        <v>1808139</v>
      </c>
      <c r="N12" s="56">
        <v>9</v>
      </c>
      <c r="O12" s="57">
        <v>103</v>
      </c>
      <c r="P12" s="57">
        <v>895</v>
      </c>
      <c r="Q12" s="58">
        <v>9481</v>
      </c>
      <c r="R12" s="59">
        <v>92908</v>
      </c>
      <c r="S12" s="59">
        <v>922949</v>
      </c>
      <c r="W12" s="4"/>
    </row>
    <row r="13" spans="1:23" x14ac:dyDescent="0.15">
      <c r="A13" s="32">
        <v>6</v>
      </c>
      <c r="B13" s="26" t="s">
        <v>116</v>
      </c>
      <c r="C13" s="76">
        <v>8</v>
      </c>
      <c r="D13" s="76">
        <v>3</v>
      </c>
      <c r="E13" s="76">
        <v>6</v>
      </c>
      <c r="F13" s="76">
        <v>0</v>
      </c>
      <c r="G13" s="76">
        <v>3</v>
      </c>
      <c r="H13" s="76">
        <v>6</v>
      </c>
      <c r="I13" s="13">
        <v>5</v>
      </c>
      <c r="J13" s="33">
        <v>24100367.5</v>
      </c>
      <c r="K13" s="159" t="s">
        <v>23</v>
      </c>
      <c r="L13" s="34"/>
      <c r="M13" s="18">
        <v>3521675.1</v>
      </c>
      <c r="N13" s="56">
        <v>7</v>
      </c>
      <c r="O13" s="57">
        <v>80</v>
      </c>
      <c r="P13" s="57">
        <v>903</v>
      </c>
      <c r="Q13" s="58">
        <v>8902</v>
      </c>
      <c r="R13" s="59">
        <v>89240</v>
      </c>
      <c r="S13" s="59">
        <v>885678</v>
      </c>
      <c r="W13" s="4"/>
    </row>
    <row r="14" spans="1:23" x14ac:dyDescent="0.15">
      <c r="A14" s="32">
        <v>7</v>
      </c>
      <c r="B14" s="26" t="s">
        <v>117</v>
      </c>
      <c r="C14" s="76">
        <v>1</v>
      </c>
      <c r="D14" s="76">
        <v>2</v>
      </c>
      <c r="E14" s="76">
        <v>3</v>
      </c>
      <c r="F14" s="76">
        <v>6</v>
      </c>
      <c r="G14" s="76">
        <v>2</v>
      </c>
      <c r="H14" s="76">
        <v>9</v>
      </c>
      <c r="I14" s="13">
        <v>6</v>
      </c>
      <c r="J14" s="33">
        <v>24744757.5</v>
      </c>
      <c r="K14" s="159" t="s">
        <v>23</v>
      </c>
      <c r="L14" s="34"/>
      <c r="M14" s="18">
        <v>5281027.4000000004</v>
      </c>
      <c r="N14" s="56">
        <v>6</v>
      </c>
      <c r="O14" s="57">
        <v>79</v>
      </c>
      <c r="P14" s="57">
        <v>876</v>
      </c>
      <c r="Q14" s="58">
        <v>8502</v>
      </c>
      <c r="R14" s="59">
        <v>85567</v>
      </c>
      <c r="S14" s="59">
        <v>845722</v>
      </c>
      <c r="W14" s="4"/>
    </row>
    <row r="15" spans="1:23" x14ac:dyDescent="0.15">
      <c r="A15" s="32">
        <v>8</v>
      </c>
      <c r="B15" s="26" t="s">
        <v>118</v>
      </c>
      <c r="C15" s="76">
        <v>9</v>
      </c>
      <c r="D15" s="76">
        <v>1</v>
      </c>
      <c r="E15" s="76">
        <v>4</v>
      </c>
      <c r="F15" s="76">
        <v>5</v>
      </c>
      <c r="G15" s="76">
        <v>3</v>
      </c>
      <c r="H15" s="76">
        <v>8</v>
      </c>
      <c r="I15" s="13">
        <v>2</v>
      </c>
      <c r="J15" s="33">
        <v>27017895</v>
      </c>
      <c r="K15" s="77">
        <v>1</v>
      </c>
      <c r="L15" s="34">
        <v>7177777</v>
      </c>
      <c r="M15" s="18">
        <v>24222.7</v>
      </c>
      <c r="N15" s="56">
        <v>11</v>
      </c>
      <c r="O15" s="57">
        <v>108</v>
      </c>
      <c r="P15" s="57">
        <v>968</v>
      </c>
      <c r="Q15" s="58">
        <v>9690</v>
      </c>
      <c r="R15" s="59">
        <v>96310</v>
      </c>
      <c r="S15" s="59">
        <v>959748</v>
      </c>
      <c r="W15" s="4"/>
    </row>
    <row r="16" spans="1:23" x14ac:dyDescent="0.15">
      <c r="A16" s="32">
        <v>9</v>
      </c>
      <c r="B16" s="26" t="s">
        <v>119</v>
      </c>
      <c r="C16" s="76">
        <v>9</v>
      </c>
      <c r="D16" s="76">
        <v>3</v>
      </c>
      <c r="E16" s="76">
        <v>9</v>
      </c>
      <c r="F16" s="76">
        <v>4</v>
      </c>
      <c r="G16" s="76">
        <v>1</v>
      </c>
      <c r="H16" s="76">
        <v>7</v>
      </c>
      <c r="I16" s="13">
        <v>4</v>
      </c>
      <c r="J16" s="33">
        <v>26401292.5</v>
      </c>
      <c r="K16" s="159" t="s">
        <v>23</v>
      </c>
      <c r="L16" s="34"/>
      <c r="M16" s="18">
        <v>1901354.6</v>
      </c>
      <c r="N16" s="56">
        <v>7</v>
      </c>
      <c r="O16" s="57">
        <v>102</v>
      </c>
      <c r="P16" s="57">
        <v>974</v>
      </c>
      <c r="Q16" s="58">
        <v>9855</v>
      </c>
      <c r="R16" s="59">
        <v>97317</v>
      </c>
      <c r="S16" s="59">
        <v>966542</v>
      </c>
      <c r="W16" s="4"/>
    </row>
    <row r="17" spans="1:23" x14ac:dyDescent="0.15">
      <c r="A17" s="32">
        <v>10</v>
      </c>
      <c r="B17" s="26" t="s">
        <v>120</v>
      </c>
      <c r="C17" s="76">
        <v>0</v>
      </c>
      <c r="D17" s="76">
        <v>7</v>
      </c>
      <c r="E17" s="76">
        <v>6</v>
      </c>
      <c r="F17" s="76">
        <v>0</v>
      </c>
      <c r="G17" s="76">
        <v>0</v>
      </c>
      <c r="H17" s="76">
        <v>2</v>
      </c>
      <c r="I17" s="13">
        <v>4</v>
      </c>
      <c r="J17" s="33">
        <v>24387010</v>
      </c>
      <c r="K17" s="77">
        <v>1</v>
      </c>
      <c r="L17" s="34">
        <v>3577777</v>
      </c>
      <c r="M17" s="18">
        <v>57494</v>
      </c>
      <c r="N17" s="56">
        <v>9</v>
      </c>
      <c r="O17" s="57">
        <v>87</v>
      </c>
      <c r="P17" s="57">
        <v>764</v>
      </c>
      <c r="Q17" s="58">
        <v>8460</v>
      </c>
      <c r="R17" s="59">
        <v>87014</v>
      </c>
      <c r="S17" s="59">
        <v>859080</v>
      </c>
      <c r="W17" s="4"/>
    </row>
    <row r="18" spans="1:23" x14ac:dyDescent="0.15">
      <c r="A18" s="32">
        <v>11</v>
      </c>
      <c r="B18" s="26" t="s">
        <v>121</v>
      </c>
      <c r="C18" s="76">
        <v>3</v>
      </c>
      <c r="D18" s="76">
        <v>3</v>
      </c>
      <c r="E18" s="76">
        <v>0</v>
      </c>
      <c r="F18" s="76">
        <v>8</v>
      </c>
      <c r="G18" s="76">
        <v>6</v>
      </c>
      <c r="H18" s="76">
        <v>3</v>
      </c>
      <c r="I18" s="13">
        <v>3</v>
      </c>
      <c r="J18" s="33">
        <v>23890997.5</v>
      </c>
      <c r="K18" s="77">
        <v>1</v>
      </c>
      <c r="L18" s="34">
        <v>1677777</v>
      </c>
      <c r="M18" s="18">
        <v>78366.899999999994</v>
      </c>
      <c r="N18" s="56">
        <v>10</v>
      </c>
      <c r="O18" s="57">
        <v>64</v>
      </c>
      <c r="P18" s="57">
        <v>901</v>
      </c>
      <c r="Q18" s="58">
        <v>8773</v>
      </c>
      <c r="R18" s="59">
        <v>87138</v>
      </c>
      <c r="S18" s="59">
        <v>869649</v>
      </c>
      <c r="W18" s="4"/>
    </row>
    <row r="19" spans="1:23" x14ac:dyDescent="0.15">
      <c r="A19" s="32">
        <v>12</v>
      </c>
      <c r="B19" s="26" t="s">
        <v>122</v>
      </c>
      <c r="C19" s="76">
        <v>2</v>
      </c>
      <c r="D19" s="76">
        <v>3</v>
      </c>
      <c r="E19" s="76">
        <v>3</v>
      </c>
      <c r="F19" s="76">
        <v>6</v>
      </c>
      <c r="G19" s="76">
        <v>8</v>
      </c>
      <c r="H19" s="76">
        <v>3</v>
      </c>
      <c r="I19" s="13">
        <v>9</v>
      </c>
      <c r="J19" s="33">
        <v>23647862.5</v>
      </c>
      <c r="K19" s="77">
        <v>2</v>
      </c>
      <c r="L19" s="34">
        <v>877777</v>
      </c>
      <c r="M19" s="18">
        <v>4175.8999999999996</v>
      </c>
      <c r="N19" s="56">
        <v>12</v>
      </c>
      <c r="O19" s="57">
        <v>86</v>
      </c>
      <c r="P19" s="57">
        <v>818</v>
      </c>
      <c r="Q19" s="58">
        <v>8813</v>
      </c>
      <c r="R19" s="59">
        <v>87699</v>
      </c>
      <c r="S19" s="59">
        <v>866433</v>
      </c>
      <c r="W19" s="4"/>
    </row>
    <row r="20" spans="1:23" x14ac:dyDescent="0.15">
      <c r="A20" s="32">
        <v>13</v>
      </c>
      <c r="B20" s="26" t="s">
        <v>123</v>
      </c>
      <c r="C20" s="76">
        <v>7</v>
      </c>
      <c r="D20" s="76">
        <v>0</v>
      </c>
      <c r="E20" s="76">
        <v>2</v>
      </c>
      <c r="F20" s="76">
        <v>7</v>
      </c>
      <c r="G20" s="76">
        <v>1</v>
      </c>
      <c r="H20" s="76">
        <v>9</v>
      </c>
      <c r="I20" s="13">
        <v>9</v>
      </c>
      <c r="J20" s="33">
        <v>23157405</v>
      </c>
      <c r="K20" s="159" t="s">
        <v>23</v>
      </c>
      <c r="L20" s="34"/>
      <c r="M20" s="18">
        <v>1650667.4</v>
      </c>
      <c r="N20" s="56">
        <v>6</v>
      </c>
      <c r="O20" s="57">
        <v>74</v>
      </c>
      <c r="P20" s="57">
        <v>821</v>
      </c>
      <c r="Q20" s="58">
        <v>8182</v>
      </c>
      <c r="R20" s="59">
        <v>81358</v>
      </c>
      <c r="S20" s="59">
        <v>809414</v>
      </c>
      <c r="W20" s="4"/>
    </row>
    <row r="21" spans="1:23" x14ac:dyDescent="0.15">
      <c r="A21" s="32">
        <v>14</v>
      </c>
      <c r="B21" s="26" t="s">
        <v>124</v>
      </c>
      <c r="C21" s="76">
        <v>5</v>
      </c>
      <c r="D21" s="76">
        <v>0</v>
      </c>
      <c r="E21" s="76">
        <v>8</v>
      </c>
      <c r="F21" s="76">
        <v>8</v>
      </c>
      <c r="G21" s="76">
        <v>4</v>
      </c>
      <c r="H21" s="76">
        <v>2</v>
      </c>
      <c r="I21" s="13">
        <v>0</v>
      </c>
      <c r="J21" s="33">
        <v>22888485</v>
      </c>
      <c r="K21" s="77">
        <v>2</v>
      </c>
      <c r="L21" s="34">
        <v>1577777</v>
      </c>
      <c r="M21" s="18">
        <v>122484.7</v>
      </c>
      <c r="N21" s="56">
        <v>6</v>
      </c>
      <c r="O21" s="57">
        <v>88</v>
      </c>
      <c r="P21" s="57">
        <v>779</v>
      </c>
      <c r="Q21" s="58">
        <v>7541</v>
      </c>
      <c r="R21" s="59">
        <v>76434</v>
      </c>
      <c r="S21" s="59">
        <v>769177</v>
      </c>
      <c r="W21" s="4"/>
    </row>
    <row r="22" spans="1:23" x14ac:dyDescent="0.15">
      <c r="A22" s="32">
        <v>15</v>
      </c>
      <c r="B22" s="26" t="s">
        <v>125</v>
      </c>
      <c r="C22" s="76">
        <v>7</v>
      </c>
      <c r="D22" s="76">
        <v>7</v>
      </c>
      <c r="E22" s="76">
        <v>0</v>
      </c>
      <c r="F22" s="76">
        <v>4</v>
      </c>
      <c r="G22" s="76">
        <v>7</v>
      </c>
      <c r="H22" s="76">
        <v>8</v>
      </c>
      <c r="I22" s="13">
        <v>0</v>
      </c>
      <c r="J22" s="33">
        <v>23117880</v>
      </c>
      <c r="K22" s="77">
        <v>1</v>
      </c>
      <c r="L22" s="18">
        <v>1677777</v>
      </c>
      <c r="M22" s="18">
        <v>88389</v>
      </c>
      <c r="N22" s="56">
        <v>10</v>
      </c>
      <c r="O22" s="57">
        <v>94</v>
      </c>
      <c r="P22" s="57">
        <v>753</v>
      </c>
      <c r="Q22" s="58">
        <v>7340</v>
      </c>
      <c r="R22" s="59">
        <v>74300</v>
      </c>
      <c r="S22" s="59">
        <v>744077</v>
      </c>
      <c r="W22" s="4"/>
    </row>
    <row r="23" spans="1:23" x14ac:dyDescent="0.15">
      <c r="A23" s="32">
        <v>16</v>
      </c>
      <c r="B23" s="26" t="s">
        <v>126</v>
      </c>
      <c r="C23" s="76">
        <v>6</v>
      </c>
      <c r="D23" s="76">
        <v>5</v>
      </c>
      <c r="E23" s="76">
        <v>7</v>
      </c>
      <c r="F23" s="76">
        <v>9</v>
      </c>
      <c r="G23" s="76">
        <v>1</v>
      </c>
      <c r="H23" s="76">
        <v>1</v>
      </c>
      <c r="I23" s="13">
        <v>7</v>
      </c>
      <c r="J23" s="33">
        <v>22617462.5</v>
      </c>
      <c r="K23" s="159" t="s">
        <v>23</v>
      </c>
      <c r="L23" s="34"/>
      <c r="M23" s="18">
        <v>1696490.6</v>
      </c>
      <c r="N23" s="56">
        <v>12</v>
      </c>
      <c r="O23" s="57">
        <v>87</v>
      </c>
      <c r="P23" s="57">
        <v>894</v>
      </c>
      <c r="Q23" s="58">
        <v>8294</v>
      </c>
      <c r="R23" s="59">
        <v>84720</v>
      </c>
      <c r="S23" s="59">
        <v>844987</v>
      </c>
      <c r="W23" s="4"/>
    </row>
    <row r="24" spans="1:23" x14ac:dyDescent="0.15">
      <c r="A24" s="32">
        <v>17</v>
      </c>
      <c r="B24" s="26" t="s">
        <v>127</v>
      </c>
      <c r="C24" s="76">
        <v>9</v>
      </c>
      <c r="D24" s="76">
        <v>1</v>
      </c>
      <c r="E24" s="76">
        <v>7</v>
      </c>
      <c r="F24" s="76">
        <v>9</v>
      </c>
      <c r="G24" s="76">
        <v>2</v>
      </c>
      <c r="H24" s="76">
        <v>6</v>
      </c>
      <c r="I24" s="13">
        <v>8</v>
      </c>
      <c r="J24" s="33">
        <v>22734665</v>
      </c>
      <c r="K24" s="159" t="s">
        <v>23</v>
      </c>
      <c r="L24" s="34"/>
      <c r="M24" s="18">
        <v>3312925.3</v>
      </c>
      <c r="N24" s="56">
        <v>8</v>
      </c>
      <c r="O24" s="57">
        <v>72</v>
      </c>
      <c r="P24" s="57">
        <v>834</v>
      </c>
      <c r="Q24" s="58">
        <v>8432</v>
      </c>
      <c r="R24" s="59">
        <v>83183</v>
      </c>
      <c r="S24" s="59">
        <v>830950</v>
      </c>
      <c r="W24" s="4"/>
    </row>
    <row r="25" spans="1:23" x14ac:dyDescent="0.15">
      <c r="A25" s="32">
        <v>18</v>
      </c>
      <c r="B25" s="26" t="s">
        <v>128</v>
      </c>
      <c r="C25" s="76">
        <v>9</v>
      </c>
      <c r="D25" s="76">
        <v>2</v>
      </c>
      <c r="E25" s="76">
        <v>4</v>
      </c>
      <c r="F25" s="76">
        <v>6</v>
      </c>
      <c r="G25" s="76">
        <v>3</v>
      </c>
      <c r="H25" s="76">
        <v>1</v>
      </c>
      <c r="I25" s="13">
        <v>8</v>
      </c>
      <c r="J25" s="33">
        <v>27862755</v>
      </c>
      <c r="K25" s="159" t="s">
        <v>23</v>
      </c>
      <c r="L25" s="34"/>
      <c r="M25" s="18">
        <v>5293967.2</v>
      </c>
      <c r="N25" s="56">
        <v>14</v>
      </c>
      <c r="O25" s="57">
        <v>95</v>
      </c>
      <c r="P25" s="57">
        <v>1045</v>
      </c>
      <c r="Q25" s="58">
        <v>9972</v>
      </c>
      <c r="R25" s="59">
        <v>99673</v>
      </c>
      <c r="S25" s="59">
        <v>994962</v>
      </c>
      <c r="W25" s="4"/>
    </row>
    <row r="26" spans="1:23" x14ac:dyDescent="0.15">
      <c r="A26" s="32">
        <v>19</v>
      </c>
      <c r="B26" s="26" t="s">
        <v>129</v>
      </c>
      <c r="C26" s="76">
        <v>8</v>
      </c>
      <c r="D26" s="76">
        <v>1</v>
      </c>
      <c r="E26" s="76">
        <v>0</v>
      </c>
      <c r="F26" s="76">
        <v>3</v>
      </c>
      <c r="G26" s="76">
        <v>1</v>
      </c>
      <c r="H26" s="76">
        <v>4</v>
      </c>
      <c r="I26" s="13">
        <v>3</v>
      </c>
      <c r="J26" s="33">
        <v>22782495</v>
      </c>
      <c r="K26" s="77">
        <v>1</v>
      </c>
      <c r="L26" s="34">
        <v>6877777</v>
      </c>
      <c r="M26" s="18">
        <v>36025.599999999999</v>
      </c>
      <c r="N26" s="56">
        <v>7</v>
      </c>
      <c r="O26" s="57">
        <v>79</v>
      </c>
      <c r="P26" s="57">
        <v>854</v>
      </c>
      <c r="Q26" s="58">
        <v>8292</v>
      </c>
      <c r="R26" s="59">
        <v>82500</v>
      </c>
      <c r="S26" s="59">
        <v>825321</v>
      </c>
      <c r="W26" s="4"/>
    </row>
    <row r="27" spans="1:23" x14ac:dyDescent="0.15">
      <c r="A27" s="32">
        <v>20</v>
      </c>
      <c r="B27" s="26" t="s">
        <v>130</v>
      </c>
      <c r="C27" s="76">
        <v>3</v>
      </c>
      <c r="D27" s="76">
        <v>2</v>
      </c>
      <c r="E27" s="76">
        <v>4</v>
      </c>
      <c r="F27" s="76">
        <v>9</v>
      </c>
      <c r="G27" s="76">
        <v>8</v>
      </c>
      <c r="H27" s="76">
        <v>3</v>
      </c>
      <c r="I27" s="13">
        <v>7</v>
      </c>
      <c r="J27" s="33">
        <v>22581522.5</v>
      </c>
      <c r="K27" s="77">
        <v>2</v>
      </c>
      <c r="L27" s="34">
        <v>777777</v>
      </c>
      <c r="M27" s="18">
        <v>86017.8</v>
      </c>
      <c r="N27" s="56">
        <v>7</v>
      </c>
      <c r="O27" s="57">
        <v>77</v>
      </c>
      <c r="P27" s="57">
        <v>872</v>
      </c>
      <c r="Q27" s="58">
        <v>8467</v>
      </c>
      <c r="R27" s="59">
        <v>84497</v>
      </c>
      <c r="S27" s="59">
        <v>838823</v>
      </c>
      <c r="W27" s="4"/>
    </row>
    <row r="28" spans="1:23" x14ac:dyDescent="0.15">
      <c r="A28" s="32">
        <v>21</v>
      </c>
      <c r="B28" s="26" t="s">
        <v>131</v>
      </c>
      <c r="C28" s="76">
        <v>2</v>
      </c>
      <c r="D28" s="76">
        <v>5</v>
      </c>
      <c r="E28" s="76">
        <v>9</v>
      </c>
      <c r="F28" s="76">
        <v>0</v>
      </c>
      <c r="G28" s="76">
        <v>8</v>
      </c>
      <c r="H28" s="76">
        <v>6</v>
      </c>
      <c r="I28" s="13">
        <v>0</v>
      </c>
      <c r="J28" s="33">
        <v>22195307.5</v>
      </c>
      <c r="K28" s="77">
        <v>1</v>
      </c>
      <c r="L28" s="34">
        <v>1577777</v>
      </c>
      <c r="M28" s="18">
        <v>86327.2</v>
      </c>
      <c r="N28" s="56">
        <v>8</v>
      </c>
      <c r="O28" s="57">
        <v>81</v>
      </c>
      <c r="P28" s="57">
        <v>750</v>
      </c>
      <c r="Q28" s="58">
        <v>7655</v>
      </c>
      <c r="R28" s="59">
        <v>76268</v>
      </c>
      <c r="S28" s="59">
        <v>760507</v>
      </c>
      <c r="W28" s="4"/>
    </row>
    <row r="29" spans="1:23" x14ac:dyDescent="0.15">
      <c r="A29" s="32">
        <v>22</v>
      </c>
      <c r="B29" s="26" t="s">
        <v>132</v>
      </c>
      <c r="C29" s="76">
        <v>9</v>
      </c>
      <c r="D29" s="76">
        <v>1</v>
      </c>
      <c r="E29" s="76">
        <v>9</v>
      </c>
      <c r="F29" s="76">
        <v>3</v>
      </c>
      <c r="G29" s="76">
        <v>7</v>
      </c>
      <c r="H29" s="76">
        <v>6</v>
      </c>
      <c r="I29" s="13">
        <v>1</v>
      </c>
      <c r="J29" s="33">
        <v>21869412.5</v>
      </c>
      <c r="K29" s="159" t="s">
        <v>23</v>
      </c>
      <c r="L29" s="34"/>
      <c r="M29" s="18">
        <v>1641242.4</v>
      </c>
      <c r="N29" s="56">
        <v>4</v>
      </c>
      <c r="O29" s="57">
        <v>77</v>
      </c>
      <c r="P29" s="57">
        <v>761</v>
      </c>
      <c r="Q29" s="58">
        <v>7730</v>
      </c>
      <c r="R29" s="59">
        <v>75347</v>
      </c>
      <c r="S29" s="59">
        <v>756626</v>
      </c>
      <c r="W29" s="4"/>
    </row>
    <row r="30" spans="1:23" x14ac:dyDescent="0.15">
      <c r="A30" s="32">
        <v>23</v>
      </c>
      <c r="B30" s="26" t="s">
        <v>133</v>
      </c>
      <c r="C30" s="76">
        <v>1</v>
      </c>
      <c r="D30" s="76">
        <v>1</v>
      </c>
      <c r="E30" s="76">
        <v>5</v>
      </c>
      <c r="F30" s="76">
        <v>5</v>
      </c>
      <c r="G30" s="76">
        <v>0</v>
      </c>
      <c r="H30" s="76">
        <v>9</v>
      </c>
      <c r="I30" s="13">
        <v>3</v>
      </c>
      <c r="J30" s="33">
        <v>22692845</v>
      </c>
      <c r="K30" s="159" t="s">
        <v>23</v>
      </c>
      <c r="L30" s="34"/>
      <c r="M30" s="18">
        <v>3254703.7</v>
      </c>
      <c r="N30" s="56">
        <v>15</v>
      </c>
      <c r="O30" s="57">
        <v>74</v>
      </c>
      <c r="P30" s="57">
        <v>784</v>
      </c>
      <c r="Q30" s="58">
        <v>8027</v>
      </c>
      <c r="R30" s="59">
        <v>81841</v>
      </c>
      <c r="S30" s="59">
        <v>820537</v>
      </c>
      <c r="W30" s="4"/>
    </row>
    <row r="31" spans="1:23" x14ac:dyDescent="0.15">
      <c r="A31" s="32">
        <v>24</v>
      </c>
      <c r="B31" s="26" t="s">
        <v>134</v>
      </c>
      <c r="C31" s="76">
        <v>2</v>
      </c>
      <c r="D31" s="76">
        <v>3</v>
      </c>
      <c r="E31" s="76">
        <v>2</v>
      </c>
      <c r="F31" s="76">
        <v>9</v>
      </c>
      <c r="G31" s="76">
        <v>5</v>
      </c>
      <c r="H31" s="76">
        <v>2</v>
      </c>
      <c r="I31" s="13">
        <v>9</v>
      </c>
      <c r="J31" s="33">
        <v>22413340</v>
      </c>
      <c r="K31" s="159" t="s">
        <v>23</v>
      </c>
      <c r="L31" s="34"/>
      <c r="M31" s="18">
        <v>4848292.2</v>
      </c>
      <c r="N31" s="56">
        <v>7</v>
      </c>
      <c r="O31" s="57">
        <v>88</v>
      </c>
      <c r="P31" s="57">
        <v>821</v>
      </c>
      <c r="Q31" s="58">
        <v>8179</v>
      </c>
      <c r="R31" s="59">
        <v>82920</v>
      </c>
      <c r="S31" s="59">
        <v>819545</v>
      </c>
      <c r="W31" s="4"/>
    </row>
    <row r="32" spans="1:23" x14ac:dyDescent="0.15">
      <c r="A32" s="32">
        <v>25</v>
      </c>
      <c r="B32" s="26" t="s">
        <v>135</v>
      </c>
      <c r="C32" s="76">
        <v>4</v>
      </c>
      <c r="D32" s="76">
        <v>7</v>
      </c>
      <c r="E32" s="76">
        <v>4</v>
      </c>
      <c r="F32" s="76">
        <v>3</v>
      </c>
      <c r="G32" s="76">
        <v>9</v>
      </c>
      <c r="H32" s="76">
        <v>2</v>
      </c>
      <c r="I32" s="13">
        <v>1</v>
      </c>
      <c r="J32" s="33">
        <v>22130387.5</v>
      </c>
      <c r="K32" s="159" t="s">
        <v>23</v>
      </c>
      <c r="L32" s="34"/>
      <c r="M32" s="18">
        <v>6421762.7999999998</v>
      </c>
      <c r="N32" s="56">
        <v>11</v>
      </c>
      <c r="O32" s="57">
        <v>79</v>
      </c>
      <c r="P32" s="57">
        <v>785</v>
      </c>
      <c r="Q32" s="58">
        <v>7832</v>
      </c>
      <c r="R32" s="59">
        <v>77642</v>
      </c>
      <c r="S32" s="59">
        <v>770758</v>
      </c>
      <c r="W32" s="4"/>
    </row>
    <row r="33" spans="1:23" x14ac:dyDescent="0.15">
      <c r="A33" s="32">
        <v>26</v>
      </c>
      <c r="B33" s="26" t="s">
        <v>136</v>
      </c>
      <c r="C33" s="76">
        <v>7</v>
      </c>
      <c r="D33" s="76">
        <v>6</v>
      </c>
      <c r="E33" s="76">
        <v>4</v>
      </c>
      <c r="F33" s="76">
        <v>4</v>
      </c>
      <c r="G33" s="76">
        <v>2</v>
      </c>
      <c r="H33" s="76">
        <v>9</v>
      </c>
      <c r="I33" s="13">
        <v>1</v>
      </c>
      <c r="J33" s="33">
        <v>21991267.5</v>
      </c>
      <c r="K33" s="77">
        <v>1</v>
      </c>
      <c r="L33" s="34">
        <v>7977777</v>
      </c>
      <c r="M33" s="18">
        <v>7564.9</v>
      </c>
      <c r="N33" s="56">
        <v>2</v>
      </c>
      <c r="O33" s="57">
        <v>81</v>
      </c>
      <c r="P33" s="57">
        <v>721</v>
      </c>
      <c r="Q33" s="58">
        <v>7527</v>
      </c>
      <c r="R33" s="59">
        <v>74835</v>
      </c>
      <c r="S33" s="59">
        <v>749799</v>
      </c>
      <c r="W33" s="4"/>
    </row>
    <row r="34" spans="1:23" x14ac:dyDescent="0.15">
      <c r="A34" s="32">
        <v>27</v>
      </c>
      <c r="B34" s="26" t="s">
        <v>137</v>
      </c>
      <c r="C34" s="76">
        <v>6</v>
      </c>
      <c r="D34" s="76">
        <v>9</v>
      </c>
      <c r="E34" s="76">
        <v>2</v>
      </c>
      <c r="F34" s="76">
        <v>2</v>
      </c>
      <c r="G34" s="76">
        <v>6</v>
      </c>
      <c r="H34" s="76">
        <v>3</v>
      </c>
      <c r="I34" s="13">
        <v>0</v>
      </c>
      <c r="J34" s="33">
        <v>22018142.5</v>
      </c>
      <c r="K34" s="159" t="s">
        <v>23</v>
      </c>
      <c r="L34" s="34"/>
      <c r="M34" s="18">
        <v>1573054.8</v>
      </c>
      <c r="N34" s="56">
        <v>5</v>
      </c>
      <c r="O34" s="57">
        <v>80</v>
      </c>
      <c r="P34" s="57">
        <v>769</v>
      </c>
      <c r="Q34" s="58">
        <v>7616</v>
      </c>
      <c r="R34" s="59">
        <v>76105</v>
      </c>
      <c r="S34" s="59">
        <v>758999</v>
      </c>
      <c r="W34" s="4"/>
    </row>
    <row r="35" spans="1:23" x14ac:dyDescent="0.15">
      <c r="A35" s="32">
        <v>28</v>
      </c>
      <c r="B35" s="26" t="s">
        <v>138</v>
      </c>
      <c r="C35" s="76">
        <v>6</v>
      </c>
      <c r="D35" s="76">
        <v>4</v>
      </c>
      <c r="E35" s="76">
        <v>0</v>
      </c>
      <c r="F35" s="76">
        <v>0</v>
      </c>
      <c r="G35" s="76">
        <v>1</v>
      </c>
      <c r="H35" s="76">
        <v>3</v>
      </c>
      <c r="I35" s="13">
        <v>2</v>
      </c>
      <c r="J35" s="33">
        <v>21726967.5</v>
      </c>
      <c r="K35" s="77">
        <v>1</v>
      </c>
      <c r="L35" s="18">
        <v>3077777</v>
      </c>
      <c r="M35" s="18">
        <v>40065.199999999997</v>
      </c>
      <c r="N35" s="56">
        <v>5</v>
      </c>
      <c r="O35" s="57">
        <v>79</v>
      </c>
      <c r="P35" s="57">
        <v>738</v>
      </c>
      <c r="Q35" s="58">
        <v>7742</v>
      </c>
      <c r="R35" s="59">
        <v>78406</v>
      </c>
      <c r="S35" s="59">
        <v>784191</v>
      </c>
      <c r="W35" s="4"/>
    </row>
    <row r="36" spans="1:23" x14ac:dyDescent="0.15">
      <c r="A36" s="32">
        <v>29</v>
      </c>
      <c r="B36" s="26" t="s">
        <v>139</v>
      </c>
      <c r="C36" s="76">
        <v>9</v>
      </c>
      <c r="D36" s="76">
        <v>6</v>
      </c>
      <c r="E36" s="76">
        <v>8</v>
      </c>
      <c r="F36" s="76">
        <v>6</v>
      </c>
      <c r="G36" s="76">
        <v>7</v>
      </c>
      <c r="H36" s="76">
        <v>2</v>
      </c>
      <c r="I36" s="13">
        <v>4</v>
      </c>
      <c r="J36" s="33">
        <v>21612417.5</v>
      </c>
      <c r="K36" s="77">
        <v>2</v>
      </c>
      <c r="L36" s="18">
        <v>777777</v>
      </c>
      <c r="M36" s="18">
        <v>21154.1</v>
      </c>
      <c r="N36" s="56">
        <v>13</v>
      </c>
      <c r="O36" s="57">
        <v>72</v>
      </c>
      <c r="P36" s="57">
        <v>834</v>
      </c>
      <c r="Q36" s="58">
        <v>8100</v>
      </c>
      <c r="R36" s="59">
        <v>79472</v>
      </c>
      <c r="S36" s="59">
        <v>787726</v>
      </c>
      <c r="W36" s="4"/>
    </row>
    <row r="37" spans="1:23" x14ac:dyDescent="0.15">
      <c r="A37" s="32">
        <v>30</v>
      </c>
      <c r="B37" s="26" t="s">
        <v>140</v>
      </c>
      <c r="C37" s="76">
        <v>7</v>
      </c>
      <c r="D37" s="76">
        <v>2</v>
      </c>
      <c r="E37" s="76">
        <v>4</v>
      </c>
      <c r="F37" s="76">
        <v>5</v>
      </c>
      <c r="G37" s="76">
        <v>9</v>
      </c>
      <c r="H37" s="76">
        <v>8</v>
      </c>
      <c r="I37" s="13">
        <v>6</v>
      </c>
      <c r="J37" s="33">
        <v>23046355</v>
      </c>
      <c r="K37" s="159" t="s">
        <v>23</v>
      </c>
      <c r="L37" s="34"/>
      <c r="M37" s="18">
        <v>1659749.9</v>
      </c>
      <c r="N37" s="56">
        <v>5</v>
      </c>
      <c r="O37" s="57">
        <v>103</v>
      </c>
      <c r="P37" s="57">
        <v>888</v>
      </c>
      <c r="Q37" s="58">
        <v>8220</v>
      </c>
      <c r="R37" s="59">
        <v>83291</v>
      </c>
      <c r="S37" s="59">
        <v>831668</v>
      </c>
      <c r="W37" s="4"/>
    </row>
    <row r="38" spans="1:23" x14ac:dyDescent="0.15">
      <c r="A38" s="32">
        <v>31</v>
      </c>
      <c r="B38" s="26" t="s">
        <v>141</v>
      </c>
      <c r="C38" s="76">
        <v>1</v>
      </c>
      <c r="D38" s="76">
        <v>9</v>
      </c>
      <c r="E38" s="76">
        <v>3</v>
      </c>
      <c r="F38" s="76">
        <v>1</v>
      </c>
      <c r="G38" s="76">
        <v>6</v>
      </c>
      <c r="H38" s="76">
        <v>7</v>
      </c>
      <c r="I38" s="13">
        <v>7</v>
      </c>
      <c r="J38" s="33">
        <v>24736507.5</v>
      </c>
      <c r="K38" s="77">
        <v>1</v>
      </c>
      <c r="L38" s="34">
        <v>3377777</v>
      </c>
      <c r="M38" s="18">
        <v>40738.6</v>
      </c>
      <c r="N38" s="56">
        <v>12</v>
      </c>
      <c r="O38" s="57">
        <v>95</v>
      </c>
      <c r="P38" s="57">
        <v>936</v>
      </c>
      <c r="Q38" s="58">
        <v>9338</v>
      </c>
      <c r="R38" s="59">
        <v>94056</v>
      </c>
      <c r="S38" s="59">
        <v>915589</v>
      </c>
      <c r="W38" s="4"/>
    </row>
    <row r="39" spans="1:23" x14ac:dyDescent="0.15">
      <c r="A39" s="32">
        <v>32</v>
      </c>
      <c r="B39" s="26" t="s">
        <v>142</v>
      </c>
      <c r="C39" s="76">
        <v>2</v>
      </c>
      <c r="D39" s="76">
        <v>8</v>
      </c>
      <c r="E39" s="76">
        <v>2</v>
      </c>
      <c r="F39" s="76">
        <v>8</v>
      </c>
      <c r="G39" s="76">
        <v>9</v>
      </c>
      <c r="H39" s="76">
        <v>6</v>
      </c>
      <c r="I39" s="13">
        <v>7</v>
      </c>
      <c r="J39" s="33">
        <v>31965027.5</v>
      </c>
      <c r="K39" s="159" t="s">
        <v>23</v>
      </c>
      <c r="L39" s="34"/>
      <c r="M39" s="18">
        <v>2313452.1</v>
      </c>
      <c r="N39" s="56">
        <v>10</v>
      </c>
      <c r="O39" s="57">
        <v>119</v>
      </c>
      <c r="P39" s="57">
        <v>1144</v>
      </c>
      <c r="Q39" s="58">
        <v>11428</v>
      </c>
      <c r="R39" s="59">
        <v>113362</v>
      </c>
      <c r="S39" s="59">
        <v>1132639</v>
      </c>
      <c r="W39" s="4"/>
    </row>
    <row r="40" spans="1:23" x14ac:dyDescent="0.15">
      <c r="A40" s="32">
        <v>33</v>
      </c>
      <c r="B40" s="26" t="s">
        <v>143</v>
      </c>
      <c r="C40" s="76">
        <v>9</v>
      </c>
      <c r="D40" s="76">
        <v>1</v>
      </c>
      <c r="E40" s="76">
        <v>1</v>
      </c>
      <c r="F40" s="76">
        <v>9</v>
      </c>
      <c r="G40" s="76">
        <v>6</v>
      </c>
      <c r="H40" s="76">
        <v>9</v>
      </c>
      <c r="I40" s="13">
        <v>2</v>
      </c>
      <c r="J40" s="33">
        <v>48042102.5</v>
      </c>
      <c r="K40" s="159" t="s">
        <v>23</v>
      </c>
      <c r="L40" s="34"/>
      <c r="M40" s="18">
        <v>5729245.5999999996</v>
      </c>
      <c r="N40" s="56">
        <v>10</v>
      </c>
      <c r="O40" s="57">
        <v>174</v>
      </c>
      <c r="P40" s="57">
        <v>1692</v>
      </c>
      <c r="Q40" s="58">
        <v>17513</v>
      </c>
      <c r="R40" s="59">
        <v>173918</v>
      </c>
      <c r="S40" s="59">
        <v>1734917</v>
      </c>
      <c r="W40" s="4"/>
    </row>
    <row r="41" spans="1:23" x14ac:dyDescent="0.15">
      <c r="A41" s="32">
        <v>34</v>
      </c>
      <c r="B41" s="26" t="s">
        <v>144</v>
      </c>
      <c r="C41" s="76">
        <v>3</v>
      </c>
      <c r="D41" s="76">
        <v>0</v>
      </c>
      <c r="E41" s="76">
        <v>0</v>
      </c>
      <c r="F41" s="76">
        <v>0</v>
      </c>
      <c r="G41" s="76">
        <v>9</v>
      </c>
      <c r="H41" s="76">
        <v>9</v>
      </c>
      <c r="I41" s="13">
        <v>9</v>
      </c>
      <c r="J41" s="33">
        <v>55853487.5</v>
      </c>
      <c r="K41" s="77">
        <v>2</v>
      </c>
      <c r="L41" s="18">
        <v>4777777</v>
      </c>
      <c r="M41" s="18">
        <v>144874.6</v>
      </c>
      <c r="N41" s="56">
        <v>22</v>
      </c>
      <c r="O41" s="57">
        <v>189</v>
      </c>
      <c r="P41" s="57">
        <v>2023</v>
      </c>
      <c r="Q41" s="58">
        <v>20184</v>
      </c>
      <c r="R41" s="59">
        <v>201187</v>
      </c>
      <c r="S41" s="59">
        <v>2025364</v>
      </c>
      <c r="W41" s="4"/>
    </row>
    <row r="42" spans="1:23" x14ac:dyDescent="0.15">
      <c r="A42" s="32">
        <v>35</v>
      </c>
      <c r="B42" s="26" t="s">
        <v>145</v>
      </c>
      <c r="C42" s="76">
        <v>9</v>
      </c>
      <c r="D42" s="76">
        <v>5</v>
      </c>
      <c r="E42" s="76">
        <v>9</v>
      </c>
      <c r="F42" s="76">
        <v>5</v>
      </c>
      <c r="G42" s="76">
        <v>0</v>
      </c>
      <c r="H42" s="76">
        <v>7</v>
      </c>
      <c r="I42" s="13">
        <v>1</v>
      </c>
      <c r="J42" s="33">
        <v>69466442.5</v>
      </c>
      <c r="K42" s="77">
        <v>2</v>
      </c>
      <c r="L42" s="18">
        <v>2477777</v>
      </c>
      <c r="M42" s="18">
        <v>128384.7</v>
      </c>
      <c r="N42" s="56">
        <v>21</v>
      </c>
      <c r="O42" s="57">
        <v>269</v>
      </c>
      <c r="P42" s="57">
        <v>2366</v>
      </c>
      <c r="Q42" s="58">
        <v>24196</v>
      </c>
      <c r="R42" s="59">
        <v>243067</v>
      </c>
      <c r="S42" s="59">
        <v>2426595</v>
      </c>
      <c r="W42" s="4"/>
    </row>
    <row r="43" spans="1:23" x14ac:dyDescent="0.15">
      <c r="A43" s="32">
        <v>36</v>
      </c>
      <c r="B43" s="26" t="s">
        <v>146</v>
      </c>
      <c r="C43" s="76">
        <v>8</v>
      </c>
      <c r="D43" s="76">
        <v>3</v>
      </c>
      <c r="E43" s="76">
        <v>1</v>
      </c>
      <c r="F43" s="76">
        <v>9</v>
      </c>
      <c r="G43" s="76">
        <v>5</v>
      </c>
      <c r="H43" s="76">
        <v>6</v>
      </c>
      <c r="I43" s="13">
        <v>5</v>
      </c>
      <c r="J43" s="33">
        <v>66166440</v>
      </c>
      <c r="K43" s="77">
        <v>4</v>
      </c>
      <c r="L43" s="18">
        <v>1177777</v>
      </c>
      <c r="M43" s="18">
        <v>121710.6</v>
      </c>
      <c r="N43" s="56">
        <v>19</v>
      </c>
      <c r="O43" s="57">
        <v>225</v>
      </c>
      <c r="P43" s="57">
        <v>2343</v>
      </c>
      <c r="Q43" s="58">
        <v>23439</v>
      </c>
      <c r="R43" s="59">
        <v>232680</v>
      </c>
      <c r="S43" s="59">
        <v>2314095</v>
      </c>
      <c r="W43" s="4"/>
    </row>
    <row r="44" spans="1:23" x14ac:dyDescent="0.15">
      <c r="A44" s="32">
        <v>37</v>
      </c>
      <c r="B44" s="26" t="s">
        <v>147</v>
      </c>
      <c r="C44" s="76">
        <v>3</v>
      </c>
      <c r="D44" s="76">
        <v>1</v>
      </c>
      <c r="E44" s="76">
        <v>3</v>
      </c>
      <c r="F44" s="76">
        <v>8</v>
      </c>
      <c r="G44" s="76">
        <v>3</v>
      </c>
      <c r="H44" s="76">
        <v>7</v>
      </c>
      <c r="I44" s="13">
        <v>1</v>
      </c>
      <c r="J44" s="33">
        <v>31484670</v>
      </c>
      <c r="K44" s="77">
        <v>2</v>
      </c>
      <c r="L44" s="34">
        <v>1177777</v>
      </c>
      <c r="M44" s="18">
        <v>4716.6000000000004</v>
      </c>
      <c r="N44" s="56">
        <v>6</v>
      </c>
      <c r="O44" s="57">
        <v>96</v>
      </c>
      <c r="P44" s="57">
        <v>1105</v>
      </c>
      <c r="Q44" s="58">
        <v>10979</v>
      </c>
      <c r="R44" s="59">
        <v>109104</v>
      </c>
      <c r="S44" s="59">
        <v>1089270</v>
      </c>
      <c r="W44" s="4"/>
    </row>
    <row r="45" spans="1:23" x14ac:dyDescent="0.15">
      <c r="A45" s="32">
        <v>38</v>
      </c>
      <c r="B45" s="26" t="s">
        <v>148</v>
      </c>
      <c r="C45" s="76">
        <v>2</v>
      </c>
      <c r="D45" s="76">
        <v>2</v>
      </c>
      <c r="E45" s="76">
        <v>3</v>
      </c>
      <c r="F45" s="76">
        <v>0</v>
      </c>
      <c r="G45" s="76">
        <v>2</v>
      </c>
      <c r="H45" s="76">
        <v>4</v>
      </c>
      <c r="I45" s="13">
        <v>1</v>
      </c>
      <c r="J45" s="33">
        <v>28172090.5</v>
      </c>
      <c r="K45" s="77">
        <v>1</v>
      </c>
      <c r="L45" s="34">
        <v>1977777</v>
      </c>
      <c r="M45" s="18">
        <v>29975.200000000001</v>
      </c>
      <c r="N45" s="56">
        <v>12</v>
      </c>
      <c r="O45" s="57">
        <v>90</v>
      </c>
      <c r="P45" s="57">
        <v>941</v>
      </c>
      <c r="Q45" s="58">
        <v>9647</v>
      </c>
      <c r="R45" s="59">
        <v>96077</v>
      </c>
      <c r="S45" s="59">
        <v>959065</v>
      </c>
      <c r="W45" s="4"/>
    </row>
    <row r="46" spans="1:23" x14ac:dyDescent="0.15">
      <c r="A46" s="32">
        <v>39</v>
      </c>
      <c r="B46" s="26" t="s">
        <v>149</v>
      </c>
      <c r="C46" s="76">
        <v>2</v>
      </c>
      <c r="D46" s="76">
        <v>8</v>
      </c>
      <c r="E46" s="76">
        <v>5</v>
      </c>
      <c r="F46" s="76">
        <v>7</v>
      </c>
      <c r="G46" s="76">
        <v>5</v>
      </c>
      <c r="H46" s="76">
        <v>2</v>
      </c>
      <c r="I46" s="13">
        <v>3</v>
      </c>
      <c r="J46" s="33">
        <v>27513470</v>
      </c>
      <c r="K46" s="77">
        <v>1</v>
      </c>
      <c r="L46" s="18">
        <v>1977777</v>
      </c>
      <c r="M46" s="18">
        <v>8405.9</v>
      </c>
      <c r="N46" s="56">
        <v>10</v>
      </c>
      <c r="O46" s="57">
        <v>93</v>
      </c>
      <c r="P46" s="57">
        <v>997</v>
      </c>
      <c r="Q46" s="58">
        <v>9827</v>
      </c>
      <c r="R46" s="59">
        <v>98898</v>
      </c>
      <c r="S46" s="59">
        <v>988795</v>
      </c>
      <c r="W46" s="4"/>
    </row>
    <row r="47" spans="1:23" x14ac:dyDescent="0.15">
      <c r="A47" s="32">
        <v>40</v>
      </c>
      <c r="B47" s="26" t="s">
        <v>150</v>
      </c>
      <c r="C47" s="76">
        <v>6</v>
      </c>
      <c r="D47" s="76">
        <v>9</v>
      </c>
      <c r="E47" s="76">
        <v>4</v>
      </c>
      <c r="F47" s="76">
        <v>3</v>
      </c>
      <c r="G47" s="76">
        <v>3</v>
      </c>
      <c r="H47" s="76">
        <v>6</v>
      </c>
      <c r="I47" s="13">
        <v>6</v>
      </c>
      <c r="J47" s="33">
        <v>26035947.5</v>
      </c>
      <c r="K47" s="77">
        <v>2</v>
      </c>
      <c r="L47" s="18">
        <v>877777</v>
      </c>
      <c r="M47" s="18">
        <v>104007.8</v>
      </c>
      <c r="N47" s="56">
        <v>9</v>
      </c>
      <c r="O47" s="57">
        <v>102</v>
      </c>
      <c r="P47" s="57">
        <v>996</v>
      </c>
      <c r="Q47" s="58">
        <v>9497</v>
      </c>
      <c r="R47" s="59">
        <v>95558</v>
      </c>
      <c r="S47" s="59">
        <v>946832</v>
      </c>
      <c r="W47" s="4"/>
    </row>
    <row r="48" spans="1:23" x14ac:dyDescent="0.15">
      <c r="A48" s="32">
        <v>41</v>
      </c>
      <c r="B48" s="26" t="s">
        <v>151</v>
      </c>
      <c r="C48" s="76">
        <v>6</v>
      </c>
      <c r="D48" s="76">
        <v>7</v>
      </c>
      <c r="E48" s="76">
        <v>9</v>
      </c>
      <c r="F48" s="76">
        <v>7</v>
      </c>
      <c r="G48" s="76">
        <v>6</v>
      </c>
      <c r="H48" s="76">
        <v>4</v>
      </c>
      <c r="I48" s="13">
        <v>0</v>
      </c>
      <c r="J48" s="33">
        <v>26722202.5</v>
      </c>
      <c r="K48" s="77">
        <v>1</v>
      </c>
      <c r="L48" s="34">
        <v>1977777</v>
      </c>
      <c r="M48" s="18">
        <v>26179.4</v>
      </c>
      <c r="N48" s="56">
        <v>7</v>
      </c>
      <c r="O48" s="57">
        <v>92</v>
      </c>
      <c r="P48" s="57">
        <v>948</v>
      </c>
      <c r="Q48" s="58">
        <v>9164</v>
      </c>
      <c r="R48" s="59">
        <v>91351</v>
      </c>
      <c r="S48" s="59">
        <v>910302</v>
      </c>
      <c r="W48" s="4"/>
    </row>
    <row r="49" spans="1:23" x14ac:dyDescent="0.15">
      <c r="A49" s="32">
        <v>42</v>
      </c>
      <c r="B49" s="26" t="s">
        <v>152</v>
      </c>
      <c r="C49" s="76">
        <v>0</v>
      </c>
      <c r="D49" s="76">
        <v>2</v>
      </c>
      <c r="E49" s="76">
        <v>8</v>
      </c>
      <c r="F49" s="76">
        <v>3</v>
      </c>
      <c r="G49" s="76">
        <v>5</v>
      </c>
      <c r="H49" s="76">
        <v>6</v>
      </c>
      <c r="I49" s="13">
        <v>8</v>
      </c>
      <c r="J49" s="33">
        <v>24791432.5</v>
      </c>
      <c r="K49" s="77">
        <v>4</v>
      </c>
      <c r="L49" s="18">
        <v>377777</v>
      </c>
      <c r="M49" s="18">
        <v>277742.3</v>
      </c>
      <c r="N49" s="56">
        <v>11</v>
      </c>
      <c r="O49" s="57">
        <v>81</v>
      </c>
      <c r="P49" s="57">
        <v>906</v>
      </c>
      <c r="Q49" s="58">
        <v>9204</v>
      </c>
      <c r="R49" s="59">
        <v>91130</v>
      </c>
      <c r="S49" s="59">
        <v>910750</v>
      </c>
      <c r="W49" s="4"/>
    </row>
    <row r="50" spans="1:23" x14ac:dyDescent="0.15">
      <c r="A50" s="32">
        <v>43</v>
      </c>
      <c r="B50" s="26" t="s">
        <v>153</v>
      </c>
      <c r="C50" s="76">
        <v>4</v>
      </c>
      <c r="D50" s="76">
        <v>2</v>
      </c>
      <c r="E50" s="76">
        <v>6</v>
      </c>
      <c r="F50" s="76">
        <v>0</v>
      </c>
      <c r="G50" s="76">
        <v>8</v>
      </c>
      <c r="H50" s="76">
        <v>9</v>
      </c>
      <c r="I50" s="13">
        <v>9</v>
      </c>
      <c r="J50" s="33">
        <v>24827665</v>
      </c>
      <c r="K50" s="77">
        <v>1</v>
      </c>
      <c r="L50" s="34">
        <v>1977777</v>
      </c>
      <c r="M50" s="18">
        <v>65212.3</v>
      </c>
      <c r="N50" s="56">
        <v>10</v>
      </c>
      <c r="O50" s="57">
        <v>85</v>
      </c>
      <c r="P50" s="57">
        <v>875</v>
      </c>
      <c r="Q50" s="58">
        <v>8908</v>
      </c>
      <c r="R50" s="59">
        <v>91600</v>
      </c>
      <c r="S50" s="59">
        <v>907904</v>
      </c>
    </row>
    <row r="51" spans="1:23" x14ac:dyDescent="0.15">
      <c r="A51" s="32">
        <v>44</v>
      </c>
      <c r="B51" s="26" t="s">
        <v>154</v>
      </c>
      <c r="C51" s="76">
        <v>2</v>
      </c>
      <c r="D51" s="76">
        <v>0</v>
      </c>
      <c r="E51" s="76">
        <v>2</v>
      </c>
      <c r="F51" s="76">
        <v>7</v>
      </c>
      <c r="G51" s="76">
        <v>0</v>
      </c>
      <c r="H51" s="76">
        <v>4</v>
      </c>
      <c r="I51" s="13">
        <v>8</v>
      </c>
      <c r="J51" s="33">
        <v>25182330</v>
      </c>
      <c r="K51" s="77">
        <v>1</v>
      </c>
      <c r="L51" s="18">
        <v>1777777</v>
      </c>
      <c r="M51" s="18">
        <v>77899</v>
      </c>
      <c r="N51" s="56">
        <v>12</v>
      </c>
      <c r="O51" s="57">
        <v>84</v>
      </c>
      <c r="P51" s="57">
        <v>914</v>
      </c>
      <c r="Q51" s="58">
        <v>9079</v>
      </c>
      <c r="R51" s="59">
        <v>93290</v>
      </c>
      <c r="S51" s="59">
        <v>915975</v>
      </c>
    </row>
    <row r="52" spans="1:23" x14ac:dyDescent="0.15">
      <c r="A52" s="32">
        <v>45</v>
      </c>
      <c r="B52" s="26" t="s">
        <v>155</v>
      </c>
      <c r="C52" s="76">
        <v>2</v>
      </c>
      <c r="D52" s="76">
        <v>9</v>
      </c>
      <c r="E52" s="76">
        <v>9</v>
      </c>
      <c r="F52" s="76">
        <v>4</v>
      </c>
      <c r="G52" s="76">
        <v>3</v>
      </c>
      <c r="H52" s="76">
        <v>6</v>
      </c>
      <c r="I52" s="13">
        <v>6</v>
      </c>
      <c r="J52" s="33">
        <v>24734397.5</v>
      </c>
      <c r="K52" s="77">
        <v>3</v>
      </c>
      <c r="L52" s="18">
        <v>577777</v>
      </c>
      <c r="M52" s="18">
        <v>103183.7</v>
      </c>
      <c r="N52" s="56">
        <v>7</v>
      </c>
      <c r="O52" s="57">
        <v>86</v>
      </c>
      <c r="P52" s="57">
        <v>931</v>
      </c>
      <c r="Q52" s="58">
        <v>9203</v>
      </c>
      <c r="R52" s="59">
        <v>92039</v>
      </c>
      <c r="S52" s="59">
        <v>906827</v>
      </c>
    </row>
    <row r="53" spans="1:23" x14ac:dyDescent="0.15">
      <c r="A53" s="32">
        <v>46</v>
      </c>
      <c r="B53" s="26" t="s">
        <v>156</v>
      </c>
      <c r="C53" s="76">
        <v>0</v>
      </c>
      <c r="D53" s="76">
        <v>1</v>
      </c>
      <c r="E53" s="76">
        <v>6</v>
      </c>
      <c r="F53" s="76">
        <v>3</v>
      </c>
      <c r="G53" s="76">
        <v>0</v>
      </c>
      <c r="H53" s="76">
        <v>5</v>
      </c>
      <c r="I53" s="13">
        <v>0</v>
      </c>
      <c r="J53" s="33">
        <v>24402842.5</v>
      </c>
      <c r="K53" s="77">
        <v>1</v>
      </c>
      <c r="L53" s="18">
        <v>1777777</v>
      </c>
      <c r="M53" s="18">
        <v>60448.800000000003</v>
      </c>
      <c r="N53" s="56">
        <v>8</v>
      </c>
      <c r="O53" s="57">
        <v>94</v>
      </c>
      <c r="P53" s="57">
        <v>810</v>
      </c>
      <c r="Q53" s="58">
        <v>8002</v>
      </c>
      <c r="R53" s="59">
        <v>82162</v>
      </c>
      <c r="S53" s="59">
        <v>815554</v>
      </c>
    </row>
    <row r="54" spans="1:23" x14ac:dyDescent="0.15">
      <c r="A54" s="32">
        <v>47</v>
      </c>
      <c r="B54" s="26" t="s">
        <v>157</v>
      </c>
      <c r="C54" s="76">
        <v>7</v>
      </c>
      <c r="D54" s="76">
        <v>1</v>
      </c>
      <c r="E54" s="76">
        <v>1</v>
      </c>
      <c r="F54" s="76">
        <v>5</v>
      </c>
      <c r="G54" s="76">
        <v>4</v>
      </c>
      <c r="H54" s="76">
        <v>3</v>
      </c>
      <c r="I54" s="13">
        <v>0</v>
      </c>
      <c r="J54" s="33">
        <v>26035522.5</v>
      </c>
      <c r="K54" s="77">
        <v>1</v>
      </c>
      <c r="L54" s="18">
        <v>877777</v>
      </c>
      <c r="M54" s="18">
        <v>156020.4</v>
      </c>
      <c r="N54" s="56">
        <v>7</v>
      </c>
      <c r="O54" s="57">
        <v>92</v>
      </c>
      <c r="P54" s="57">
        <v>887</v>
      </c>
      <c r="Q54" s="58">
        <v>8583</v>
      </c>
      <c r="R54" s="59">
        <v>86692</v>
      </c>
      <c r="S54" s="59">
        <v>861548</v>
      </c>
    </row>
    <row r="55" spans="1:23" x14ac:dyDescent="0.15">
      <c r="A55" s="32">
        <v>48</v>
      </c>
      <c r="B55" s="26" t="s">
        <v>158</v>
      </c>
      <c r="C55" s="76">
        <v>8</v>
      </c>
      <c r="D55" s="76">
        <v>7</v>
      </c>
      <c r="E55" s="76">
        <v>4</v>
      </c>
      <c r="F55" s="76">
        <v>9</v>
      </c>
      <c r="G55" s="76">
        <v>9</v>
      </c>
      <c r="H55" s="76">
        <v>0</v>
      </c>
      <c r="I55" s="13">
        <v>5</v>
      </c>
      <c r="J55" s="33">
        <v>34346497.5</v>
      </c>
      <c r="K55" s="77">
        <v>2</v>
      </c>
      <c r="L55" s="18">
        <v>1277777</v>
      </c>
      <c r="M55" s="18">
        <v>42502.400000000001</v>
      </c>
      <c r="N55" s="56">
        <v>12</v>
      </c>
      <c r="O55" s="57">
        <v>131</v>
      </c>
      <c r="P55" s="57">
        <v>1204</v>
      </c>
      <c r="Q55" s="58">
        <v>12085</v>
      </c>
      <c r="R55" s="59">
        <v>120265</v>
      </c>
      <c r="S55" s="59">
        <v>1257837</v>
      </c>
    </row>
    <row r="56" spans="1:23" x14ac:dyDescent="0.15">
      <c r="A56" s="32">
        <v>49</v>
      </c>
      <c r="B56" s="26" t="s">
        <v>159</v>
      </c>
      <c r="C56" s="76">
        <v>0</v>
      </c>
      <c r="D56" s="76">
        <v>5</v>
      </c>
      <c r="E56" s="76">
        <v>9</v>
      </c>
      <c r="F56" s="76">
        <v>8</v>
      </c>
      <c r="G56" s="76">
        <v>6</v>
      </c>
      <c r="H56" s="76">
        <v>5</v>
      </c>
      <c r="I56" s="13">
        <v>7</v>
      </c>
      <c r="J56" s="33">
        <v>31134787.5</v>
      </c>
      <c r="K56" s="159" t="s">
        <v>23</v>
      </c>
      <c r="L56" s="34"/>
      <c r="M56" s="18">
        <v>2256185.7999999998</v>
      </c>
      <c r="N56" s="56">
        <v>8</v>
      </c>
      <c r="O56" s="57">
        <v>114</v>
      </c>
      <c r="P56" s="57">
        <v>1159</v>
      </c>
      <c r="Q56" s="58">
        <v>11840</v>
      </c>
      <c r="R56" s="59">
        <v>117725</v>
      </c>
      <c r="S56" s="59">
        <v>1166450</v>
      </c>
    </row>
    <row r="57" spans="1:23" x14ac:dyDescent="0.15">
      <c r="A57" s="32">
        <v>50</v>
      </c>
      <c r="B57" s="26" t="s">
        <v>160</v>
      </c>
      <c r="C57" s="76">
        <v>7</v>
      </c>
      <c r="D57" s="76">
        <v>2</v>
      </c>
      <c r="E57" s="76">
        <v>6</v>
      </c>
      <c r="F57" s="76">
        <v>7</v>
      </c>
      <c r="G57" s="76">
        <v>0</v>
      </c>
      <c r="H57" s="76">
        <v>9</v>
      </c>
      <c r="I57" s="13">
        <v>6</v>
      </c>
      <c r="J57" s="33">
        <v>34878377.5</v>
      </c>
      <c r="K57" s="159" t="s">
        <v>23</v>
      </c>
      <c r="L57" s="34"/>
      <c r="M57" s="18">
        <v>4736038.4000000004</v>
      </c>
      <c r="N57" s="56">
        <v>15</v>
      </c>
      <c r="O57" s="57">
        <v>135</v>
      </c>
      <c r="P57" s="57">
        <v>1267</v>
      </c>
      <c r="Q57" s="58">
        <v>12550</v>
      </c>
      <c r="R57" s="59">
        <v>128632</v>
      </c>
      <c r="S57" s="59">
        <v>1274717</v>
      </c>
    </row>
    <row r="58" spans="1:23" x14ac:dyDescent="0.15">
      <c r="A58" s="32">
        <v>51</v>
      </c>
      <c r="B58" s="26" t="s">
        <v>161</v>
      </c>
      <c r="C58" s="76">
        <v>0</v>
      </c>
      <c r="D58" s="76">
        <v>4</v>
      </c>
      <c r="E58" s="76">
        <v>8</v>
      </c>
      <c r="F58" s="76">
        <v>0</v>
      </c>
      <c r="G58" s="76">
        <v>0</v>
      </c>
      <c r="H58" s="76">
        <v>1</v>
      </c>
      <c r="I58" s="13">
        <v>3</v>
      </c>
      <c r="J58" s="33">
        <v>30288982.5</v>
      </c>
      <c r="K58" s="77">
        <v>1</v>
      </c>
      <c r="L58" s="34">
        <v>6877777</v>
      </c>
      <c r="M58" s="18">
        <v>11808.1</v>
      </c>
      <c r="N58" s="56">
        <v>6</v>
      </c>
      <c r="O58" s="57">
        <v>88</v>
      </c>
      <c r="P58" s="57">
        <v>750</v>
      </c>
      <c r="Q58" s="58">
        <v>10963</v>
      </c>
      <c r="R58" s="59">
        <v>113220</v>
      </c>
      <c r="S58" s="59">
        <v>1077136</v>
      </c>
    </row>
    <row r="59" spans="1:23" x14ac:dyDescent="0.15">
      <c r="A59" s="36">
        <v>52</v>
      </c>
      <c r="B59" s="37" t="s">
        <v>162</v>
      </c>
      <c r="C59" s="38">
        <v>5</v>
      </c>
      <c r="D59" s="38">
        <v>1</v>
      </c>
      <c r="E59" s="38">
        <v>8</v>
      </c>
      <c r="F59" s="38">
        <v>4</v>
      </c>
      <c r="G59" s="38">
        <v>4</v>
      </c>
      <c r="H59" s="38">
        <v>9</v>
      </c>
      <c r="I59" s="39">
        <v>9</v>
      </c>
      <c r="J59" s="40">
        <v>28523055</v>
      </c>
      <c r="K59" s="71">
        <v>1</v>
      </c>
      <c r="L59" s="42">
        <v>1977777</v>
      </c>
      <c r="M59" s="43">
        <v>62020.3</v>
      </c>
      <c r="N59" s="61">
        <v>12</v>
      </c>
      <c r="O59" s="62">
        <v>106</v>
      </c>
      <c r="P59" s="62">
        <v>1019</v>
      </c>
      <c r="Q59" s="63">
        <v>10558</v>
      </c>
      <c r="R59" s="64">
        <v>104915</v>
      </c>
      <c r="S59" s="64">
        <v>1035091</v>
      </c>
    </row>
    <row r="60" spans="1:23" hidden="1" x14ac:dyDescent="0.15">
      <c r="A60" s="36">
        <v>53</v>
      </c>
      <c r="B60" s="37"/>
      <c r="C60" s="38"/>
      <c r="D60" s="38"/>
      <c r="E60" s="38"/>
      <c r="F60" s="38"/>
      <c r="G60" s="38"/>
      <c r="H60" s="38"/>
      <c r="I60" s="39"/>
      <c r="J60" s="40"/>
      <c r="K60" s="71"/>
      <c r="L60" s="42"/>
      <c r="M60" s="43"/>
      <c r="N60" s="61"/>
      <c r="O60" s="62"/>
      <c r="P60" s="62"/>
      <c r="Q60" s="63"/>
      <c r="R60" s="64"/>
      <c r="S60" s="64"/>
      <c r="T60" s="31">
        <f>IF(J59="","",SUM(K59,N59,O59,P59,Q59,R59,S59))</f>
        <v>1151702</v>
      </c>
    </row>
    <row r="61" spans="1:23" x14ac:dyDescent="0.15">
      <c r="A61" s="45"/>
      <c r="B61" s="46"/>
      <c r="C61" s="46"/>
      <c r="D61" s="46"/>
      <c r="E61" s="46"/>
      <c r="F61" s="46"/>
      <c r="G61" s="46"/>
      <c r="H61" s="46" t="s">
        <v>24</v>
      </c>
      <c r="I61" s="46"/>
      <c r="J61" s="97"/>
      <c r="K61" s="131">
        <f>SUM(K8:K60)</f>
        <v>50</v>
      </c>
      <c r="L61" s="132"/>
      <c r="M61" s="133"/>
      <c r="N61" s="134">
        <f t="shared" ref="N61:S61" si="0">SUM(N8:N60)</f>
        <v>502</v>
      </c>
      <c r="O61" s="135">
        <f t="shared" si="0"/>
        <v>5203</v>
      </c>
      <c r="P61" s="135">
        <f t="shared" si="0"/>
        <v>51740</v>
      </c>
      <c r="Q61" s="136">
        <f t="shared" si="0"/>
        <v>522376</v>
      </c>
      <c r="R61" s="133">
        <f t="shared" si="0"/>
        <v>5229177</v>
      </c>
      <c r="S61" s="137">
        <f t="shared" si="0"/>
        <v>52050688</v>
      </c>
    </row>
    <row r="62" spans="1:23" x14ac:dyDescent="0.15">
      <c r="W62" s="5"/>
    </row>
    <row r="65" spans="12:12" x14ac:dyDescent="0.15">
      <c r="L65"/>
    </row>
    <row r="66" spans="12:12" x14ac:dyDescent="0.15">
      <c r="L66"/>
    </row>
    <row r="67" spans="12:12" x14ac:dyDescent="0.15">
      <c r="L67"/>
    </row>
    <row r="68" spans="12:12" x14ac:dyDescent="0.15">
      <c r="L68"/>
    </row>
    <row r="69" spans="12:12" x14ac:dyDescent="0.15">
      <c r="L69"/>
    </row>
    <row r="70" spans="12:12" x14ac:dyDescent="0.15">
      <c r="L70"/>
    </row>
    <row r="71" spans="12:12" x14ac:dyDescent="0.15">
      <c r="L71"/>
    </row>
    <row r="72" spans="12:12" x14ac:dyDescent="0.15">
      <c r="L72"/>
    </row>
    <row r="73" spans="12:12" x14ac:dyDescent="0.15">
      <c r="L73"/>
    </row>
    <row r="74" spans="12:12" x14ac:dyDescent="0.15">
      <c r="L74"/>
    </row>
    <row r="75" spans="12:12" x14ac:dyDescent="0.15">
      <c r="L75"/>
    </row>
    <row r="76" spans="12:12" x14ac:dyDescent="0.15">
      <c r="L76"/>
    </row>
    <row r="77" spans="12:12" x14ac:dyDescent="0.15">
      <c r="L77"/>
    </row>
    <row r="78" spans="12:12" x14ac:dyDescent="0.15">
      <c r="L78"/>
    </row>
    <row r="79" spans="12:12" x14ac:dyDescent="0.15">
      <c r="L79"/>
    </row>
    <row r="80" spans="12:12" x14ac:dyDescent="0.15">
      <c r="L80"/>
    </row>
    <row r="81" spans="12:12" x14ac:dyDescent="0.15">
      <c r="L81"/>
    </row>
    <row r="82" spans="12:12" x14ac:dyDescent="0.15">
      <c r="L82"/>
    </row>
    <row r="83" spans="12:12" x14ac:dyDescent="0.15">
      <c r="L83"/>
    </row>
    <row r="84" spans="12:12" x14ac:dyDescent="0.15">
      <c r="L84"/>
    </row>
    <row r="85" spans="12:12" x14ac:dyDescent="0.15">
      <c r="L85"/>
    </row>
    <row r="86" spans="12:12" x14ac:dyDescent="0.15">
      <c r="L86"/>
    </row>
    <row r="87" spans="12:12" x14ac:dyDescent="0.15">
      <c r="L87"/>
    </row>
    <row r="88" spans="12:12" x14ac:dyDescent="0.15">
      <c r="L88"/>
    </row>
    <row r="89" spans="12:12" x14ac:dyDescent="0.15">
      <c r="L89"/>
    </row>
    <row r="90" spans="12:12" x14ac:dyDescent="0.15">
      <c r="L90"/>
    </row>
    <row r="91" spans="12:12" x14ac:dyDescent="0.15">
      <c r="L91"/>
    </row>
    <row r="92" spans="12:12" x14ac:dyDescent="0.15">
      <c r="L92"/>
    </row>
    <row r="93" spans="12:12" x14ac:dyDescent="0.15">
      <c r="L93"/>
    </row>
    <row r="94" spans="12:12" x14ac:dyDescent="0.15">
      <c r="L94"/>
    </row>
    <row r="95" spans="12:12" x14ac:dyDescent="0.15">
      <c r="L95"/>
    </row>
    <row r="96" spans="12:12" x14ac:dyDescent="0.15">
      <c r="L96"/>
    </row>
    <row r="97" spans="12:12" x14ac:dyDescent="0.15">
      <c r="L97"/>
    </row>
    <row r="98" spans="12:12" x14ac:dyDescent="0.15">
      <c r="L98"/>
    </row>
    <row r="99" spans="12:12" x14ac:dyDescent="0.15">
      <c r="L99"/>
    </row>
    <row r="100" spans="12:12" x14ac:dyDescent="0.15">
      <c r="L100"/>
    </row>
    <row r="101" spans="12:12" x14ac:dyDescent="0.15">
      <c r="L101"/>
    </row>
    <row r="102" spans="12:12" x14ac:dyDescent="0.15">
      <c r="L102"/>
    </row>
    <row r="103" spans="12:12" x14ac:dyDescent="0.15">
      <c r="L103"/>
    </row>
    <row r="104" spans="12:12" x14ac:dyDescent="0.15">
      <c r="L104"/>
    </row>
    <row r="105" spans="12:12" x14ac:dyDescent="0.15">
      <c r="L105"/>
    </row>
    <row r="106" spans="12:12" x14ac:dyDescent="0.15">
      <c r="L106"/>
    </row>
    <row r="107" spans="12:12" x14ac:dyDescent="0.15">
      <c r="L107"/>
    </row>
    <row r="108" spans="12:12" x14ac:dyDescent="0.15">
      <c r="L108"/>
    </row>
    <row r="109" spans="12:12" x14ac:dyDescent="0.15">
      <c r="L109"/>
    </row>
    <row r="110" spans="12:12" x14ac:dyDescent="0.15">
      <c r="L110"/>
    </row>
    <row r="111" spans="12:12" x14ac:dyDescent="0.15">
      <c r="L111"/>
    </row>
    <row r="112" spans="12:12" x14ac:dyDescent="0.15">
      <c r="L112"/>
    </row>
    <row r="113" spans="12:12" x14ac:dyDescent="0.15">
      <c r="L113"/>
    </row>
    <row r="114" spans="12:12" x14ac:dyDescent="0.15">
      <c r="L114"/>
    </row>
    <row r="115" spans="12:12" x14ac:dyDescent="0.15">
      <c r="L115"/>
    </row>
    <row r="116" spans="12:12" x14ac:dyDescent="0.15">
      <c r="L116"/>
    </row>
    <row r="117" spans="12:12" x14ac:dyDescent="0.15">
      <c r="L117"/>
    </row>
    <row r="118" spans="12:12" x14ac:dyDescent="0.15">
      <c r="L118"/>
    </row>
    <row r="119" spans="12:12" x14ac:dyDescent="0.15">
      <c r="L119"/>
    </row>
    <row r="120" spans="12:12" x14ac:dyDescent="0.15">
      <c r="L120"/>
    </row>
    <row r="121" spans="12:12" x14ac:dyDescent="0.15">
      <c r="L121"/>
    </row>
    <row r="122" spans="12:12" x14ac:dyDescent="0.15">
      <c r="L122"/>
    </row>
    <row r="123" spans="12:12" x14ac:dyDescent="0.15">
      <c r="L123"/>
    </row>
    <row r="124" spans="12:12" x14ac:dyDescent="0.15">
      <c r="L124"/>
    </row>
    <row r="125" spans="12:12" x14ac:dyDescent="0.15">
      <c r="L12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1" orientation="landscape" horizontalDpi="4294967292" verticalDpi="4294967292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125"/>
  <sheetViews>
    <sheetView topLeftCell="F25" workbookViewId="0">
      <selection activeCell="T6" sqref="T6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9" width="15.6640625" customWidth="1"/>
  </cols>
  <sheetData>
    <row r="2" spans="1:23" ht="12.75" x14ac:dyDescent="0.2">
      <c r="A2" s="1" t="s">
        <v>0</v>
      </c>
      <c r="S2" s="3" t="s">
        <v>163</v>
      </c>
      <c r="U2" s="4"/>
    </row>
    <row r="3" spans="1:23" ht="12.75" x14ac:dyDescent="0.2">
      <c r="A3" s="6" t="s">
        <v>2</v>
      </c>
      <c r="P3" s="3"/>
      <c r="U3" s="4"/>
    </row>
    <row r="4" spans="1:23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9"/>
      <c r="L4" s="12"/>
      <c r="M4" s="11"/>
      <c r="N4" s="8"/>
      <c r="O4" s="8"/>
      <c r="P4" s="8"/>
      <c r="Q4" s="8"/>
      <c r="R4" s="8"/>
      <c r="S4" s="8"/>
      <c r="W4" s="4"/>
    </row>
    <row r="5" spans="1:23" x14ac:dyDescent="0.15">
      <c r="A5" s="13" t="s">
        <v>3</v>
      </c>
      <c r="B5" s="14">
        <v>1995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92" t="s">
        <v>7</v>
      </c>
      <c r="L5" s="18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S5" s="14" t="s">
        <v>49</v>
      </c>
      <c r="W5" s="4"/>
    </row>
    <row r="6" spans="1:23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92" t="s">
        <v>50</v>
      </c>
      <c r="L6" s="18"/>
      <c r="M6" s="14" t="s">
        <v>14</v>
      </c>
      <c r="N6" s="20" t="s">
        <v>51</v>
      </c>
      <c r="O6" s="20" t="s">
        <v>52</v>
      </c>
      <c r="P6" s="20" t="s">
        <v>53</v>
      </c>
      <c r="Q6" s="20" t="s">
        <v>54</v>
      </c>
      <c r="R6" s="20" t="s">
        <v>55</v>
      </c>
      <c r="S6" s="14" t="s">
        <v>56</v>
      </c>
      <c r="W6" s="4"/>
    </row>
    <row r="7" spans="1:23" x14ac:dyDescent="0.15">
      <c r="A7" s="13"/>
      <c r="B7" s="21"/>
      <c r="C7" s="76"/>
      <c r="D7" s="76"/>
      <c r="E7" s="76"/>
      <c r="F7" s="76"/>
      <c r="G7" s="76"/>
      <c r="H7" s="76"/>
      <c r="I7" s="13"/>
      <c r="J7" s="14"/>
      <c r="K7" s="143" t="s">
        <v>15</v>
      </c>
      <c r="L7" s="23" t="s">
        <v>14</v>
      </c>
      <c r="M7" s="14"/>
      <c r="N7" s="20" t="s">
        <v>15</v>
      </c>
      <c r="O7" s="20" t="s">
        <v>15</v>
      </c>
      <c r="P7" s="20" t="s">
        <v>15</v>
      </c>
      <c r="Q7" s="20" t="s">
        <v>15</v>
      </c>
      <c r="R7" s="20" t="s">
        <v>15</v>
      </c>
      <c r="S7" s="21" t="s">
        <v>15</v>
      </c>
      <c r="W7" s="4"/>
    </row>
    <row r="8" spans="1:23" x14ac:dyDescent="0.15">
      <c r="A8" s="25">
        <v>1</v>
      </c>
      <c r="B8" s="26" t="s">
        <v>164</v>
      </c>
      <c r="C8" s="27">
        <v>8</v>
      </c>
      <c r="D8" s="27">
        <v>2</v>
      </c>
      <c r="E8" s="27">
        <v>7</v>
      </c>
      <c r="F8" s="27">
        <v>1</v>
      </c>
      <c r="G8" s="27">
        <v>3</v>
      </c>
      <c r="H8" s="27">
        <v>4</v>
      </c>
      <c r="I8" s="7">
        <v>1</v>
      </c>
      <c r="J8" s="28">
        <v>25646787.5</v>
      </c>
      <c r="K8" s="73">
        <v>1</v>
      </c>
      <c r="L8" s="29">
        <v>1877777</v>
      </c>
      <c r="M8" s="12">
        <v>7729.9</v>
      </c>
      <c r="N8" s="52">
        <v>10</v>
      </c>
      <c r="O8" s="53">
        <v>85</v>
      </c>
      <c r="P8" s="53">
        <v>925</v>
      </c>
      <c r="Q8" s="54">
        <v>9084</v>
      </c>
      <c r="R8" s="55">
        <v>91445</v>
      </c>
      <c r="S8" s="55">
        <v>906597</v>
      </c>
      <c r="W8" s="4"/>
    </row>
    <row r="9" spans="1:23" x14ac:dyDescent="0.15">
      <c r="A9" s="32">
        <v>2</v>
      </c>
      <c r="B9" s="26" t="s">
        <v>165</v>
      </c>
      <c r="C9" s="76">
        <v>2</v>
      </c>
      <c r="D9" s="76">
        <v>9</v>
      </c>
      <c r="E9" s="76">
        <v>3</v>
      </c>
      <c r="F9" s="76">
        <v>4</v>
      </c>
      <c r="G9" s="76">
        <v>4</v>
      </c>
      <c r="H9" s="76">
        <v>4</v>
      </c>
      <c r="I9" s="13">
        <v>9</v>
      </c>
      <c r="J9" s="33">
        <v>33202835</v>
      </c>
      <c r="K9" s="77">
        <v>2</v>
      </c>
      <c r="L9" s="34">
        <v>1177777</v>
      </c>
      <c r="M9" s="18">
        <v>12897.5</v>
      </c>
      <c r="N9" s="56">
        <v>11</v>
      </c>
      <c r="O9" s="57">
        <v>118</v>
      </c>
      <c r="P9" s="57">
        <v>1150</v>
      </c>
      <c r="Q9" s="58">
        <v>11918</v>
      </c>
      <c r="R9" s="59">
        <v>120836</v>
      </c>
      <c r="S9" s="59">
        <v>1191236</v>
      </c>
      <c r="W9" s="4"/>
    </row>
    <row r="10" spans="1:23" x14ac:dyDescent="0.15">
      <c r="A10" s="32">
        <v>3</v>
      </c>
      <c r="B10" s="26" t="s">
        <v>166</v>
      </c>
      <c r="C10" s="76">
        <v>0</v>
      </c>
      <c r="D10" s="76">
        <v>5</v>
      </c>
      <c r="E10" s="76">
        <v>7</v>
      </c>
      <c r="F10" s="76">
        <v>3</v>
      </c>
      <c r="G10" s="76">
        <v>1</v>
      </c>
      <c r="H10" s="76">
        <v>5</v>
      </c>
      <c r="I10" s="13">
        <v>8</v>
      </c>
      <c r="J10" s="33">
        <v>26809875</v>
      </c>
      <c r="K10" s="159" t="s">
        <v>23</v>
      </c>
      <c r="L10" s="18"/>
      <c r="M10" s="18">
        <v>1919079.6</v>
      </c>
      <c r="N10" s="56">
        <v>11</v>
      </c>
      <c r="O10" s="57">
        <v>105</v>
      </c>
      <c r="P10" s="57">
        <v>929</v>
      </c>
      <c r="Q10" s="58">
        <v>9736</v>
      </c>
      <c r="R10" s="59">
        <v>96388</v>
      </c>
      <c r="S10" s="59">
        <v>959319</v>
      </c>
      <c r="W10" s="4"/>
    </row>
    <row r="11" spans="1:23" x14ac:dyDescent="0.15">
      <c r="A11" s="32">
        <v>4</v>
      </c>
      <c r="B11" s="26" t="s">
        <v>167</v>
      </c>
      <c r="C11" s="76">
        <v>3</v>
      </c>
      <c r="D11" s="76">
        <v>7</v>
      </c>
      <c r="E11" s="76">
        <v>2</v>
      </c>
      <c r="F11" s="76">
        <v>6</v>
      </c>
      <c r="G11" s="76">
        <v>7</v>
      </c>
      <c r="H11" s="76">
        <v>2</v>
      </c>
      <c r="I11" s="13">
        <v>3</v>
      </c>
      <c r="J11" s="33">
        <v>26337657.5</v>
      </c>
      <c r="K11" s="77">
        <v>1</v>
      </c>
      <c r="L11" s="18">
        <v>3777777</v>
      </c>
      <c r="M11" s="18">
        <v>13910</v>
      </c>
      <c r="N11" s="56">
        <v>10</v>
      </c>
      <c r="O11" s="57">
        <v>121</v>
      </c>
      <c r="P11" s="57">
        <v>987</v>
      </c>
      <c r="Q11" s="58">
        <v>9687</v>
      </c>
      <c r="R11" s="59">
        <v>96516</v>
      </c>
      <c r="S11" s="59">
        <v>954176</v>
      </c>
      <c r="W11" s="4"/>
    </row>
    <row r="12" spans="1:23" x14ac:dyDescent="0.15">
      <c r="A12" s="32">
        <v>5</v>
      </c>
      <c r="B12" s="26" t="s">
        <v>168</v>
      </c>
      <c r="C12" s="76">
        <v>8</v>
      </c>
      <c r="D12" s="76">
        <v>5</v>
      </c>
      <c r="E12" s="76">
        <v>6</v>
      </c>
      <c r="F12" s="76">
        <v>1</v>
      </c>
      <c r="G12" s="76">
        <v>0</v>
      </c>
      <c r="H12" s="76">
        <v>5</v>
      </c>
      <c r="I12" s="13">
        <v>5</v>
      </c>
      <c r="J12" s="33">
        <v>27181785</v>
      </c>
      <c r="K12" s="77">
        <v>2</v>
      </c>
      <c r="L12" s="18">
        <v>877777</v>
      </c>
      <c r="M12" s="18">
        <v>190980.9</v>
      </c>
      <c r="N12" s="56">
        <v>12</v>
      </c>
      <c r="O12" s="57">
        <v>83</v>
      </c>
      <c r="P12" s="57">
        <v>953</v>
      </c>
      <c r="Q12" s="58">
        <v>9780</v>
      </c>
      <c r="R12" s="59">
        <v>99634</v>
      </c>
      <c r="S12" s="59">
        <v>992712</v>
      </c>
      <c r="W12" s="4"/>
    </row>
    <row r="13" spans="1:23" x14ac:dyDescent="0.15">
      <c r="A13" s="32">
        <v>6</v>
      </c>
      <c r="B13" s="26" t="s">
        <v>169</v>
      </c>
      <c r="C13" s="76">
        <v>9</v>
      </c>
      <c r="D13" s="76">
        <v>7</v>
      </c>
      <c r="E13" s="76">
        <v>9</v>
      </c>
      <c r="F13" s="76">
        <v>2</v>
      </c>
      <c r="G13" s="76">
        <v>5</v>
      </c>
      <c r="H13" s="76">
        <v>0</v>
      </c>
      <c r="I13" s="13">
        <v>5</v>
      </c>
      <c r="J13" s="33">
        <v>26183855</v>
      </c>
      <c r="K13" s="159" t="s">
        <v>23</v>
      </c>
      <c r="L13" s="18"/>
      <c r="M13" s="18">
        <v>2052653</v>
      </c>
      <c r="N13" s="56">
        <v>9</v>
      </c>
      <c r="O13" s="57">
        <v>86</v>
      </c>
      <c r="P13" s="57">
        <v>888</v>
      </c>
      <c r="Q13" s="58">
        <v>8866</v>
      </c>
      <c r="R13" s="59">
        <v>88956</v>
      </c>
      <c r="S13" s="59">
        <v>937938</v>
      </c>
      <c r="W13" s="4"/>
    </row>
    <row r="14" spans="1:23" x14ac:dyDescent="0.15">
      <c r="A14" s="32">
        <v>7</v>
      </c>
      <c r="B14" s="26" t="s">
        <v>170</v>
      </c>
      <c r="C14" s="76">
        <v>7</v>
      </c>
      <c r="D14" s="76">
        <v>2</v>
      </c>
      <c r="E14" s="76">
        <v>2</v>
      </c>
      <c r="F14" s="76">
        <v>4</v>
      </c>
      <c r="G14" s="76">
        <v>1</v>
      </c>
      <c r="H14" s="76">
        <v>1</v>
      </c>
      <c r="I14" s="13">
        <v>7</v>
      </c>
      <c r="J14" s="33">
        <v>25808467.5</v>
      </c>
      <c r="K14" s="77">
        <v>1</v>
      </c>
      <c r="L14" s="18">
        <v>3877777</v>
      </c>
      <c r="M14" s="18">
        <v>9858</v>
      </c>
      <c r="N14" s="56">
        <v>12</v>
      </c>
      <c r="O14" s="57">
        <v>95</v>
      </c>
      <c r="P14" s="57">
        <v>981</v>
      </c>
      <c r="Q14" s="58">
        <v>9602</v>
      </c>
      <c r="R14" s="59">
        <v>96923</v>
      </c>
      <c r="S14" s="59">
        <v>969448</v>
      </c>
      <c r="W14" s="4"/>
    </row>
    <row r="15" spans="1:23" x14ac:dyDescent="0.15">
      <c r="A15" s="32">
        <v>8</v>
      </c>
      <c r="B15" s="26" t="s">
        <v>171</v>
      </c>
      <c r="C15" s="76">
        <v>8</v>
      </c>
      <c r="D15" s="76">
        <v>4</v>
      </c>
      <c r="E15" s="76">
        <v>5</v>
      </c>
      <c r="F15" s="76">
        <v>5</v>
      </c>
      <c r="G15" s="76">
        <v>7</v>
      </c>
      <c r="H15" s="76">
        <v>4</v>
      </c>
      <c r="I15" s="13">
        <v>0</v>
      </c>
      <c r="J15" s="33">
        <v>25653790</v>
      </c>
      <c r="K15" s="77">
        <v>1</v>
      </c>
      <c r="L15" s="34">
        <v>1777777</v>
      </c>
      <c r="M15" s="18">
        <v>56065.5</v>
      </c>
      <c r="N15" s="56">
        <v>10</v>
      </c>
      <c r="O15" s="57">
        <v>82</v>
      </c>
      <c r="P15" s="57">
        <v>857</v>
      </c>
      <c r="Q15" s="58">
        <v>8732</v>
      </c>
      <c r="R15" s="59">
        <v>86609</v>
      </c>
      <c r="S15" s="59">
        <v>864687</v>
      </c>
      <c r="W15" s="4"/>
    </row>
    <row r="16" spans="1:23" x14ac:dyDescent="0.15">
      <c r="A16" s="32">
        <v>9</v>
      </c>
      <c r="B16" s="26" t="s">
        <v>172</v>
      </c>
      <c r="C16" s="76">
        <v>7</v>
      </c>
      <c r="D16" s="76">
        <v>1</v>
      </c>
      <c r="E16" s="76">
        <v>6</v>
      </c>
      <c r="F16" s="76">
        <v>9</v>
      </c>
      <c r="G16" s="76">
        <v>2</v>
      </c>
      <c r="H16" s="76">
        <v>1</v>
      </c>
      <c r="I16" s="13">
        <v>1</v>
      </c>
      <c r="J16" s="33">
        <v>26650022.5</v>
      </c>
      <c r="K16" s="77">
        <v>1</v>
      </c>
      <c r="L16" s="34">
        <v>1877777</v>
      </c>
      <c r="M16" s="18">
        <v>73105.100000000006</v>
      </c>
      <c r="N16" s="56">
        <v>12</v>
      </c>
      <c r="O16" s="57">
        <v>107</v>
      </c>
      <c r="P16" s="57">
        <v>888</v>
      </c>
      <c r="Q16" s="58">
        <v>9128</v>
      </c>
      <c r="R16" s="59">
        <v>92032</v>
      </c>
      <c r="S16" s="59">
        <v>908629</v>
      </c>
      <c r="W16" s="4"/>
    </row>
    <row r="17" spans="1:23" x14ac:dyDescent="0.15">
      <c r="A17" s="32">
        <v>10</v>
      </c>
      <c r="B17" s="26" t="s">
        <v>173</v>
      </c>
      <c r="C17" s="76">
        <v>2</v>
      </c>
      <c r="D17" s="76">
        <v>0</v>
      </c>
      <c r="E17" s="76">
        <v>7</v>
      </c>
      <c r="F17" s="76">
        <v>7</v>
      </c>
      <c r="G17" s="76">
        <v>2</v>
      </c>
      <c r="H17" s="76">
        <v>4</v>
      </c>
      <c r="I17" s="13">
        <v>0</v>
      </c>
      <c r="J17" s="33">
        <v>25351530</v>
      </c>
      <c r="K17" s="159" t="s">
        <v>23</v>
      </c>
      <c r="L17" s="18"/>
      <c r="M17" s="18">
        <v>1875598.9</v>
      </c>
      <c r="N17" s="56">
        <v>12</v>
      </c>
      <c r="O17" s="57">
        <v>86</v>
      </c>
      <c r="P17" s="57">
        <v>838</v>
      </c>
      <c r="Q17" s="58">
        <v>8630</v>
      </c>
      <c r="R17" s="59">
        <v>85245</v>
      </c>
      <c r="S17" s="59">
        <v>852177</v>
      </c>
      <c r="W17" s="4"/>
    </row>
    <row r="18" spans="1:23" x14ac:dyDescent="0.15">
      <c r="A18" s="32">
        <v>11</v>
      </c>
      <c r="B18" s="26" t="s">
        <v>174</v>
      </c>
      <c r="C18" s="76">
        <v>4</v>
      </c>
      <c r="D18" s="76">
        <v>9</v>
      </c>
      <c r="E18" s="76">
        <v>1</v>
      </c>
      <c r="F18" s="76">
        <v>2</v>
      </c>
      <c r="G18" s="76">
        <v>9</v>
      </c>
      <c r="H18" s="76">
        <v>0</v>
      </c>
      <c r="I18" s="13">
        <v>9</v>
      </c>
      <c r="J18" s="33">
        <v>25326617.5</v>
      </c>
      <c r="K18" s="77">
        <v>2</v>
      </c>
      <c r="L18" s="34">
        <v>1777777</v>
      </c>
      <c r="M18" s="18">
        <v>120767.4</v>
      </c>
      <c r="N18" s="56">
        <v>4</v>
      </c>
      <c r="O18" s="57">
        <v>90</v>
      </c>
      <c r="P18" s="57">
        <v>842</v>
      </c>
      <c r="Q18" s="58">
        <v>8980</v>
      </c>
      <c r="R18" s="59">
        <v>89360</v>
      </c>
      <c r="S18" s="59">
        <v>931948</v>
      </c>
      <c r="W18" s="4"/>
    </row>
    <row r="19" spans="1:23" x14ac:dyDescent="0.15">
      <c r="A19" s="32">
        <v>12</v>
      </c>
      <c r="B19" s="26" t="s">
        <v>175</v>
      </c>
      <c r="C19" s="76">
        <v>5</v>
      </c>
      <c r="D19" s="76">
        <v>5</v>
      </c>
      <c r="E19" s="76">
        <v>6</v>
      </c>
      <c r="F19" s="76">
        <v>6</v>
      </c>
      <c r="G19" s="76">
        <v>5</v>
      </c>
      <c r="H19" s="76">
        <v>8</v>
      </c>
      <c r="I19" s="13">
        <v>4</v>
      </c>
      <c r="J19" s="33">
        <v>25051107.5</v>
      </c>
      <c r="K19" s="77">
        <v>1</v>
      </c>
      <c r="L19" s="34">
        <v>1877777</v>
      </c>
      <c r="M19" s="18">
        <v>24124.1</v>
      </c>
      <c r="N19" s="56">
        <v>12</v>
      </c>
      <c r="O19" s="57">
        <v>93</v>
      </c>
      <c r="P19" s="57">
        <v>917</v>
      </c>
      <c r="Q19" s="58">
        <v>9033</v>
      </c>
      <c r="R19" s="59">
        <v>89097</v>
      </c>
      <c r="S19" s="59">
        <v>892069</v>
      </c>
      <c r="W19" s="4"/>
    </row>
    <row r="20" spans="1:23" x14ac:dyDescent="0.15">
      <c r="A20" s="32">
        <v>13</v>
      </c>
      <c r="B20" s="26" t="s">
        <v>176</v>
      </c>
      <c r="C20" s="76">
        <v>5</v>
      </c>
      <c r="D20" s="76">
        <v>8</v>
      </c>
      <c r="E20" s="76">
        <v>6</v>
      </c>
      <c r="F20" s="76">
        <v>5</v>
      </c>
      <c r="G20" s="76">
        <v>3</v>
      </c>
      <c r="H20" s="76">
        <v>2</v>
      </c>
      <c r="I20" s="13">
        <v>9</v>
      </c>
      <c r="J20" s="33">
        <v>32472523</v>
      </c>
      <c r="K20" s="77">
        <v>2</v>
      </c>
      <c r="L20" s="18">
        <v>1077777</v>
      </c>
      <c r="M20" s="18">
        <v>177366.5</v>
      </c>
      <c r="N20" s="56">
        <v>11</v>
      </c>
      <c r="O20" s="57">
        <v>124</v>
      </c>
      <c r="P20" s="57">
        <v>1146</v>
      </c>
      <c r="Q20" s="58">
        <v>11948</v>
      </c>
      <c r="R20" s="59">
        <v>118374</v>
      </c>
      <c r="S20" s="59">
        <v>1176948</v>
      </c>
      <c r="W20" s="4"/>
    </row>
    <row r="21" spans="1:23" x14ac:dyDescent="0.15">
      <c r="A21" s="32">
        <v>14</v>
      </c>
      <c r="B21" s="26" t="s">
        <v>177</v>
      </c>
      <c r="C21" s="76">
        <v>5</v>
      </c>
      <c r="D21" s="76">
        <v>1</v>
      </c>
      <c r="E21" s="76">
        <v>9</v>
      </c>
      <c r="F21" s="76">
        <v>6</v>
      </c>
      <c r="G21" s="76">
        <v>5</v>
      </c>
      <c r="H21" s="76">
        <v>7</v>
      </c>
      <c r="I21" s="13">
        <v>7</v>
      </c>
      <c r="J21" s="33">
        <v>25717747</v>
      </c>
      <c r="K21" s="77">
        <v>3</v>
      </c>
      <c r="L21" s="34">
        <v>577777</v>
      </c>
      <c r="M21" s="18">
        <v>272567.3</v>
      </c>
      <c r="N21" s="56">
        <v>8</v>
      </c>
      <c r="O21" s="57">
        <v>93</v>
      </c>
      <c r="P21" s="57">
        <v>953</v>
      </c>
      <c r="Q21" s="58">
        <v>9758</v>
      </c>
      <c r="R21" s="59">
        <v>97806</v>
      </c>
      <c r="S21" s="59">
        <v>955749</v>
      </c>
      <c r="W21" s="4"/>
    </row>
    <row r="22" spans="1:23" x14ac:dyDescent="0.15">
      <c r="A22" s="32">
        <v>15</v>
      </c>
      <c r="B22" s="26" t="s">
        <v>178</v>
      </c>
      <c r="C22" s="76">
        <v>4</v>
      </c>
      <c r="D22" s="76">
        <v>2</v>
      </c>
      <c r="E22" s="76">
        <v>2</v>
      </c>
      <c r="F22" s="76">
        <v>0</v>
      </c>
      <c r="G22" s="76">
        <v>2</v>
      </c>
      <c r="H22" s="76">
        <v>4</v>
      </c>
      <c r="I22" s="13">
        <v>0</v>
      </c>
      <c r="J22" s="33">
        <v>24836465</v>
      </c>
      <c r="K22" s="159" t="s">
        <v>23</v>
      </c>
      <c r="L22" s="18"/>
      <c r="M22" s="18">
        <v>2038440</v>
      </c>
      <c r="N22" s="56">
        <v>12</v>
      </c>
      <c r="O22" s="57">
        <v>87</v>
      </c>
      <c r="P22" s="57">
        <v>815</v>
      </c>
      <c r="Q22" s="58">
        <v>8460</v>
      </c>
      <c r="R22" s="59">
        <v>85243</v>
      </c>
      <c r="S22" s="59">
        <v>841471</v>
      </c>
      <c r="W22" s="4"/>
    </row>
    <row r="23" spans="1:23" x14ac:dyDescent="0.15">
      <c r="A23" s="32">
        <v>16</v>
      </c>
      <c r="B23" s="26" t="s">
        <v>179</v>
      </c>
      <c r="C23" s="76">
        <v>9</v>
      </c>
      <c r="D23" s="76">
        <v>8</v>
      </c>
      <c r="E23" s="76">
        <v>3</v>
      </c>
      <c r="F23" s="76">
        <v>7</v>
      </c>
      <c r="G23" s="76">
        <v>0</v>
      </c>
      <c r="H23" s="76">
        <v>8</v>
      </c>
      <c r="I23" s="13">
        <v>4</v>
      </c>
      <c r="J23" s="33">
        <v>24718282.5</v>
      </c>
      <c r="K23" s="159" t="s">
        <v>23</v>
      </c>
      <c r="L23" s="18"/>
      <c r="M23" s="18">
        <v>3795909.9</v>
      </c>
      <c r="N23" s="56">
        <v>13</v>
      </c>
      <c r="O23" s="57">
        <v>88</v>
      </c>
      <c r="P23" s="57">
        <v>870</v>
      </c>
      <c r="Q23" s="58">
        <v>8529</v>
      </c>
      <c r="R23" s="59">
        <v>87700</v>
      </c>
      <c r="S23" s="59">
        <v>875726</v>
      </c>
      <c r="W23" s="4"/>
    </row>
    <row r="24" spans="1:23" x14ac:dyDescent="0.15">
      <c r="A24" s="32">
        <v>17</v>
      </c>
      <c r="B24" s="26" t="s">
        <v>180</v>
      </c>
      <c r="C24" s="76">
        <v>9</v>
      </c>
      <c r="D24" s="76">
        <v>0</v>
      </c>
      <c r="E24" s="76">
        <v>1</v>
      </c>
      <c r="F24" s="76">
        <v>1</v>
      </c>
      <c r="G24" s="76">
        <v>4</v>
      </c>
      <c r="H24" s="76">
        <v>3</v>
      </c>
      <c r="I24" s="13">
        <v>0</v>
      </c>
      <c r="J24" s="33">
        <v>24956450</v>
      </c>
      <c r="K24" s="77">
        <v>1</v>
      </c>
      <c r="L24" s="18">
        <v>5477777</v>
      </c>
      <c r="M24" s="18">
        <v>92536.5</v>
      </c>
      <c r="N24" s="56">
        <v>6</v>
      </c>
      <c r="O24" s="57">
        <v>77</v>
      </c>
      <c r="P24" s="57">
        <v>790</v>
      </c>
      <c r="Q24" s="58">
        <v>8605</v>
      </c>
      <c r="R24" s="59">
        <v>84826</v>
      </c>
      <c r="S24" s="59">
        <v>847610</v>
      </c>
      <c r="W24" s="4"/>
    </row>
    <row r="25" spans="1:23" x14ac:dyDescent="0.15">
      <c r="A25" s="32">
        <v>18</v>
      </c>
      <c r="B25" s="26" t="s">
        <v>181</v>
      </c>
      <c r="C25" s="76">
        <v>3</v>
      </c>
      <c r="D25" s="76">
        <v>9</v>
      </c>
      <c r="E25" s="76">
        <v>4</v>
      </c>
      <c r="F25" s="76">
        <v>0</v>
      </c>
      <c r="G25" s="76">
        <v>7</v>
      </c>
      <c r="H25" s="76">
        <v>5</v>
      </c>
      <c r="I25" s="13">
        <v>9</v>
      </c>
      <c r="J25" s="33">
        <v>24978945</v>
      </c>
      <c r="K25" s="77">
        <v>1</v>
      </c>
      <c r="L25" s="34">
        <v>1777777</v>
      </c>
      <c r="M25" s="18">
        <v>90762.5</v>
      </c>
      <c r="N25" s="56">
        <v>6</v>
      </c>
      <c r="O25" s="57">
        <v>90</v>
      </c>
      <c r="P25" s="57">
        <v>927</v>
      </c>
      <c r="Q25" s="58">
        <v>9251</v>
      </c>
      <c r="R25" s="59">
        <v>91192</v>
      </c>
      <c r="S25" s="59">
        <v>911787</v>
      </c>
      <c r="W25" s="4"/>
    </row>
    <row r="26" spans="1:23" x14ac:dyDescent="0.15">
      <c r="A26" s="32">
        <v>19</v>
      </c>
      <c r="B26" s="26" t="s">
        <v>182</v>
      </c>
      <c r="C26" s="76">
        <v>0</v>
      </c>
      <c r="D26" s="76">
        <v>9</v>
      </c>
      <c r="E26" s="76">
        <v>3</v>
      </c>
      <c r="F26" s="76">
        <v>4</v>
      </c>
      <c r="G26" s="76">
        <v>8</v>
      </c>
      <c r="H26" s="76">
        <v>0</v>
      </c>
      <c r="I26" s="13">
        <v>7</v>
      </c>
      <c r="J26" s="33">
        <v>26073412.5</v>
      </c>
      <c r="K26" s="77">
        <v>2</v>
      </c>
      <c r="L26" s="34">
        <v>877777</v>
      </c>
      <c r="M26" s="18">
        <v>189028.1</v>
      </c>
      <c r="N26" s="56">
        <v>13</v>
      </c>
      <c r="O26" s="57">
        <v>95</v>
      </c>
      <c r="P26" s="57">
        <v>962</v>
      </c>
      <c r="Q26" s="58">
        <v>9361</v>
      </c>
      <c r="R26" s="59">
        <v>93411</v>
      </c>
      <c r="S26" s="59">
        <v>977025</v>
      </c>
      <c r="W26" s="4"/>
    </row>
    <row r="27" spans="1:23" x14ac:dyDescent="0.15">
      <c r="A27" s="32">
        <v>20</v>
      </c>
      <c r="B27" s="26" t="s">
        <v>183</v>
      </c>
      <c r="C27" s="76">
        <v>4</v>
      </c>
      <c r="D27" s="76">
        <v>7</v>
      </c>
      <c r="E27" s="76">
        <v>3</v>
      </c>
      <c r="F27" s="76">
        <v>8</v>
      </c>
      <c r="G27" s="76">
        <v>6</v>
      </c>
      <c r="H27" s="76">
        <v>1</v>
      </c>
      <c r="I27" s="13">
        <v>3</v>
      </c>
      <c r="J27" s="33">
        <v>27914665</v>
      </c>
      <c r="K27" s="77">
        <v>2</v>
      </c>
      <c r="L27" s="34">
        <v>1077777</v>
      </c>
      <c r="M27" s="18">
        <v>18206.8</v>
      </c>
      <c r="N27" s="56">
        <v>10</v>
      </c>
      <c r="O27" s="57">
        <v>100</v>
      </c>
      <c r="P27" s="57">
        <v>1027</v>
      </c>
      <c r="Q27" s="58">
        <v>10615</v>
      </c>
      <c r="R27" s="59">
        <v>105213</v>
      </c>
      <c r="S27" s="59">
        <v>1005285</v>
      </c>
      <c r="W27" s="4"/>
    </row>
    <row r="28" spans="1:23" x14ac:dyDescent="0.15">
      <c r="A28" s="32">
        <v>21</v>
      </c>
      <c r="B28" s="26" t="s">
        <v>184</v>
      </c>
      <c r="C28" s="76">
        <v>7</v>
      </c>
      <c r="D28" s="76">
        <v>1</v>
      </c>
      <c r="E28" s="76">
        <v>7</v>
      </c>
      <c r="F28" s="76">
        <v>3</v>
      </c>
      <c r="G28" s="76">
        <v>0</v>
      </c>
      <c r="H28" s="76">
        <v>9</v>
      </c>
      <c r="I28" s="13">
        <v>8</v>
      </c>
      <c r="J28" s="33">
        <v>27270477.5</v>
      </c>
      <c r="K28" s="77">
        <v>1</v>
      </c>
      <c r="L28" s="34">
        <v>1877777</v>
      </c>
      <c r="M28" s="18">
        <v>79360.800000000003</v>
      </c>
      <c r="N28" s="56">
        <v>11</v>
      </c>
      <c r="O28" s="57">
        <v>90</v>
      </c>
      <c r="P28" s="57">
        <v>968</v>
      </c>
      <c r="Q28" s="58">
        <v>9803</v>
      </c>
      <c r="R28" s="59">
        <v>98770</v>
      </c>
      <c r="S28" s="59">
        <v>994093</v>
      </c>
      <c r="W28" s="4"/>
    </row>
    <row r="29" spans="1:23" x14ac:dyDescent="0.15">
      <c r="A29" s="32">
        <v>22</v>
      </c>
      <c r="B29" s="26" t="s">
        <v>185</v>
      </c>
      <c r="C29" s="76">
        <v>9</v>
      </c>
      <c r="D29" s="76">
        <v>0</v>
      </c>
      <c r="E29" s="76">
        <v>8</v>
      </c>
      <c r="F29" s="76">
        <v>8</v>
      </c>
      <c r="G29" s="76">
        <v>3</v>
      </c>
      <c r="H29" s="76">
        <v>6</v>
      </c>
      <c r="I29" s="13">
        <v>6</v>
      </c>
      <c r="J29" s="33">
        <v>32247550</v>
      </c>
      <c r="K29" s="77">
        <v>2</v>
      </c>
      <c r="L29" s="18">
        <v>1177777</v>
      </c>
      <c r="M29" s="18">
        <v>16607.599999999999</v>
      </c>
      <c r="N29" s="56">
        <v>9</v>
      </c>
      <c r="O29" s="57">
        <v>123</v>
      </c>
      <c r="P29" s="57">
        <v>1169</v>
      </c>
      <c r="Q29" s="58">
        <v>12025</v>
      </c>
      <c r="R29" s="59">
        <v>119624</v>
      </c>
      <c r="S29" s="59">
        <v>1185532</v>
      </c>
      <c r="W29" s="4"/>
    </row>
    <row r="30" spans="1:23" x14ac:dyDescent="0.15">
      <c r="A30" s="32">
        <v>23</v>
      </c>
      <c r="B30" s="26" t="s">
        <v>186</v>
      </c>
      <c r="C30" s="76">
        <v>7</v>
      </c>
      <c r="D30" s="76">
        <v>6</v>
      </c>
      <c r="E30" s="76">
        <v>6</v>
      </c>
      <c r="F30" s="76">
        <v>9</v>
      </c>
      <c r="G30" s="76">
        <v>7</v>
      </c>
      <c r="H30" s="76">
        <v>1</v>
      </c>
      <c r="I30" s="13">
        <v>0</v>
      </c>
      <c r="J30" s="33">
        <v>34592645</v>
      </c>
      <c r="K30" s="77">
        <v>2</v>
      </c>
      <c r="L30" s="18">
        <v>1177777</v>
      </c>
      <c r="M30" s="18">
        <v>120590.7</v>
      </c>
      <c r="N30" s="56">
        <v>14</v>
      </c>
      <c r="O30" s="57">
        <v>117</v>
      </c>
      <c r="P30" s="57">
        <v>1172</v>
      </c>
      <c r="Q30" s="58">
        <v>11957</v>
      </c>
      <c r="R30" s="59">
        <v>117718</v>
      </c>
      <c r="S30" s="59">
        <v>1177822</v>
      </c>
      <c r="W30" s="4"/>
    </row>
    <row r="31" spans="1:23" x14ac:dyDescent="0.15">
      <c r="A31" s="32">
        <v>24</v>
      </c>
      <c r="B31" s="26" t="s">
        <v>187</v>
      </c>
      <c r="C31" s="76">
        <v>1</v>
      </c>
      <c r="D31" s="76">
        <v>0</v>
      </c>
      <c r="E31" s="76">
        <v>5</v>
      </c>
      <c r="F31" s="76">
        <v>3</v>
      </c>
      <c r="G31" s="76">
        <v>1</v>
      </c>
      <c r="H31" s="76">
        <v>7</v>
      </c>
      <c r="I31" s="13">
        <v>9</v>
      </c>
      <c r="J31" s="33">
        <v>26320505</v>
      </c>
      <c r="K31" s="77">
        <v>1</v>
      </c>
      <c r="L31" s="34">
        <v>1977777</v>
      </c>
      <c r="M31" s="18">
        <v>14201.6</v>
      </c>
      <c r="N31" s="56">
        <v>8</v>
      </c>
      <c r="O31" s="57">
        <v>107</v>
      </c>
      <c r="P31" s="57">
        <v>964</v>
      </c>
      <c r="Q31" s="58">
        <v>9534</v>
      </c>
      <c r="R31" s="59">
        <v>97135</v>
      </c>
      <c r="S31" s="59">
        <v>971567</v>
      </c>
      <c r="W31" s="4"/>
    </row>
    <row r="32" spans="1:23" x14ac:dyDescent="0.15">
      <c r="A32" s="32">
        <v>25</v>
      </c>
      <c r="B32" s="26" t="s">
        <v>188</v>
      </c>
      <c r="C32" s="76">
        <v>7</v>
      </c>
      <c r="D32" s="76">
        <v>7</v>
      </c>
      <c r="E32" s="76">
        <v>4</v>
      </c>
      <c r="F32" s="76">
        <v>3</v>
      </c>
      <c r="G32" s="76">
        <v>4</v>
      </c>
      <c r="H32" s="76">
        <v>7</v>
      </c>
      <c r="I32" s="13">
        <v>7</v>
      </c>
      <c r="J32" s="33">
        <v>25404235</v>
      </c>
      <c r="K32" s="77">
        <v>1</v>
      </c>
      <c r="L32" s="18">
        <v>1777777</v>
      </c>
      <c r="M32" s="18">
        <v>42665.7</v>
      </c>
      <c r="N32" s="56">
        <v>11</v>
      </c>
      <c r="O32" s="57">
        <v>109</v>
      </c>
      <c r="P32" s="57">
        <v>903</v>
      </c>
      <c r="Q32" s="58">
        <v>9633</v>
      </c>
      <c r="R32" s="59">
        <v>96061</v>
      </c>
      <c r="S32" s="59">
        <v>929526</v>
      </c>
      <c r="W32" s="4"/>
    </row>
    <row r="33" spans="1:23" x14ac:dyDescent="0.15">
      <c r="A33" s="32">
        <v>26</v>
      </c>
      <c r="B33" s="26" t="s">
        <v>189</v>
      </c>
      <c r="C33" s="76">
        <v>4</v>
      </c>
      <c r="D33" s="76">
        <v>0</v>
      </c>
      <c r="E33" s="76">
        <v>5</v>
      </c>
      <c r="F33" s="76">
        <v>5</v>
      </c>
      <c r="G33" s="76">
        <v>2</v>
      </c>
      <c r="H33" s="76">
        <v>8</v>
      </c>
      <c r="I33" s="13">
        <v>6</v>
      </c>
      <c r="J33" s="33">
        <v>25286420</v>
      </c>
      <c r="K33" s="77">
        <v>1</v>
      </c>
      <c r="L33" s="34">
        <v>1777777</v>
      </c>
      <c r="M33" s="18">
        <v>62753.2</v>
      </c>
      <c r="N33" s="56">
        <v>10</v>
      </c>
      <c r="O33" s="57">
        <v>94</v>
      </c>
      <c r="P33" s="57">
        <v>934</v>
      </c>
      <c r="Q33" s="58">
        <v>9294</v>
      </c>
      <c r="R33" s="59">
        <v>91946</v>
      </c>
      <c r="S33" s="59">
        <v>924005</v>
      </c>
      <c r="W33" s="4"/>
    </row>
    <row r="34" spans="1:23" x14ac:dyDescent="0.15">
      <c r="A34" s="32">
        <v>27</v>
      </c>
      <c r="B34" s="26" t="s">
        <v>190</v>
      </c>
      <c r="C34" s="76">
        <v>7</v>
      </c>
      <c r="D34" s="76">
        <v>5</v>
      </c>
      <c r="E34" s="76">
        <v>6</v>
      </c>
      <c r="F34" s="76">
        <v>0</v>
      </c>
      <c r="G34" s="76">
        <v>6</v>
      </c>
      <c r="H34" s="76">
        <v>6</v>
      </c>
      <c r="I34" s="13">
        <v>8</v>
      </c>
      <c r="J34" s="33">
        <v>24207285</v>
      </c>
      <c r="K34" s="77">
        <v>3</v>
      </c>
      <c r="L34" s="18">
        <v>577777</v>
      </c>
      <c r="M34" s="18">
        <v>50560.2</v>
      </c>
      <c r="N34" s="56">
        <v>8</v>
      </c>
      <c r="O34" s="57">
        <v>94</v>
      </c>
      <c r="P34" s="57">
        <v>856</v>
      </c>
      <c r="Q34" s="58">
        <v>8791</v>
      </c>
      <c r="R34" s="59">
        <v>88844</v>
      </c>
      <c r="S34" s="59">
        <v>885442</v>
      </c>
      <c r="W34" s="4"/>
    </row>
    <row r="35" spans="1:23" x14ac:dyDescent="0.15">
      <c r="A35" s="32">
        <v>28</v>
      </c>
      <c r="B35" s="26" t="s">
        <v>191</v>
      </c>
      <c r="C35" s="76">
        <v>2</v>
      </c>
      <c r="D35" s="76">
        <v>6</v>
      </c>
      <c r="E35" s="76">
        <v>0</v>
      </c>
      <c r="F35" s="76">
        <v>3</v>
      </c>
      <c r="G35" s="76">
        <v>2</v>
      </c>
      <c r="H35" s="76">
        <v>6</v>
      </c>
      <c r="I35" s="13">
        <v>3</v>
      </c>
      <c r="J35" s="33">
        <v>23305777.5</v>
      </c>
      <c r="K35" s="159" t="s">
        <v>23</v>
      </c>
      <c r="L35" s="18"/>
      <c r="M35" s="18">
        <v>1707601</v>
      </c>
      <c r="N35" s="56">
        <v>8</v>
      </c>
      <c r="O35" s="57">
        <v>85</v>
      </c>
      <c r="P35" s="57">
        <v>886</v>
      </c>
      <c r="Q35" s="58">
        <v>8265</v>
      </c>
      <c r="R35" s="59">
        <v>83639</v>
      </c>
      <c r="S35" s="59">
        <v>838730</v>
      </c>
      <c r="W35" s="4"/>
    </row>
    <row r="36" spans="1:23" x14ac:dyDescent="0.15">
      <c r="A36" s="32">
        <v>29</v>
      </c>
      <c r="B36" s="26" t="s">
        <v>192</v>
      </c>
      <c r="C36" s="76">
        <v>2</v>
      </c>
      <c r="D36" s="76">
        <v>8</v>
      </c>
      <c r="E36" s="76">
        <v>1</v>
      </c>
      <c r="F36" s="76">
        <v>5</v>
      </c>
      <c r="G36" s="76">
        <v>4</v>
      </c>
      <c r="H36" s="76">
        <v>2</v>
      </c>
      <c r="I36" s="13">
        <v>8</v>
      </c>
      <c r="J36" s="33">
        <v>23073942</v>
      </c>
      <c r="K36" s="77">
        <v>1</v>
      </c>
      <c r="L36" s="18">
        <v>3277777</v>
      </c>
      <c r="M36" s="18">
        <v>70381.3</v>
      </c>
      <c r="N36" s="56">
        <v>8</v>
      </c>
      <c r="O36" s="57">
        <v>76</v>
      </c>
      <c r="P36" s="57">
        <v>854</v>
      </c>
      <c r="Q36" s="58">
        <v>8726</v>
      </c>
      <c r="R36" s="59">
        <v>84719</v>
      </c>
      <c r="S36" s="59">
        <v>842136</v>
      </c>
      <c r="W36" s="4"/>
    </row>
    <row r="37" spans="1:23" x14ac:dyDescent="0.15">
      <c r="A37" s="32">
        <v>30</v>
      </c>
      <c r="B37" s="26" t="s">
        <v>193</v>
      </c>
      <c r="C37" s="76">
        <v>5</v>
      </c>
      <c r="D37" s="76">
        <v>0</v>
      </c>
      <c r="E37" s="76">
        <v>6</v>
      </c>
      <c r="F37" s="76">
        <v>2</v>
      </c>
      <c r="G37" s="76">
        <v>6</v>
      </c>
      <c r="H37" s="76">
        <v>5</v>
      </c>
      <c r="I37" s="13">
        <v>3</v>
      </c>
      <c r="J37" s="33">
        <v>23469042.5</v>
      </c>
      <c r="K37" s="77">
        <v>1</v>
      </c>
      <c r="L37" s="18">
        <v>1677777</v>
      </c>
      <c r="M37" s="18">
        <v>61253.2</v>
      </c>
      <c r="N37" s="56">
        <v>12</v>
      </c>
      <c r="O37" s="57">
        <v>87</v>
      </c>
      <c r="P37" s="57">
        <v>875</v>
      </c>
      <c r="Q37" s="58">
        <v>8396</v>
      </c>
      <c r="R37" s="59">
        <v>84344</v>
      </c>
      <c r="S37" s="59">
        <v>839941</v>
      </c>
      <c r="W37" s="4"/>
    </row>
    <row r="38" spans="1:23" x14ac:dyDescent="0.15">
      <c r="A38" s="32">
        <v>31</v>
      </c>
      <c r="B38" s="26" t="s">
        <v>194</v>
      </c>
      <c r="C38" s="76">
        <v>4</v>
      </c>
      <c r="D38" s="76">
        <v>6</v>
      </c>
      <c r="E38" s="76">
        <v>7</v>
      </c>
      <c r="F38" s="76">
        <v>9</v>
      </c>
      <c r="G38" s="76">
        <v>3</v>
      </c>
      <c r="H38" s="76">
        <v>3</v>
      </c>
      <c r="I38" s="13">
        <v>9</v>
      </c>
      <c r="J38" s="33">
        <v>23253463</v>
      </c>
      <c r="K38" s="159" t="s">
        <v>23</v>
      </c>
      <c r="L38" s="18"/>
      <c r="M38" s="18">
        <v>1714574.4</v>
      </c>
      <c r="N38" s="56">
        <v>7</v>
      </c>
      <c r="O38" s="57">
        <v>78</v>
      </c>
      <c r="P38" s="57">
        <v>833</v>
      </c>
      <c r="Q38" s="58">
        <v>8426</v>
      </c>
      <c r="R38" s="59">
        <v>84237</v>
      </c>
      <c r="S38" s="59">
        <v>834646</v>
      </c>
      <c r="W38" s="4"/>
    </row>
    <row r="39" spans="1:23" x14ac:dyDescent="0.15">
      <c r="A39" s="32">
        <v>32</v>
      </c>
      <c r="B39" s="26" t="s">
        <v>195</v>
      </c>
      <c r="C39" s="76">
        <v>1</v>
      </c>
      <c r="D39" s="76">
        <v>0</v>
      </c>
      <c r="E39" s="76">
        <v>9</v>
      </c>
      <c r="F39" s="76">
        <v>6</v>
      </c>
      <c r="G39" s="76">
        <v>2</v>
      </c>
      <c r="H39" s="76">
        <v>2</v>
      </c>
      <c r="I39" s="13">
        <v>0</v>
      </c>
      <c r="J39" s="33">
        <v>23225702.5</v>
      </c>
      <c r="K39" s="159" t="s">
        <v>23</v>
      </c>
      <c r="L39" s="18"/>
      <c r="M39" s="18">
        <v>3365921.8</v>
      </c>
      <c r="N39" s="56">
        <v>7</v>
      </c>
      <c r="O39" s="57">
        <v>88</v>
      </c>
      <c r="P39" s="57">
        <v>860</v>
      </c>
      <c r="Q39" s="58">
        <v>8151</v>
      </c>
      <c r="R39" s="59">
        <v>79935</v>
      </c>
      <c r="S39" s="59">
        <v>801874</v>
      </c>
      <c r="W39" s="4"/>
    </row>
    <row r="40" spans="1:23" x14ac:dyDescent="0.15">
      <c r="A40" s="32">
        <v>33</v>
      </c>
      <c r="B40" s="26" t="s">
        <v>196</v>
      </c>
      <c r="C40" s="76">
        <v>1</v>
      </c>
      <c r="D40" s="76">
        <v>5</v>
      </c>
      <c r="E40" s="76">
        <v>2</v>
      </c>
      <c r="F40" s="76">
        <v>8</v>
      </c>
      <c r="G40" s="76">
        <v>9</v>
      </c>
      <c r="H40" s="76">
        <v>7</v>
      </c>
      <c r="I40" s="13">
        <v>5</v>
      </c>
      <c r="J40" s="33">
        <v>23421705</v>
      </c>
      <c r="K40" s="77">
        <v>2</v>
      </c>
      <c r="L40" s="18">
        <v>2477777</v>
      </c>
      <c r="M40" s="18">
        <v>75651</v>
      </c>
      <c r="N40" s="56">
        <v>11</v>
      </c>
      <c r="O40" s="57">
        <v>85</v>
      </c>
      <c r="P40" s="57">
        <v>826</v>
      </c>
      <c r="Q40" s="58">
        <v>8558</v>
      </c>
      <c r="R40" s="59">
        <v>85430</v>
      </c>
      <c r="S40" s="59">
        <v>852529</v>
      </c>
      <c r="W40" s="4"/>
    </row>
    <row r="41" spans="1:23" x14ac:dyDescent="0.15">
      <c r="A41" s="32">
        <v>34</v>
      </c>
      <c r="B41" s="26" t="s">
        <v>197</v>
      </c>
      <c r="C41" s="76">
        <v>3</v>
      </c>
      <c r="D41" s="76">
        <v>3</v>
      </c>
      <c r="E41" s="76">
        <v>3</v>
      </c>
      <c r="F41" s="76">
        <v>5</v>
      </c>
      <c r="G41" s="76">
        <v>6</v>
      </c>
      <c r="H41" s="76">
        <v>8</v>
      </c>
      <c r="I41" s="13">
        <v>0</v>
      </c>
      <c r="J41" s="33">
        <v>23562797.5</v>
      </c>
      <c r="K41" s="159" t="s">
        <v>23</v>
      </c>
      <c r="L41" s="18"/>
      <c r="M41" s="18">
        <v>1750965.9</v>
      </c>
      <c r="N41" s="56">
        <v>13</v>
      </c>
      <c r="O41" s="57">
        <v>81</v>
      </c>
      <c r="P41" s="57">
        <v>827</v>
      </c>
      <c r="Q41" s="58">
        <v>8006</v>
      </c>
      <c r="R41" s="59">
        <v>80571</v>
      </c>
      <c r="S41" s="59">
        <v>808222</v>
      </c>
      <c r="W41" s="4"/>
    </row>
    <row r="42" spans="1:23" x14ac:dyDescent="0.15">
      <c r="A42" s="32">
        <v>35</v>
      </c>
      <c r="B42" s="26" t="s">
        <v>198</v>
      </c>
      <c r="C42" s="76">
        <v>8</v>
      </c>
      <c r="D42" s="76">
        <v>1</v>
      </c>
      <c r="E42" s="76">
        <v>0</v>
      </c>
      <c r="F42" s="76">
        <v>4</v>
      </c>
      <c r="G42" s="76">
        <v>3</v>
      </c>
      <c r="H42" s="76">
        <v>2</v>
      </c>
      <c r="I42" s="13">
        <v>2</v>
      </c>
      <c r="J42" s="33">
        <v>30436567.5</v>
      </c>
      <c r="K42" s="77">
        <v>2</v>
      </c>
      <c r="L42" s="18">
        <v>1877777</v>
      </c>
      <c r="M42" s="18">
        <v>159451.79999999999</v>
      </c>
      <c r="N42" s="56">
        <v>17</v>
      </c>
      <c r="O42" s="57">
        <v>110</v>
      </c>
      <c r="P42" s="57">
        <v>1068</v>
      </c>
      <c r="Q42" s="58">
        <v>10995</v>
      </c>
      <c r="R42" s="59">
        <v>109081</v>
      </c>
      <c r="S42" s="59">
        <v>1091056</v>
      </c>
      <c r="W42" s="4"/>
    </row>
    <row r="43" spans="1:23" x14ac:dyDescent="0.15">
      <c r="A43" s="32">
        <v>36</v>
      </c>
      <c r="B43" s="26" t="s">
        <v>199</v>
      </c>
      <c r="C43" s="76">
        <v>6</v>
      </c>
      <c r="D43" s="76">
        <v>6</v>
      </c>
      <c r="E43" s="76">
        <v>5</v>
      </c>
      <c r="F43" s="76">
        <v>3</v>
      </c>
      <c r="G43" s="76">
        <v>1</v>
      </c>
      <c r="H43" s="76">
        <v>8</v>
      </c>
      <c r="I43" s="13">
        <v>6</v>
      </c>
      <c r="J43" s="33">
        <v>24763177.5</v>
      </c>
      <c r="K43" s="77">
        <v>1</v>
      </c>
      <c r="L43" s="18">
        <v>1877777</v>
      </c>
      <c r="M43" s="18">
        <v>42336.7</v>
      </c>
      <c r="N43" s="56">
        <v>3</v>
      </c>
      <c r="O43" s="57">
        <v>77</v>
      </c>
      <c r="P43" s="57">
        <v>931</v>
      </c>
      <c r="Q43" s="58">
        <v>9239</v>
      </c>
      <c r="R43" s="59">
        <v>90809</v>
      </c>
      <c r="S43" s="59">
        <v>907186</v>
      </c>
      <c r="W43" s="4"/>
    </row>
    <row r="44" spans="1:23" x14ac:dyDescent="0.15">
      <c r="A44" s="32">
        <v>37</v>
      </c>
      <c r="B44" s="26" t="s">
        <v>200</v>
      </c>
      <c r="C44" s="76">
        <v>5</v>
      </c>
      <c r="D44" s="76">
        <v>7</v>
      </c>
      <c r="E44" s="76">
        <v>2</v>
      </c>
      <c r="F44" s="76">
        <v>6</v>
      </c>
      <c r="G44" s="76">
        <v>0</v>
      </c>
      <c r="H44" s="76">
        <v>7</v>
      </c>
      <c r="I44" s="13">
        <v>2</v>
      </c>
      <c r="J44" s="33">
        <v>24498625</v>
      </c>
      <c r="K44" s="77">
        <v>1</v>
      </c>
      <c r="L44" s="34">
        <v>1777777</v>
      </c>
      <c r="M44" s="18">
        <v>6411.9</v>
      </c>
      <c r="N44" s="56">
        <v>4</v>
      </c>
      <c r="O44" s="57">
        <v>86</v>
      </c>
      <c r="P44" s="57">
        <v>868</v>
      </c>
      <c r="Q44" s="58">
        <v>8635</v>
      </c>
      <c r="R44" s="59">
        <v>87324</v>
      </c>
      <c r="S44" s="59">
        <v>865183</v>
      </c>
      <c r="W44" s="4"/>
    </row>
    <row r="45" spans="1:23" x14ac:dyDescent="0.15">
      <c r="A45" s="32">
        <v>38</v>
      </c>
      <c r="B45" s="26" t="s">
        <v>201</v>
      </c>
      <c r="C45" s="76">
        <v>1</v>
      </c>
      <c r="D45" s="76">
        <v>7</v>
      </c>
      <c r="E45" s="76">
        <v>2</v>
      </c>
      <c r="F45" s="76">
        <v>3</v>
      </c>
      <c r="G45" s="76">
        <v>6</v>
      </c>
      <c r="H45" s="76">
        <v>8</v>
      </c>
      <c r="I45" s="13">
        <v>3</v>
      </c>
      <c r="J45" s="33">
        <v>24332985</v>
      </c>
      <c r="K45" s="77">
        <v>1</v>
      </c>
      <c r="L45" s="34">
        <v>1677777</v>
      </c>
      <c r="M45" s="18">
        <v>58710.1</v>
      </c>
      <c r="N45" s="56">
        <v>7</v>
      </c>
      <c r="O45" s="57">
        <v>84</v>
      </c>
      <c r="P45" s="57">
        <v>941</v>
      </c>
      <c r="Q45" s="58">
        <v>8639</v>
      </c>
      <c r="R45" s="59">
        <v>87437</v>
      </c>
      <c r="S45" s="59">
        <v>877824</v>
      </c>
      <c r="W45" s="4"/>
    </row>
    <row r="46" spans="1:23" x14ac:dyDescent="0.15">
      <c r="A46" s="32">
        <v>39</v>
      </c>
      <c r="B46" s="26" t="s">
        <v>202</v>
      </c>
      <c r="C46" s="76">
        <v>7</v>
      </c>
      <c r="D46" s="76">
        <v>4</v>
      </c>
      <c r="E46" s="76">
        <v>9</v>
      </c>
      <c r="F46" s="76">
        <v>4</v>
      </c>
      <c r="G46" s="76">
        <v>8</v>
      </c>
      <c r="H46" s="76">
        <v>5</v>
      </c>
      <c r="I46" s="13">
        <v>6</v>
      </c>
      <c r="J46" s="33">
        <v>24701620.5</v>
      </c>
      <c r="K46" s="77">
        <v>1</v>
      </c>
      <c r="L46" s="18">
        <v>1777777</v>
      </c>
      <c r="M46" s="18">
        <v>37218.300000000003</v>
      </c>
      <c r="N46" s="56">
        <v>9</v>
      </c>
      <c r="O46" s="57">
        <v>98</v>
      </c>
      <c r="P46" s="57">
        <v>863</v>
      </c>
      <c r="Q46" s="58">
        <v>9104</v>
      </c>
      <c r="R46" s="59">
        <v>90361</v>
      </c>
      <c r="S46" s="59">
        <v>897269</v>
      </c>
      <c r="W46" s="4"/>
    </row>
    <row r="47" spans="1:23" x14ac:dyDescent="0.15">
      <c r="A47" s="32">
        <v>40</v>
      </c>
      <c r="B47" s="26" t="s">
        <v>203</v>
      </c>
      <c r="C47" s="76">
        <v>6</v>
      </c>
      <c r="D47" s="76">
        <v>1</v>
      </c>
      <c r="E47" s="76">
        <v>9</v>
      </c>
      <c r="F47" s="76">
        <v>0</v>
      </c>
      <c r="G47" s="76">
        <v>8</v>
      </c>
      <c r="H47" s="76">
        <v>4</v>
      </c>
      <c r="I47" s="13">
        <v>3</v>
      </c>
      <c r="J47" s="33">
        <v>24870142</v>
      </c>
      <c r="K47" s="77">
        <v>2</v>
      </c>
      <c r="L47" s="18">
        <v>877777</v>
      </c>
      <c r="M47" s="18">
        <v>49931.4</v>
      </c>
      <c r="N47" s="56">
        <v>10</v>
      </c>
      <c r="O47" s="57">
        <v>91</v>
      </c>
      <c r="P47" s="57">
        <v>938</v>
      </c>
      <c r="Q47" s="58">
        <v>9029</v>
      </c>
      <c r="R47" s="59">
        <v>90325</v>
      </c>
      <c r="S47" s="59">
        <v>901489</v>
      </c>
      <c r="W47" s="4"/>
    </row>
    <row r="48" spans="1:23" x14ac:dyDescent="0.15">
      <c r="A48" s="32">
        <v>41</v>
      </c>
      <c r="B48" s="26" t="s">
        <v>204</v>
      </c>
      <c r="C48" s="76">
        <v>2</v>
      </c>
      <c r="D48" s="76">
        <v>2</v>
      </c>
      <c r="E48" s="76">
        <v>0</v>
      </c>
      <c r="F48" s="76">
        <v>9</v>
      </c>
      <c r="G48" s="76">
        <v>4</v>
      </c>
      <c r="H48" s="76">
        <v>2</v>
      </c>
      <c r="I48" s="13">
        <v>7</v>
      </c>
      <c r="J48" s="33">
        <v>26238712.5</v>
      </c>
      <c r="K48" s="159" t="s">
        <v>23</v>
      </c>
      <c r="L48" s="18"/>
      <c r="M48" s="18">
        <v>1915503.9</v>
      </c>
      <c r="N48" s="56">
        <v>15</v>
      </c>
      <c r="O48" s="57">
        <v>79</v>
      </c>
      <c r="P48" s="57">
        <v>982</v>
      </c>
      <c r="Q48" s="58">
        <v>10069</v>
      </c>
      <c r="R48" s="59">
        <v>99185</v>
      </c>
      <c r="S48" s="59">
        <v>982799</v>
      </c>
      <c r="W48" s="4"/>
    </row>
    <row r="49" spans="1:23" x14ac:dyDescent="0.15">
      <c r="A49" s="32">
        <v>42</v>
      </c>
      <c r="B49" s="26" t="s">
        <v>205</v>
      </c>
      <c r="C49" s="76">
        <v>4</v>
      </c>
      <c r="D49" s="76">
        <v>6</v>
      </c>
      <c r="E49" s="76">
        <v>1</v>
      </c>
      <c r="F49" s="76">
        <v>3</v>
      </c>
      <c r="G49" s="76">
        <v>9</v>
      </c>
      <c r="H49" s="76">
        <v>6</v>
      </c>
      <c r="I49" s="13">
        <v>6</v>
      </c>
      <c r="J49" s="33">
        <v>24591922.5</v>
      </c>
      <c r="K49" s="77">
        <v>1</v>
      </c>
      <c r="L49" s="18">
        <v>3577777</v>
      </c>
      <c r="M49" s="18">
        <v>86212.6</v>
      </c>
      <c r="N49" s="56">
        <v>9</v>
      </c>
      <c r="O49" s="57">
        <v>99</v>
      </c>
      <c r="P49" s="57">
        <v>894</v>
      </c>
      <c r="Q49" s="58">
        <v>9294</v>
      </c>
      <c r="R49" s="59">
        <v>90789</v>
      </c>
      <c r="S49" s="59">
        <v>898755</v>
      </c>
      <c r="W49" s="4"/>
    </row>
    <row r="50" spans="1:23" x14ac:dyDescent="0.15">
      <c r="A50" s="32">
        <v>43</v>
      </c>
      <c r="B50" s="26" t="s">
        <v>206</v>
      </c>
      <c r="C50" s="76">
        <v>7</v>
      </c>
      <c r="D50" s="76">
        <v>4</v>
      </c>
      <c r="E50" s="76">
        <v>8</v>
      </c>
      <c r="F50" s="76">
        <v>3</v>
      </c>
      <c r="G50" s="76">
        <v>6</v>
      </c>
      <c r="H50" s="76">
        <v>0</v>
      </c>
      <c r="I50" s="13">
        <v>5</v>
      </c>
      <c r="J50" s="33">
        <v>24827725</v>
      </c>
      <c r="K50" s="159" t="s">
        <v>23</v>
      </c>
      <c r="L50" s="18"/>
      <c r="M50" s="18">
        <v>1851463.8</v>
      </c>
      <c r="N50" s="56">
        <v>7</v>
      </c>
      <c r="O50" s="57">
        <v>90</v>
      </c>
      <c r="P50" s="57">
        <v>881</v>
      </c>
      <c r="Q50" s="58">
        <v>8817</v>
      </c>
      <c r="R50" s="59">
        <v>88611</v>
      </c>
      <c r="S50" s="59">
        <v>937707</v>
      </c>
    </row>
    <row r="51" spans="1:23" x14ac:dyDescent="0.15">
      <c r="A51" s="32">
        <v>44</v>
      </c>
      <c r="B51" s="26" t="s">
        <v>207</v>
      </c>
      <c r="C51" s="76">
        <v>3</v>
      </c>
      <c r="D51" s="76">
        <v>6</v>
      </c>
      <c r="E51" s="76">
        <v>8</v>
      </c>
      <c r="F51" s="76">
        <v>2</v>
      </c>
      <c r="G51" s="76">
        <v>2</v>
      </c>
      <c r="H51" s="76">
        <v>8</v>
      </c>
      <c r="I51" s="13">
        <v>3</v>
      </c>
      <c r="J51" s="33">
        <v>30954685</v>
      </c>
      <c r="K51" s="77">
        <v>1</v>
      </c>
      <c r="L51" s="18">
        <v>3977777</v>
      </c>
      <c r="M51" s="18">
        <v>74564.899999999994</v>
      </c>
      <c r="N51" s="56">
        <v>13</v>
      </c>
      <c r="O51" s="57">
        <v>108</v>
      </c>
      <c r="P51" s="57">
        <v>1122</v>
      </c>
      <c r="Q51" s="58">
        <v>11240</v>
      </c>
      <c r="R51" s="59">
        <v>112325</v>
      </c>
      <c r="S51" s="59">
        <v>1130034</v>
      </c>
    </row>
    <row r="52" spans="1:23" x14ac:dyDescent="0.15">
      <c r="A52" s="32">
        <v>45</v>
      </c>
      <c r="B52" s="26" t="s">
        <v>208</v>
      </c>
      <c r="C52" s="76">
        <v>1</v>
      </c>
      <c r="D52" s="76">
        <v>0</v>
      </c>
      <c r="E52" s="76">
        <v>5</v>
      </c>
      <c r="F52" s="76">
        <v>4</v>
      </c>
      <c r="G52" s="76">
        <v>7</v>
      </c>
      <c r="H52" s="76">
        <v>2</v>
      </c>
      <c r="I52" s="13">
        <v>7</v>
      </c>
      <c r="J52" s="33">
        <v>29054915</v>
      </c>
      <c r="K52" s="159" t="s">
        <v>23</v>
      </c>
      <c r="L52" s="18"/>
      <c r="M52" s="18">
        <v>2140369.4</v>
      </c>
      <c r="N52" s="56">
        <v>8</v>
      </c>
      <c r="O52" s="57">
        <v>123</v>
      </c>
      <c r="P52" s="57">
        <v>1091</v>
      </c>
      <c r="Q52" s="58">
        <v>10952</v>
      </c>
      <c r="R52" s="59">
        <v>108743</v>
      </c>
      <c r="S52" s="59">
        <v>1082838</v>
      </c>
    </row>
    <row r="53" spans="1:23" x14ac:dyDescent="0.15">
      <c r="A53" s="32">
        <v>46</v>
      </c>
      <c r="B53" s="26" t="s">
        <v>209</v>
      </c>
      <c r="C53" s="76">
        <v>7</v>
      </c>
      <c r="D53" s="76">
        <v>0</v>
      </c>
      <c r="E53" s="76">
        <v>7</v>
      </c>
      <c r="F53" s="76">
        <v>8</v>
      </c>
      <c r="G53" s="76">
        <v>3</v>
      </c>
      <c r="H53" s="76">
        <v>7</v>
      </c>
      <c r="I53" s="13">
        <v>3</v>
      </c>
      <c r="J53" s="33">
        <v>29980247.5</v>
      </c>
      <c r="K53" s="77">
        <v>1</v>
      </c>
      <c r="L53" s="18">
        <v>4177777</v>
      </c>
      <c r="M53" s="18">
        <v>94188</v>
      </c>
      <c r="N53" s="56">
        <v>16</v>
      </c>
      <c r="O53" s="57">
        <v>95</v>
      </c>
      <c r="P53" s="57">
        <v>1147</v>
      </c>
      <c r="Q53" s="58">
        <v>10764</v>
      </c>
      <c r="R53" s="59">
        <v>108626</v>
      </c>
      <c r="S53" s="59">
        <v>1088777</v>
      </c>
    </row>
    <row r="54" spans="1:23" x14ac:dyDescent="0.15">
      <c r="A54" s="32">
        <v>47</v>
      </c>
      <c r="B54" s="26" t="s">
        <v>210</v>
      </c>
      <c r="C54" s="76">
        <v>3</v>
      </c>
      <c r="D54" s="76">
        <v>1</v>
      </c>
      <c r="E54" s="76">
        <v>8</v>
      </c>
      <c r="F54" s="76">
        <v>5</v>
      </c>
      <c r="G54" s="76">
        <v>5</v>
      </c>
      <c r="H54" s="76">
        <v>6</v>
      </c>
      <c r="I54" s="13">
        <v>1</v>
      </c>
      <c r="J54" s="33">
        <v>32098652.5</v>
      </c>
      <c r="K54" s="77">
        <v>1</v>
      </c>
      <c r="L54" s="18">
        <v>2277777</v>
      </c>
      <c r="M54" s="18">
        <v>98625.2</v>
      </c>
      <c r="N54" s="56">
        <v>15</v>
      </c>
      <c r="O54" s="57">
        <v>133</v>
      </c>
      <c r="P54" s="57">
        <v>1168</v>
      </c>
      <c r="Q54" s="58">
        <v>11177</v>
      </c>
      <c r="R54" s="59">
        <v>110533</v>
      </c>
      <c r="S54" s="59">
        <v>1104075</v>
      </c>
    </row>
    <row r="55" spans="1:23" x14ac:dyDescent="0.15">
      <c r="A55" s="32">
        <v>48</v>
      </c>
      <c r="B55" s="26" t="s">
        <v>211</v>
      </c>
      <c r="C55" s="76">
        <v>6</v>
      </c>
      <c r="D55" s="76">
        <v>0</v>
      </c>
      <c r="E55" s="76">
        <v>7</v>
      </c>
      <c r="F55" s="76">
        <v>8</v>
      </c>
      <c r="G55" s="76">
        <v>4</v>
      </c>
      <c r="H55" s="76">
        <v>7</v>
      </c>
      <c r="I55" s="13">
        <v>7</v>
      </c>
      <c r="J55" s="33">
        <v>32674820</v>
      </c>
      <c r="K55" s="77">
        <v>1</v>
      </c>
      <c r="L55" s="18">
        <v>2377777</v>
      </c>
      <c r="M55" s="18">
        <v>44027.9</v>
      </c>
      <c r="N55" s="56">
        <v>10</v>
      </c>
      <c r="O55" s="57">
        <v>140</v>
      </c>
      <c r="P55" s="57">
        <v>1312</v>
      </c>
      <c r="Q55" s="58">
        <v>12445</v>
      </c>
      <c r="R55" s="59">
        <v>125311</v>
      </c>
      <c r="S55" s="59">
        <v>1203153</v>
      </c>
    </row>
    <row r="56" spans="1:23" x14ac:dyDescent="0.15">
      <c r="A56" s="32">
        <v>49</v>
      </c>
      <c r="B56" s="26" t="s">
        <v>212</v>
      </c>
      <c r="C56" s="76">
        <v>5</v>
      </c>
      <c r="D56" s="76">
        <v>9</v>
      </c>
      <c r="E56" s="76">
        <v>8</v>
      </c>
      <c r="F56" s="76">
        <v>9</v>
      </c>
      <c r="G56" s="76">
        <v>8</v>
      </c>
      <c r="H56" s="76">
        <v>5</v>
      </c>
      <c r="I56" s="13">
        <v>2</v>
      </c>
      <c r="J56" s="33">
        <v>27080587.5</v>
      </c>
      <c r="K56" s="159" t="s">
        <v>23</v>
      </c>
      <c r="L56" s="18"/>
      <c r="M56" s="18">
        <v>1969457.7</v>
      </c>
      <c r="N56" s="56">
        <v>11</v>
      </c>
      <c r="O56" s="57">
        <v>90</v>
      </c>
      <c r="P56" s="57">
        <v>940</v>
      </c>
      <c r="Q56" s="58">
        <v>9779</v>
      </c>
      <c r="R56" s="59">
        <v>96718</v>
      </c>
      <c r="S56" s="59">
        <v>966091</v>
      </c>
    </row>
    <row r="57" spans="1:23" x14ac:dyDescent="0.15">
      <c r="A57" s="32">
        <v>50</v>
      </c>
      <c r="B57" s="26" t="s">
        <v>213</v>
      </c>
      <c r="C57" s="76">
        <v>4</v>
      </c>
      <c r="D57" s="76">
        <v>3</v>
      </c>
      <c r="E57" s="76">
        <v>5</v>
      </c>
      <c r="F57" s="76">
        <v>9</v>
      </c>
      <c r="G57" s="76">
        <v>0</v>
      </c>
      <c r="H57" s="76">
        <v>5</v>
      </c>
      <c r="I57" s="13">
        <v>7</v>
      </c>
      <c r="J57" s="33">
        <v>27470450</v>
      </c>
      <c r="K57" s="159" t="s">
        <v>23</v>
      </c>
      <c r="L57" s="18"/>
      <c r="M57" s="18">
        <v>3922606.7</v>
      </c>
      <c r="N57" s="56">
        <v>11</v>
      </c>
      <c r="O57" s="57">
        <v>89</v>
      </c>
      <c r="P57" s="57">
        <v>1005</v>
      </c>
      <c r="Q57" s="58">
        <v>9900</v>
      </c>
      <c r="R57" s="59">
        <v>102614</v>
      </c>
      <c r="S57" s="59">
        <v>1026938</v>
      </c>
    </row>
    <row r="58" spans="1:23" x14ac:dyDescent="0.15">
      <c r="A58" s="32">
        <v>51</v>
      </c>
      <c r="B58" s="26" t="s">
        <v>214</v>
      </c>
      <c r="C58" s="76">
        <v>7</v>
      </c>
      <c r="D58" s="76">
        <v>5</v>
      </c>
      <c r="E58" s="76">
        <v>0</v>
      </c>
      <c r="F58" s="76">
        <v>5</v>
      </c>
      <c r="G58" s="76">
        <v>4</v>
      </c>
      <c r="H58" s="76">
        <v>9</v>
      </c>
      <c r="I58" s="13">
        <v>0</v>
      </c>
      <c r="J58" s="33">
        <v>28788080</v>
      </c>
      <c r="K58" s="159" t="s">
        <v>23</v>
      </c>
      <c r="L58" s="18"/>
      <c r="M58" s="18">
        <v>5969439.2000000002</v>
      </c>
      <c r="N58" s="56">
        <v>9</v>
      </c>
      <c r="O58" s="57">
        <v>95</v>
      </c>
      <c r="P58" s="57">
        <v>980</v>
      </c>
      <c r="Q58" s="58">
        <v>9772</v>
      </c>
      <c r="R58" s="59">
        <v>97258</v>
      </c>
      <c r="S58" s="59">
        <v>973508</v>
      </c>
    </row>
    <row r="59" spans="1:23" x14ac:dyDescent="0.15">
      <c r="A59" s="36">
        <v>52</v>
      </c>
      <c r="B59" s="37" t="s">
        <v>215</v>
      </c>
      <c r="C59" s="38">
        <v>9</v>
      </c>
      <c r="D59" s="38">
        <v>5</v>
      </c>
      <c r="E59" s="38">
        <v>1</v>
      </c>
      <c r="F59" s="38">
        <v>0</v>
      </c>
      <c r="G59" s="38">
        <v>6</v>
      </c>
      <c r="H59" s="38">
        <v>0</v>
      </c>
      <c r="I59" s="39">
        <v>8</v>
      </c>
      <c r="J59" s="40">
        <v>27293292.5</v>
      </c>
      <c r="K59" s="71">
        <v>2</v>
      </c>
      <c r="L59" s="42">
        <v>3877777</v>
      </c>
      <c r="M59" s="43">
        <v>154438.29999999999</v>
      </c>
      <c r="N59" s="61">
        <v>8</v>
      </c>
      <c r="O59" s="62">
        <v>100</v>
      </c>
      <c r="P59" s="62">
        <v>959</v>
      </c>
      <c r="Q59" s="63">
        <v>9683</v>
      </c>
      <c r="R59" s="64">
        <v>94652</v>
      </c>
      <c r="S59" s="64">
        <v>1001165</v>
      </c>
    </row>
    <row r="60" spans="1:23" hidden="1" x14ac:dyDescent="0.15">
      <c r="A60" s="36">
        <v>53</v>
      </c>
      <c r="B60" s="37"/>
      <c r="C60" s="38"/>
      <c r="D60" s="38"/>
      <c r="E60" s="38"/>
      <c r="F60" s="38"/>
      <c r="G60" s="38"/>
      <c r="H60" s="38"/>
      <c r="I60" s="39"/>
      <c r="J60" s="40"/>
      <c r="K60" s="71"/>
      <c r="L60" s="42"/>
      <c r="M60" s="43"/>
      <c r="N60" s="61"/>
      <c r="O60" s="62"/>
      <c r="P60" s="62"/>
      <c r="Q60" s="63"/>
      <c r="R60" s="64"/>
      <c r="S60" s="64"/>
      <c r="T60" s="31">
        <f>IF(J59="","",SUM(K59,N59,O59,P59,Q59,R59,S59))</f>
        <v>1106569</v>
      </c>
    </row>
    <row r="61" spans="1:23" x14ac:dyDescent="0.15">
      <c r="A61" s="45"/>
      <c r="B61" s="46"/>
      <c r="C61" s="46"/>
      <c r="D61" s="46"/>
      <c r="E61" s="46"/>
      <c r="F61" s="46"/>
      <c r="G61" s="46"/>
      <c r="H61" s="46" t="s">
        <v>24</v>
      </c>
      <c r="I61" s="46"/>
      <c r="J61" s="46"/>
      <c r="K61" s="72">
        <f>SUM(K8:K60)</f>
        <v>53</v>
      </c>
      <c r="L61" s="47"/>
      <c r="M61" s="48"/>
      <c r="N61" s="66">
        <f t="shared" ref="N61:S61" si="0">SUM(N8:N60)</f>
        <v>523</v>
      </c>
      <c r="O61" s="67">
        <f t="shared" si="0"/>
        <v>5006</v>
      </c>
      <c r="P61" s="67">
        <f t="shared" si="0"/>
        <v>49662</v>
      </c>
      <c r="Q61" s="68">
        <f t="shared" si="0"/>
        <v>498801</v>
      </c>
      <c r="R61" s="48">
        <f t="shared" si="0"/>
        <v>4980481</v>
      </c>
      <c r="S61" s="129">
        <f t="shared" si="0"/>
        <v>49774449</v>
      </c>
    </row>
    <row r="62" spans="1:23" x14ac:dyDescent="0.15">
      <c r="W62" s="5"/>
    </row>
    <row r="65" spans="12:12" x14ac:dyDescent="0.15">
      <c r="L65"/>
    </row>
    <row r="66" spans="12:12" x14ac:dyDescent="0.15">
      <c r="L66"/>
    </row>
    <row r="67" spans="12:12" x14ac:dyDescent="0.15">
      <c r="L67"/>
    </row>
    <row r="68" spans="12:12" x14ac:dyDescent="0.15">
      <c r="L68"/>
    </row>
    <row r="69" spans="12:12" x14ac:dyDescent="0.15">
      <c r="L69"/>
    </row>
    <row r="70" spans="12:12" x14ac:dyDescent="0.15">
      <c r="L70"/>
    </row>
    <row r="71" spans="12:12" x14ac:dyDescent="0.15">
      <c r="L71"/>
    </row>
    <row r="72" spans="12:12" x14ac:dyDescent="0.15">
      <c r="L72"/>
    </row>
    <row r="73" spans="12:12" x14ac:dyDescent="0.15">
      <c r="L73"/>
    </row>
    <row r="74" spans="12:12" x14ac:dyDescent="0.15">
      <c r="L74"/>
    </row>
    <row r="75" spans="12:12" x14ac:dyDescent="0.15">
      <c r="L75"/>
    </row>
    <row r="76" spans="12:12" x14ac:dyDescent="0.15">
      <c r="L76"/>
    </row>
    <row r="77" spans="12:12" x14ac:dyDescent="0.15">
      <c r="L77"/>
    </row>
    <row r="78" spans="12:12" x14ac:dyDescent="0.15">
      <c r="L78"/>
    </row>
    <row r="79" spans="12:12" x14ac:dyDescent="0.15">
      <c r="L79"/>
    </row>
    <row r="80" spans="12:12" x14ac:dyDescent="0.15">
      <c r="L80"/>
    </row>
    <row r="81" spans="12:12" x14ac:dyDescent="0.15">
      <c r="L81"/>
    </row>
    <row r="82" spans="12:12" x14ac:dyDescent="0.15">
      <c r="L82"/>
    </row>
    <row r="83" spans="12:12" x14ac:dyDescent="0.15">
      <c r="L83"/>
    </row>
    <row r="84" spans="12:12" x14ac:dyDescent="0.15">
      <c r="L84"/>
    </row>
    <row r="85" spans="12:12" x14ac:dyDescent="0.15">
      <c r="L85"/>
    </row>
    <row r="86" spans="12:12" x14ac:dyDescent="0.15">
      <c r="L86"/>
    </row>
    <row r="87" spans="12:12" x14ac:dyDescent="0.15">
      <c r="L87"/>
    </row>
    <row r="88" spans="12:12" x14ac:dyDescent="0.15">
      <c r="L88"/>
    </row>
    <row r="89" spans="12:12" x14ac:dyDescent="0.15">
      <c r="L89"/>
    </row>
    <row r="90" spans="12:12" x14ac:dyDescent="0.15">
      <c r="L90"/>
    </row>
    <row r="91" spans="12:12" x14ac:dyDescent="0.15">
      <c r="L91"/>
    </row>
    <row r="92" spans="12:12" x14ac:dyDescent="0.15">
      <c r="L92"/>
    </row>
    <row r="93" spans="12:12" x14ac:dyDescent="0.15">
      <c r="L93"/>
    </row>
    <row r="94" spans="12:12" x14ac:dyDescent="0.15">
      <c r="L94"/>
    </row>
    <row r="95" spans="12:12" x14ac:dyDescent="0.15">
      <c r="L95"/>
    </row>
    <row r="96" spans="12:12" x14ac:dyDescent="0.15">
      <c r="L96"/>
    </row>
    <row r="97" spans="12:12" x14ac:dyDescent="0.15">
      <c r="L97"/>
    </row>
    <row r="98" spans="12:12" x14ac:dyDescent="0.15">
      <c r="L98"/>
    </row>
    <row r="99" spans="12:12" x14ac:dyDescent="0.15">
      <c r="L99"/>
    </row>
    <row r="100" spans="12:12" x14ac:dyDescent="0.15">
      <c r="L100"/>
    </row>
    <row r="101" spans="12:12" x14ac:dyDescent="0.15">
      <c r="L101"/>
    </row>
    <row r="102" spans="12:12" x14ac:dyDescent="0.15">
      <c r="L102"/>
    </row>
    <row r="103" spans="12:12" x14ac:dyDescent="0.15">
      <c r="L103"/>
    </row>
    <row r="104" spans="12:12" x14ac:dyDescent="0.15">
      <c r="L104"/>
    </row>
    <row r="105" spans="12:12" x14ac:dyDescent="0.15">
      <c r="L105"/>
    </row>
    <row r="106" spans="12:12" x14ac:dyDescent="0.15">
      <c r="L106"/>
    </row>
    <row r="107" spans="12:12" x14ac:dyDescent="0.15">
      <c r="L107"/>
    </row>
    <row r="108" spans="12:12" x14ac:dyDescent="0.15">
      <c r="L108"/>
    </row>
    <row r="109" spans="12:12" x14ac:dyDescent="0.15">
      <c r="L109"/>
    </row>
    <row r="110" spans="12:12" x14ac:dyDescent="0.15">
      <c r="L110"/>
    </row>
    <row r="111" spans="12:12" x14ac:dyDescent="0.15">
      <c r="L111"/>
    </row>
    <row r="112" spans="12:12" x14ac:dyDescent="0.15">
      <c r="L112"/>
    </row>
    <row r="113" spans="12:12" x14ac:dyDescent="0.15">
      <c r="L113"/>
    </row>
    <row r="114" spans="12:12" x14ac:dyDescent="0.15">
      <c r="L114"/>
    </row>
    <row r="115" spans="12:12" x14ac:dyDescent="0.15">
      <c r="L115"/>
    </row>
    <row r="116" spans="12:12" x14ac:dyDescent="0.15">
      <c r="L116"/>
    </row>
    <row r="117" spans="12:12" x14ac:dyDescent="0.15">
      <c r="L117"/>
    </row>
    <row r="118" spans="12:12" x14ac:dyDescent="0.15">
      <c r="L118"/>
    </row>
    <row r="119" spans="12:12" x14ac:dyDescent="0.15">
      <c r="L119"/>
    </row>
    <row r="120" spans="12:12" x14ac:dyDescent="0.15">
      <c r="L120"/>
    </row>
    <row r="121" spans="12:12" x14ac:dyDescent="0.15">
      <c r="L121"/>
    </row>
    <row r="122" spans="12:12" x14ac:dyDescent="0.15">
      <c r="L122"/>
    </row>
    <row r="123" spans="12:12" x14ac:dyDescent="0.15">
      <c r="L123"/>
    </row>
    <row r="124" spans="12:12" x14ac:dyDescent="0.15">
      <c r="L124"/>
    </row>
    <row r="125" spans="12:12" x14ac:dyDescent="0.15">
      <c r="L12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1" orientation="landscape" horizontalDpi="4294967292" verticalDpi="4294967292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25"/>
  <sheetViews>
    <sheetView topLeftCell="H25" workbookViewId="0">
      <selection activeCell="S61" sqref="S61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9" width="15.6640625" customWidth="1"/>
  </cols>
  <sheetData>
    <row r="1" spans="1:24" x14ac:dyDescent="0.15">
      <c r="T1" s="90"/>
    </row>
    <row r="2" spans="1:24" ht="12.75" x14ac:dyDescent="0.2">
      <c r="A2" s="1" t="s">
        <v>0</v>
      </c>
      <c r="S2" s="3" t="s">
        <v>216</v>
      </c>
      <c r="T2" s="90"/>
      <c r="V2" s="4"/>
    </row>
    <row r="3" spans="1:24" ht="12.75" x14ac:dyDescent="0.2">
      <c r="A3" s="6" t="s">
        <v>2</v>
      </c>
      <c r="P3" s="3"/>
      <c r="T3" s="90"/>
      <c r="V3" s="4"/>
    </row>
    <row r="4" spans="1:24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9"/>
      <c r="L4" s="12"/>
      <c r="M4" s="11"/>
      <c r="N4" s="8"/>
      <c r="O4" s="8"/>
      <c r="P4" s="8"/>
      <c r="Q4" s="8"/>
      <c r="R4" s="8"/>
      <c r="S4" s="7"/>
      <c r="T4" s="90"/>
      <c r="X4" s="4"/>
    </row>
    <row r="5" spans="1:24" x14ac:dyDescent="0.15">
      <c r="A5" s="13" t="s">
        <v>3</v>
      </c>
      <c r="B5" s="14">
        <v>1996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92" t="s">
        <v>7</v>
      </c>
      <c r="L5" s="18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S5" s="13" t="s">
        <v>49</v>
      </c>
      <c r="T5" s="90"/>
      <c r="X5" s="4"/>
    </row>
    <row r="6" spans="1:24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92" t="s">
        <v>50</v>
      </c>
      <c r="L6" s="18"/>
      <c r="M6" s="14" t="s">
        <v>14</v>
      </c>
      <c r="N6" s="20" t="s">
        <v>51</v>
      </c>
      <c r="O6" s="20" t="s">
        <v>52</v>
      </c>
      <c r="P6" s="20" t="s">
        <v>53</v>
      </c>
      <c r="Q6" s="20" t="s">
        <v>54</v>
      </c>
      <c r="R6" s="20" t="s">
        <v>55</v>
      </c>
      <c r="S6" s="13" t="s">
        <v>56</v>
      </c>
      <c r="T6" s="90"/>
      <c r="X6" s="4"/>
    </row>
    <row r="7" spans="1:24" x14ac:dyDescent="0.15">
      <c r="A7" s="13"/>
      <c r="B7" s="21"/>
      <c r="C7" s="76"/>
      <c r="D7" s="76"/>
      <c r="E7" s="76"/>
      <c r="F7" s="76"/>
      <c r="G7" s="76"/>
      <c r="H7" s="76"/>
      <c r="I7" s="13"/>
      <c r="J7" s="14"/>
      <c r="K7" s="143" t="s">
        <v>15</v>
      </c>
      <c r="L7" s="23" t="s">
        <v>14</v>
      </c>
      <c r="M7" s="14"/>
      <c r="N7" s="20" t="s">
        <v>15</v>
      </c>
      <c r="O7" s="20" t="s">
        <v>15</v>
      </c>
      <c r="P7" s="20" t="s">
        <v>15</v>
      </c>
      <c r="Q7" s="20" t="s">
        <v>15</v>
      </c>
      <c r="R7" s="20" t="s">
        <v>15</v>
      </c>
      <c r="S7" s="39" t="s">
        <v>15</v>
      </c>
      <c r="T7" s="257"/>
      <c r="X7" s="4"/>
    </row>
    <row r="8" spans="1:24" x14ac:dyDescent="0.15">
      <c r="A8" s="25">
        <v>1</v>
      </c>
      <c r="B8" s="26" t="s">
        <v>217</v>
      </c>
      <c r="C8" s="27">
        <v>7</v>
      </c>
      <c r="D8" s="27">
        <v>0</v>
      </c>
      <c r="E8" s="27">
        <v>9</v>
      </c>
      <c r="F8" s="27">
        <v>2</v>
      </c>
      <c r="G8" s="27">
        <v>2</v>
      </c>
      <c r="H8" s="27">
        <v>3</v>
      </c>
      <c r="I8" s="7">
        <v>1</v>
      </c>
      <c r="J8" s="28">
        <v>25321007.5</v>
      </c>
      <c r="K8" s="69" t="s">
        <v>23</v>
      </c>
      <c r="L8" s="29"/>
      <c r="M8" s="12">
        <v>1954761.9</v>
      </c>
      <c r="N8" s="52">
        <v>9</v>
      </c>
      <c r="O8" s="53">
        <v>86</v>
      </c>
      <c r="P8" s="53">
        <v>845</v>
      </c>
      <c r="Q8" s="54">
        <v>9060</v>
      </c>
      <c r="R8" s="55">
        <v>89299</v>
      </c>
      <c r="S8" s="258">
        <v>884972</v>
      </c>
      <c r="T8" s="145"/>
      <c r="X8" s="4"/>
    </row>
    <row r="9" spans="1:24" x14ac:dyDescent="0.15">
      <c r="A9" s="32">
        <v>2</v>
      </c>
      <c r="B9" s="26" t="s">
        <v>218</v>
      </c>
      <c r="C9" s="76">
        <v>4</v>
      </c>
      <c r="D9" s="76">
        <v>0</v>
      </c>
      <c r="E9" s="76">
        <v>0</v>
      </c>
      <c r="F9" s="76">
        <v>1</v>
      </c>
      <c r="G9" s="76">
        <v>6</v>
      </c>
      <c r="H9" s="76">
        <v>4</v>
      </c>
      <c r="I9" s="13">
        <v>7</v>
      </c>
      <c r="J9" s="33">
        <v>30236815</v>
      </c>
      <c r="K9" s="77">
        <v>2</v>
      </c>
      <c r="L9" s="34">
        <v>1977777</v>
      </c>
      <c r="M9" s="18">
        <v>149045.4</v>
      </c>
      <c r="N9" s="56">
        <v>7</v>
      </c>
      <c r="O9" s="57">
        <v>102</v>
      </c>
      <c r="P9" s="57">
        <v>1191</v>
      </c>
      <c r="Q9" s="58">
        <v>11707</v>
      </c>
      <c r="R9" s="59">
        <v>116214</v>
      </c>
      <c r="S9" s="139">
        <v>1150459</v>
      </c>
      <c r="T9" s="145"/>
      <c r="X9" s="4"/>
    </row>
    <row r="10" spans="1:24" x14ac:dyDescent="0.15">
      <c r="A10" s="32">
        <v>3</v>
      </c>
      <c r="B10" s="26" t="s">
        <v>219</v>
      </c>
      <c r="C10" s="76">
        <v>1</v>
      </c>
      <c r="D10" s="76">
        <v>5</v>
      </c>
      <c r="E10" s="76">
        <v>7</v>
      </c>
      <c r="F10" s="76">
        <v>5</v>
      </c>
      <c r="G10" s="76">
        <v>4</v>
      </c>
      <c r="H10" s="76">
        <v>2</v>
      </c>
      <c r="I10" s="13">
        <v>5</v>
      </c>
      <c r="J10" s="33">
        <v>25729552.5</v>
      </c>
      <c r="K10" s="77">
        <v>2</v>
      </c>
      <c r="L10" s="18">
        <v>977777</v>
      </c>
      <c r="M10" s="18">
        <v>22862.6</v>
      </c>
      <c r="N10" s="56">
        <v>8</v>
      </c>
      <c r="O10" s="57">
        <v>78</v>
      </c>
      <c r="P10" s="57">
        <v>968</v>
      </c>
      <c r="Q10" s="58">
        <v>9882</v>
      </c>
      <c r="R10" s="59">
        <v>96738</v>
      </c>
      <c r="S10" s="139">
        <v>951338</v>
      </c>
      <c r="T10" s="145"/>
      <c r="X10" s="4"/>
    </row>
    <row r="11" spans="1:24" x14ac:dyDescent="0.15">
      <c r="A11" s="32">
        <v>4</v>
      </c>
      <c r="B11" s="26" t="s">
        <v>220</v>
      </c>
      <c r="C11" s="76">
        <v>2</v>
      </c>
      <c r="D11" s="76">
        <v>3</v>
      </c>
      <c r="E11" s="76">
        <v>1</v>
      </c>
      <c r="F11" s="76">
        <v>0</v>
      </c>
      <c r="G11" s="76">
        <v>0</v>
      </c>
      <c r="H11" s="76">
        <v>4</v>
      </c>
      <c r="I11" s="13">
        <v>0</v>
      </c>
      <c r="J11" s="33">
        <v>24941222.5</v>
      </c>
      <c r="K11" s="159" t="s">
        <v>23</v>
      </c>
      <c r="L11" s="18"/>
      <c r="M11" s="18">
        <v>1796183.5</v>
      </c>
      <c r="N11" s="56">
        <v>5</v>
      </c>
      <c r="O11" s="57">
        <v>95</v>
      </c>
      <c r="P11" s="57">
        <v>792</v>
      </c>
      <c r="Q11" s="58">
        <v>8342</v>
      </c>
      <c r="R11" s="59">
        <v>84640</v>
      </c>
      <c r="S11" s="139">
        <v>841330</v>
      </c>
      <c r="T11" s="145"/>
      <c r="X11" s="4"/>
    </row>
    <row r="12" spans="1:24" x14ac:dyDescent="0.15">
      <c r="A12" s="32">
        <v>5</v>
      </c>
      <c r="B12" s="26" t="s">
        <v>221</v>
      </c>
      <c r="C12" s="76">
        <v>1</v>
      </c>
      <c r="D12" s="76">
        <v>1</v>
      </c>
      <c r="E12" s="76">
        <v>6</v>
      </c>
      <c r="F12" s="76">
        <v>0</v>
      </c>
      <c r="G12" s="76">
        <v>2</v>
      </c>
      <c r="H12" s="76">
        <v>5</v>
      </c>
      <c r="I12" s="13">
        <v>0</v>
      </c>
      <c r="J12" s="33">
        <v>25688880</v>
      </c>
      <c r="K12" s="159" t="s">
        <v>23</v>
      </c>
      <c r="L12" s="18"/>
      <c r="M12" s="18">
        <v>3622662.9</v>
      </c>
      <c r="N12" s="56">
        <v>4</v>
      </c>
      <c r="O12" s="57">
        <v>95</v>
      </c>
      <c r="P12" s="57">
        <v>861</v>
      </c>
      <c r="Q12" s="58">
        <v>8509</v>
      </c>
      <c r="R12" s="59">
        <v>84925</v>
      </c>
      <c r="S12" s="139">
        <v>843268</v>
      </c>
      <c r="T12" s="145"/>
      <c r="X12" s="4"/>
    </row>
    <row r="13" spans="1:24" x14ac:dyDescent="0.15">
      <c r="A13" s="32">
        <v>6</v>
      </c>
      <c r="B13" s="26" t="s">
        <v>222</v>
      </c>
      <c r="C13" s="76">
        <v>1</v>
      </c>
      <c r="D13" s="76">
        <v>1</v>
      </c>
      <c r="E13" s="76">
        <v>9</v>
      </c>
      <c r="F13" s="76">
        <v>4</v>
      </c>
      <c r="G13" s="76">
        <v>3</v>
      </c>
      <c r="H13" s="76">
        <v>2</v>
      </c>
      <c r="I13" s="13">
        <v>0</v>
      </c>
      <c r="J13" s="33">
        <v>25317210</v>
      </c>
      <c r="K13" s="77">
        <v>2</v>
      </c>
      <c r="L13" s="34">
        <v>2677777</v>
      </c>
      <c r="M13" s="18">
        <v>67162.5</v>
      </c>
      <c r="N13" s="56">
        <v>6</v>
      </c>
      <c r="O13" s="57">
        <v>80</v>
      </c>
      <c r="P13" s="57">
        <v>884</v>
      </c>
      <c r="Q13" s="58">
        <v>8286</v>
      </c>
      <c r="R13" s="59">
        <v>83315</v>
      </c>
      <c r="S13" s="139">
        <v>837854</v>
      </c>
      <c r="T13" s="145"/>
      <c r="X13" s="4"/>
    </row>
    <row r="14" spans="1:24" x14ac:dyDescent="0.15">
      <c r="A14" s="32">
        <v>7</v>
      </c>
      <c r="B14" s="26" t="s">
        <v>223</v>
      </c>
      <c r="C14" s="76">
        <v>4</v>
      </c>
      <c r="D14" s="76">
        <v>4</v>
      </c>
      <c r="E14" s="76">
        <v>1</v>
      </c>
      <c r="F14" s="76">
        <v>7</v>
      </c>
      <c r="G14" s="76">
        <v>9</v>
      </c>
      <c r="H14" s="76">
        <v>2</v>
      </c>
      <c r="I14" s="13">
        <v>5</v>
      </c>
      <c r="J14" s="33">
        <v>24873790</v>
      </c>
      <c r="K14" s="77">
        <v>2</v>
      </c>
      <c r="L14" s="18">
        <v>877777</v>
      </c>
      <c r="M14" s="18">
        <v>80135</v>
      </c>
      <c r="N14" s="56">
        <v>17</v>
      </c>
      <c r="O14" s="57">
        <v>87</v>
      </c>
      <c r="P14" s="57">
        <v>1005</v>
      </c>
      <c r="Q14" s="58">
        <v>9281</v>
      </c>
      <c r="R14" s="59">
        <v>93531</v>
      </c>
      <c r="S14" s="139">
        <v>921060</v>
      </c>
      <c r="T14" s="145"/>
      <c r="X14" s="4"/>
    </row>
    <row r="15" spans="1:24" x14ac:dyDescent="0.15">
      <c r="A15" s="32">
        <v>8</v>
      </c>
      <c r="B15" s="26" t="s">
        <v>224</v>
      </c>
      <c r="C15" s="76">
        <v>1</v>
      </c>
      <c r="D15" s="76">
        <v>7</v>
      </c>
      <c r="E15" s="76">
        <v>8</v>
      </c>
      <c r="F15" s="76">
        <v>3</v>
      </c>
      <c r="G15" s="76">
        <v>2</v>
      </c>
      <c r="H15" s="76">
        <v>0</v>
      </c>
      <c r="I15" s="13">
        <v>5</v>
      </c>
      <c r="J15" s="33">
        <v>24938630</v>
      </c>
      <c r="K15" s="159" t="s">
        <v>23</v>
      </c>
      <c r="L15" s="34"/>
      <c r="M15" s="18">
        <v>1853271.6</v>
      </c>
      <c r="N15" s="56">
        <v>13</v>
      </c>
      <c r="O15" s="57">
        <v>81</v>
      </c>
      <c r="P15" s="57">
        <v>911</v>
      </c>
      <c r="Q15" s="58">
        <v>8555</v>
      </c>
      <c r="R15" s="59">
        <v>86109</v>
      </c>
      <c r="S15" s="139">
        <v>903843</v>
      </c>
      <c r="T15" s="145"/>
      <c r="X15" s="4"/>
    </row>
    <row r="16" spans="1:24" x14ac:dyDescent="0.15">
      <c r="A16" s="32">
        <v>9</v>
      </c>
      <c r="B16" s="26" t="s">
        <v>225</v>
      </c>
      <c r="C16" s="76">
        <v>3</v>
      </c>
      <c r="D16" s="76">
        <v>9</v>
      </c>
      <c r="E16" s="76">
        <v>7</v>
      </c>
      <c r="F16" s="76">
        <v>6</v>
      </c>
      <c r="G16" s="76">
        <v>4</v>
      </c>
      <c r="H16" s="76">
        <v>1</v>
      </c>
      <c r="I16" s="13">
        <v>6</v>
      </c>
      <c r="J16" s="33">
        <v>32354905</v>
      </c>
      <c r="K16" s="77">
        <v>1</v>
      </c>
      <c r="L16" s="34">
        <v>4077777</v>
      </c>
      <c r="M16" s="18">
        <v>75928.3</v>
      </c>
      <c r="N16" s="56">
        <v>12</v>
      </c>
      <c r="O16" s="57">
        <v>130</v>
      </c>
      <c r="P16" s="57">
        <v>1182</v>
      </c>
      <c r="Q16" s="58">
        <v>11802</v>
      </c>
      <c r="R16" s="59">
        <v>116691</v>
      </c>
      <c r="S16" s="139">
        <v>1171208</v>
      </c>
      <c r="T16" s="145"/>
      <c r="X16" s="4"/>
    </row>
    <row r="17" spans="1:24" x14ac:dyDescent="0.15">
      <c r="A17" s="32">
        <v>10</v>
      </c>
      <c r="B17" s="26" t="s">
        <v>226</v>
      </c>
      <c r="C17" s="76">
        <v>7</v>
      </c>
      <c r="D17" s="76">
        <v>0</v>
      </c>
      <c r="E17" s="76">
        <v>6</v>
      </c>
      <c r="F17" s="76">
        <v>6</v>
      </c>
      <c r="G17" s="76">
        <v>2</v>
      </c>
      <c r="H17" s="76">
        <v>4</v>
      </c>
      <c r="I17" s="13">
        <v>0</v>
      </c>
      <c r="J17" s="33">
        <v>25938310</v>
      </c>
      <c r="K17" s="159" t="s">
        <v>23</v>
      </c>
      <c r="L17" s="34"/>
      <c r="M17" s="18">
        <v>1920142.1</v>
      </c>
      <c r="N17" s="56">
        <v>7</v>
      </c>
      <c r="O17" s="57">
        <v>93</v>
      </c>
      <c r="P17" s="57">
        <v>887</v>
      </c>
      <c r="Q17" s="58">
        <v>8888</v>
      </c>
      <c r="R17" s="59">
        <v>88838</v>
      </c>
      <c r="S17" s="139">
        <v>877938</v>
      </c>
      <c r="T17" s="145"/>
      <c r="X17" s="4"/>
    </row>
    <row r="18" spans="1:24" x14ac:dyDescent="0.15">
      <c r="A18" s="32">
        <v>11</v>
      </c>
      <c r="B18" s="26" t="s">
        <v>227</v>
      </c>
      <c r="C18" s="76">
        <v>0</v>
      </c>
      <c r="D18" s="76">
        <v>1</v>
      </c>
      <c r="E18" s="76">
        <v>1</v>
      </c>
      <c r="F18" s="76">
        <v>6</v>
      </c>
      <c r="G18" s="76">
        <v>1</v>
      </c>
      <c r="H18" s="76">
        <v>0</v>
      </c>
      <c r="I18" s="13">
        <v>4</v>
      </c>
      <c r="J18" s="33">
        <v>25701945</v>
      </c>
      <c r="K18" s="77">
        <v>4</v>
      </c>
      <c r="L18" s="34">
        <v>877777</v>
      </c>
      <c r="M18" s="18">
        <v>236442.4</v>
      </c>
      <c r="N18" s="56">
        <v>6</v>
      </c>
      <c r="O18" s="57">
        <v>93</v>
      </c>
      <c r="P18" s="57">
        <v>879</v>
      </c>
      <c r="Q18" s="58">
        <v>8814</v>
      </c>
      <c r="R18" s="59">
        <v>87436</v>
      </c>
      <c r="S18" s="139">
        <v>928572</v>
      </c>
      <c r="T18" s="145"/>
      <c r="X18" s="4"/>
    </row>
    <row r="19" spans="1:24" x14ac:dyDescent="0.15">
      <c r="A19" s="32">
        <v>12</v>
      </c>
      <c r="B19" s="26" t="s">
        <v>228</v>
      </c>
      <c r="C19" s="76">
        <v>8</v>
      </c>
      <c r="D19" s="76">
        <v>3</v>
      </c>
      <c r="E19" s="76">
        <v>8</v>
      </c>
      <c r="F19" s="76">
        <v>3</v>
      </c>
      <c r="G19" s="76">
        <v>8</v>
      </c>
      <c r="H19" s="76">
        <v>5</v>
      </c>
      <c r="I19" s="13">
        <v>2</v>
      </c>
      <c r="J19" s="33">
        <v>25297185</v>
      </c>
      <c r="K19" s="77">
        <v>1</v>
      </c>
      <c r="L19" s="34">
        <v>1977777</v>
      </c>
      <c r="M19" s="18">
        <v>57295.3</v>
      </c>
      <c r="N19" s="56">
        <v>9</v>
      </c>
      <c r="O19" s="57">
        <v>75</v>
      </c>
      <c r="P19" s="57">
        <v>943</v>
      </c>
      <c r="Q19" s="58">
        <v>8806</v>
      </c>
      <c r="R19" s="59">
        <v>88601</v>
      </c>
      <c r="S19" s="139">
        <v>880892</v>
      </c>
      <c r="T19" s="145"/>
      <c r="X19" s="4"/>
    </row>
    <row r="20" spans="1:24" x14ac:dyDescent="0.15">
      <c r="A20" s="32">
        <v>13</v>
      </c>
      <c r="B20" s="26" t="s">
        <v>229</v>
      </c>
      <c r="C20" s="76">
        <v>5</v>
      </c>
      <c r="D20" s="76">
        <v>4</v>
      </c>
      <c r="E20" s="76">
        <v>4</v>
      </c>
      <c r="F20" s="76">
        <v>9</v>
      </c>
      <c r="G20" s="76">
        <v>4</v>
      </c>
      <c r="H20" s="76">
        <v>5</v>
      </c>
      <c r="I20" s="13">
        <v>9</v>
      </c>
      <c r="J20" s="33">
        <v>26146920</v>
      </c>
      <c r="K20" s="159" t="s">
        <v>23</v>
      </c>
      <c r="L20" s="18"/>
      <c r="M20" s="18">
        <v>1916341.3</v>
      </c>
      <c r="N20" s="56">
        <v>8</v>
      </c>
      <c r="O20" s="57">
        <v>93</v>
      </c>
      <c r="P20" s="57">
        <v>974</v>
      </c>
      <c r="Q20" s="58">
        <v>9639</v>
      </c>
      <c r="R20" s="59">
        <v>94932</v>
      </c>
      <c r="S20" s="139">
        <v>955461</v>
      </c>
      <c r="T20" s="145"/>
      <c r="X20" s="4"/>
    </row>
    <row r="21" spans="1:24" x14ac:dyDescent="0.15">
      <c r="A21" s="32">
        <v>14</v>
      </c>
      <c r="B21" s="26" t="s">
        <v>230</v>
      </c>
      <c r="C21" s="76">
        <v>0</v>
      </c>
      <c r="D21" s="76">
        <v>4</v>
      </c>
      <c r="E21" s="76">
        <v>0</v>
      </c>
      <c r="F21" s="76">
        <v>9</v>
      </c>
      <c r="G21" s="76">
        <v>9</v>
      </c>
      <c r="H21" s="76">
        <v>5</v>
      </c>
      <c r="I21" s="13">
        <v>8</v>
      </c>
      <c r="J21" s="33">
        <v>24367210</v>
      </c>
      <c r="K21" s="159" t="s">
        <v>23</v>
      </c>
      <c r="L21" s="34"/>
      <c r="M21" s="18">
        <v>3648849.9</v>
      </c>
      <c r="N21" s="56">
        <v>8</v>
      </c>
      <c r="O21" s="57">
        <v>91</v>
      </c>
      <c r="P21" s="57">
        <v>842</v>
      </c>
      <c r="Q21" s="58">
        <v>8998</v>
      </c>
      <c r="R21" s="59">
        <v>88610</v>
      </c>
      <c r="S21" s="139">
        <v>884010</v>
      </c>
      <c r="T21" s="145"/>
      <c r="X21" s="4"/>
    </row>
    <row r="22" spans="1:24" x14ac:dyDescent="0.15">
      <c r="A22" s="32">
        <v>15</v>
      </c>
      <c r="B22" s="26" t="s">
        <v>231</v>
      </c>
      <c r="C22" s="76">
        <v>8</v>
      </c>
      <c r="D22" s="76">
        <v>0</v>
      </c>
      <c r="E22" s="76">
        <v>6</v>
      </c>
      <c r="F22" s="76">
        <v>0</v>
      </c>
      <c r="G22" s="76">
        <v>1</v>
      </c>
      <c r="H22" s="76">
        <v>3</v>
      </c>
      <c r="I22" s="13">
        <v>2</v>
      </c>
      <c r="J22" s="33">
        <v>24381655</v>
      </c>
      <c r="K22" s="77">
        <v>3</v>
      </c>
      <c r="L22" s="18">
        <v>1777777</v>
      </c>
      <c r="M22" s="18">
        <v>49054.6</v>
      </c>
      <c r="N22" s="56">
        <v>9</v>
      </c>
      <c r="O22" s="57">
        <v>83</v>
      </c>
      <c r="P22" s="57">
        <v>858</v>
      </c>
      <c r="Q22" s="58">
        <v>8690</v>
      </c>
      <c r="R22" s="59">
        <v>87054</v>
      </c>
      <c r="S22" s="139">
        <v>858447</v>
      </c>
      <c r="T22" s="145"/>
      <c r="X22" s="4"/>
    </row>
    <row r="23" spans="1:24" x14ac:dyDescent="0.15">
      <c r="A23" s="32">
        <v>16</v>
      </c>
      <c r="B23" s="26" t="s">
        <v>232</v>
      </c>
      <c r="C23" s="76">
        <v>3</v>
      </c>
      <c r="D23" s="76">
        <v>2</v>
      </c>
      <c r="E23" s="76">
        <v>4</v>
      </c>
      <c r="F23" s="76">
        <v>2</v>
      </c>
      <c r="G23" s="76">
        <v>7</v>
      </c>
      <c r="H23" s="76">
        <v>1</v>
      </c>
      <c r="I23" s="13">
        <v>2</v>
      </c>
      <c r="J23" s="33">
        <v>24338097.5</v>
      </c>
      <c r="K23" s="77">
        <v>1</v>
      </c>
      <c r="L23" s="34">
        <v>1777777</v>
      </c>
      <c r="M23" s="18">
        <v>1716.3</v>
      </c>
      <c r="N23" s="56">
        <v>8</v>
      </c>
      <c r="O23" s="57">
        <v>93</v>
      </c>
      <c r="P23" s="57">
        <v>839</v>
      </c>
      <c r="Q23" s="58">
        <v>8388</v>
      </c>
      <c r="R23" s="59">
        <v>84682</v>
      </c>
      <c r="S23" s="139">
        <v>838558</v>
      </c>
      <c r="T23" s="145"/>
      <c r="X23" s="4"/>
    </row>
    <row r="24" spans="1:24" x14ac:dyDescent="0.15">
      <c r="A24" s="32">
        <v>17</v>
      </c>
      <c r="B24" s="26" t="s">
        <v>233</v>
      </c>
      <c r="C24" s="76">
        <v>9</v>
      </c>
      <c r="D24" s="76">
        <v>7</v>
      </c>
      <c r="E24" s="76">
        <v>5</v>
      </c>
      <c r="F24" s="76">
        <v>4</v>
      </c>
      <c r="G24" s="76">
        <v>3</v>
      </c>
      <c r="H24" s="76">
        <v>8</v>
      </c>
      <c r="I24" s="13">
        <v>1</v>
      </c>
      <c r="J24" s="33">
        <v>25402052.5</v>
      </c>
      <c r="K24" s="77">
        <v>1</v>
      </c>
      <c r="L24" s="18">
        <v>1777777</v>
      </c>
      <c r="M24" s="18">
        <v>30025.200000000001</v>
      </c>
      <c r="N24" s="56">
        <v>11</v>
      </c>
      <c r="O24" s="57">
        <v>126</v>
      </c>
      <c r="P24" s="57">
        <v>868</v>
      </c>
      <c r="Q24" s="58">
        <v>8614</v>
      </c>
      <c r="R24" s="59">
        <v>87733</v>
      </c>
      <c r="S24" s="139">
        <v>879598</v>
      </c>
      <c r="T24" s="145"/>
      <c r="X24" s="4"/>
    </row>
    <row r="25" spans="1:24" x14ac:dyDescent="0.15">
      <c r="A25" s="32">
        <v>18</v>
      </c>
      <c r="B25" s="26" t="s">
        <v>234</v>
      </c>
      <c r="C25" s="76">
        <v>2</v>
      </c>
      <c r="D25" s="76">
        <v>6</v>
      </c>
      <c r="E25" s="76">
        <v>8</v>
      </c>
      <c r="F25" s="76">
        <v>3</v>
      </c>
      <c r="G25" s="76">
        <v>0</v>
      </c>
      <c r="H25" s="76">
        <v>1</v>
      </c>
      <c r="I25" s="13">
        <v>0</v>
      </c>
      <c r="J25" s="33">
        <v>24063620</v>
      </c>
      <c r="K25" s="159" t="s">
        <v>23</v>
      </c>
      <c r="L25" s="34"/>
      <c r="M25" s="18">
        <v>1740948.6</v>
      </c>
      <c r="N25" s="56">
        <v>6</v>
      </c>
      <c r="O25" s="57">
        <v>73</v>
      </c>
      <c r="P25" s="57">
        <v>844</v>
      </c>
      <c r="Q25" s="58">
        <v>8215</v>
      </c>
      <c r="R25" s="59">
        <v>83784</v>
      </c>
      <c r="S25" s="139">
        <v>838552</v>
      </c>
      <c r="T25" s="145"/>
      <c r="X25" s="4"/>
    </row>
    <row r="26" spans="1:24" x14ac:dyDescent="0.15">
      <c r="A26" s="32">
        <v>19</v>
      </c>
      <c r="B26" s="26" t="s">
        <v>235</v>
      </c>
      <c r="C26" s="76">
        <v>0</v>
      </c>
      <c r="D26" s="76">
        <v>0</v>
      </c>
      <c r="E26" s="76">
        <v>0</v>
      </c>
      <c r="F26" s="76">
        <v>8</v>
      </c>
      <c r="G26" s="76">
        <v>8</v>
      </c>
      <c r="H26" s="76">
        <v>6</v>
      </c>
      <c r="I26" s="13">
        <v>7</v>
      </c>
      <c r="J26" s="33">
        <v>24935755</v>
      </c>
      <c r="K26" s="159" t="s">
        <v>23</v>
      </c>
      <c r="L26" s="34"/>
      <c r="M26" s="18">
        <v>3513880.8</v>
      </c>
      <c r="N26" s="56">
        <v>7</v>
      </c>
      <c r="O26" s="57">
        <v>93</v>
      </c>
      <c r="P26" s="57">
        <v>954</v>
      </c>
      <c r="Q26" s="58">
        <v>9379</v>
      </c>
      <c r="R26" s="59">
        <v>93906</v>
      </c>
      <c r="S26" s="139">
        <v>943006</v>
      </c>
      <c r="T26" s="145"/>
      <c r="X26" s="4"/>
    </row>
    <row r="27" spans="1:24" x14ac:dyDescent="0.15">
      <c r="A27" s="32">
        <v>20</v>
      </c>
      <c r="B27" s="26" t="s">
        <v>236</v>
      </c>
      <c r="C27" s="76">
        <v>0</v>
      </c>
      <c r="D27" s="76">
        <v>8</v>
      </c>
      <c r="E27" s="76">
        <v>9</v>
      </c>
      <c r="F27" s="76">
        <v>5</v>
      </c>
      <c r="G27" s="76">
        <v>2</v>
      </c>
      <c r="H27" s="76">
        <v>5</v>
      </c>
      <c r="I27" s="13">
        <v>6</v>
      </c>
      <c r="J27" s="33">
        <v>23473085</v>
      </c>
      <c r="K27" s="159" t="s">
        <v>23</v>
      </c>
      <c r="L27" s="34"/>
      <c r="M27" s="18">
        <v>5182817.0999999996</v>
      </c>
      <c r="N27" s="56">
        <v>11</v>
      </c>
      <c r="O27" s="57">
        <v>87</v>
      </c>
      <c r="P27" s="57">
        <v>870</v>
      </c>
      <c r="Q27" s="58">
        <v>8469</v>
      </c>
      <c r="R27" s="59">
        <v>86001</v>
      </c>
      <c r="S27" s="139">
        <v>851700</v>
      </c>
      <c r="T27" s="145"/>
      <c r="X27" s="4"/>
    </row>
    <row r="28" spans="1:24" x14ac:dyDescent="0.15">
      <c r="A28" s="32">
        <v>21</v>
      </c>
      <c r="B28" s="26" t="s">
        <v>237</v>
      </c>
      <c r="C28" s="76">
        <v>1</v>
      </c>
      <c r="D28" s="76">
        <v>7</v>
      </c>
      <c r="E28" s="76">
        <v>5</v>
      </c>
      <c r="F28" s="76">
        <v>8</v>
      </c>
      <c r="G28" s="76">
        <v>6</v>
      </c>
      <c r="H28" s="76">
        <v>0</v>
      </c>
      <c r="I28" s="13">
        <v>8</v>
      </c>
      <c r="J28" s="33">
        <v>23952700</v>
      </c>
      <c r="K28" s="159" t="s">
        <v>23</v>
      </c>
      <c r="L28" s="34"/>
      <c r="M28" s="18">
        <v>6885854.0999999996</v>
      </c>
      <c r="N28" s="56">
        <v>10</v>
      </c>
      <c r="O28" s="57">
        <v>93</v>
      </c>
      <c r="P28" s="57">
        <v>807</v>
      </c>
      <c r="Q28" s="58">
        <v>8251</v>
      </c>
      <c r="R28" s="59">
        <v>81705</v>
      </c>
      <c r="S28" s="139">
        <v>860612</v>
      </c>
      <c r="T28" s="145"/>
      <c r="X28" s="4"/>
    </row>
    <row r="29" spans="1:24" x14ac:dyDescent="0.15">
      <c r="A29" s="32">
        <v>22</v>
      </c>
      <c r="B29" s="26" t="s">
        <v>238</v>
      </c>
      <c r="C29" s="76">
        <v>2</v>
      </c>
      <c r="D29" s="76">
        <v>8</v>
      </c>
      <c r="E29" s="76">
        <v>1</v>
      </c>
      <c r="F29" s="76">
        <v>6</v>
      </c>
      <c r="G29" s="76">
        <v>6</v>
      </c>
      <c r="H29" s="76">
        <v>5</v>
      </c>
      <c r="I29" s="13">
        <v>4</v>
      </c>
      <c r="J29" s="33">
        <v>23680107.5</v>
      </c>
      <c r="K29" s="77">
        <v>2</v>
      </c>
      <c r="L29" s="18">
        <v>4277777</v>
      </c>
      <c r="M29" s="18">
        <v>13955.7</v>
      </c>
      <c r="N29" s="56">
        <v>12</v>
      </c>
      <c r="O29" s="57">
        <v>95</v>
      </c>
      <c r="P29" s="57">
        <v>885</v>
      </c>
      <c r="Q29" s="58">
        <v>8634</v>
      </c>
      <c r="R29" s="59">
        <v>85882</v>
      </c>
      <c r="S29" s="139">
        <v>846065</v>
      </c>
      <c r="T29" s="145"/>
      <c r="X29" s="4"/>
    </row>
    <row r="30" spans="1:24" x14ac:dyDescent="0.15">
      <c r="A30" s="32">
        <v>23</v>
      </c>
      <c r="B30" s="26" t="s">
        <v>239</v>
      </c>
      <c r="C30" s="76">
        <v>4</v>
      </c>
      <c r="D30" s="76">
        <v>8</v>
      </c>
      <c r="E30" s="76">
        <v>0</v>
      </c>
      <c r="F30" s="76">
        <v>3</v>
      </c>
      <c r="G30" s="76">
        <v>7</v>
      </c>
      <c r="H30" s="76">
        <v>6</v>
      </c>
      <c r="I30" s="13">
        <v>5</v>
      </c>
      <c r="J30" s="33">
        <v>22976372.5</v>
      </c>
      <c r="K30" s="77">
        <v>4</v>
      </c>
      <c r="L30" s="18">
        <v>377777</v>
      </c>
      <c r="M30" s="18">
        <v>136467.79999999999</v>
      </c>
      <c r="N30" s="56">
        <v>8</v>
      </c>
      <c r="O30" s="57">
        <v>86</v>
      </c>
      <c r="P30" s="57">
        <v>893</v>
      </c>
      <c r="Q30" s="58">
        <v>8759</v>
      </c>
      <c r="R30" s="59">
        <v>86593</v>
      </c>
      <c r="S30" s="139">
        <v>863151</v>
      </c>
      <c r="T30" s="145"/>
      <c r="X30" s="4"/>
    </row>
    <row r="31" spans="1:24" x14ac:dyDescent="0.15">
      <c r="A31" s="32">
        <v>24</v>
      </c>
      <c r="B31" s="26" t="s">
        <v>240</v>
      </c>
      <c r="C31" s="76">
        <v>8</v>
      </c>
      <c r="D31" s="76">
        <v>9</v>
      </c>
      <c r="E31" s="76">
        <v>4</v>
      </c>
      <c r="F31" s="76">
        <v>0</v>
      </c>
      <c r="G31" s="76">
        <v>4</v>
      </c>
      <c r="H31" s="76">
        <v>3</v>
      </c>
      <c r="I31" s="13">
        <v>0</v>
      </c>
      <c r="J31" s="33">
        <v>24431822.5</v>
      </c>
      <c r="K31" s="77">
        <v>1</v>
      </c>
      <c r="L31" s="34">
        <v>1777777</v>
      </c>
      <c r="M31" s="18">
        <v>95793.4</v>
      </c>
      <c r="N31" s="56">
        <v>8</v>
      </c>
      <c r="O31" s="57">
        <v>76</v>
      </c>
      <c r="P31" s="57">
        <v>795</v>
      </c>
      <c r="Q31" s="58">
        <v>8278</v>
      </c>
      <c r="R31" s="59">
        <v>84277</v>
      </c>
      <c r="S31" s="139">
        <v>846177</v>
      </c>
      <c r="T31" s="145"/>
      <c r="X31" s="4"/>
    </row>
    <row r="32" spans="1:24" x14ac:dyDescent="0.15">
      <c r="A32" s="32">
        <v>25</v>
      </c>
      <c r="B32" s="26" t="s">
        <v>241</v>
      </c>
      <c r="C32" s="76">
        <v>5</v>
      </c>
      <c r="D32" s="76">
        <v>2</v>
      </c>
      <c r="E32" s="76">
        <v>7</v>
      </c>
      <c r="F32" s="76">
        <v>6</v>
      </c>
      <c r="G32" s="76">
        <v>4</v>
      </c>
      <c r="H32" s="76">
        <v>3</v>
      </c>
      <c r="I32" s="13">
        <v>6</v>
      </c>
      <c r="J32" s="33">
        <v>25263837.5</v>
      </c>
      <c r="K32" s="159" t="s">
        <v>23</v>
      </c>
      <c r="L32" s="18"/>
      <c r="M32" s="18">
        <v>1892052.2</v>
      </c>
      <c r="N32" s="56">
        <v>10</v>
      </c>
      <c r="O32" s="57">
        <v>93</v>
      </c>
      <c r="P32" s="57">
        <v>945</v>
      </c>
      <c r="Q32" s="58">
        <v>9294</v>
      </c>
      <c r="R32" s="59">
        <v>93733</v>
      </c>
      <c r="S32" s="139">
        <v>930378</v>
      </c>
      <c r="T32" s="145"/>
      <c r="X32" s="4"/>
    </row>
    <row r="33" spans="1:24" x14ac:dyDescent="0.15">
      <c r="A33" s="32">
        <v>26</v>
      </c>
      <c r="B33" s="26" t="s">
        <v>242</v>
      </c>
      <c r="C33" s="76">
        <v>4</v>
      </c>
      <c r="D33" s="76">
        <v>9</v>
      </c>
      <c r="E33" s="76">
        <v>4</v>
      </c>
      <c r="F33" s="76">
        <v>0</v>
      </c>
      <c r="G33" s="76">
        <v>1</v>
      </c>
      <c r="H33" s="76">
        <v>7</v>
      </c>
      <c r="I33" s="13">
        <v>9</v>
      </c>
      <c r="J33" s="33">
        <v>23865602.5</v>
      </c>
      <c r="K33" s="159" t="s">
        <v>23</v>
      </c>
      <c r="L33" s="34"/>
      <c r="M33" s="18">
        <v>3588896.5</v>
      </c>
      <c r="N33" s="56">
        <v>11</v>
      </c>
      <c r="O33" s="57">
        <v>77</v>
      </c>
      <c r="P33" s="57">
        <v>893</v>
      </c>
      <c r="Q33" s="58">
        <v>8703</v>
      </c>
      <c r="R33" s="59">
        <v>86752</v>
      </c>
      <c r="S33" s="139">
        <v>870594</v>
      </c>
      <c r="T33" s="145"/>
      <c r="X33" s="4"/>
    </row>
    <row r="34" spans="1:24" x14ac:dyDescent="0.15">
      <c r="A34" s="32">
        <v>27</v>
      </c>
      <c r="B34" s="26" t="s">
        <v>243</v>
      </c>
      <c r="C34" s="76">
        <v>3</v>
      </c>
      <c r="D34" s="76">
        <v>3</v>
      </c>
      <c r="E34" s="76">
        <v>1</v>
      </c>
      <c r="F34" s="76">
        <v>7</v>
      </c>
      <c r="G34" s="76">
        <v>1</v>
      </c>
      <c r="H34" s="76">
        <v>8</v>
      </c>
      <c r="I34" s="13">
        <v>7</v>
      </c>
      <c r="J34" s="33">
        <v>24310362.5</v>
      </c>
      <c r="K34" s="77">
        <v>1</v>
      </c>
      <c r="L34" s="18">
        <v>5277777</v>
      </c>
      <c r="M34" s="18">
        <v>39586.300000000003</v>
      </c>
      <c r="N34" s="56">
        <v>9</v>
      </c>
      <c r="O34" s="57">
        <v>92</v>
      </c>
      <c r="P34" s="57">
        <v>908</v>
      </c>
      <c r="Q34" s="58">
        <v>9189</v>
      </c>
      <c r="R34" s="59">
        <v>90984</v>
      </c>
      <c r="S34" s="139">
        <v>920974</v>
      </c>
      <c r="T34" s="145"/>
      <c r="X34" s="4"/>
    </row>
    <row r="35" spans="1:24" x14ac:dyDescent="0.15">
      <c r="A35" s="32">
        <v>28</v>
      </c>
      <c r="B35" s="26" t="s">
        <v>244</v>
      </c>
      <c r="C35" s="76">
        <v>4</v>
      </c>
      <c r="D35" s="76">
        <v>3</v>
      </c>
      <c r="E35" s="76">
        <v>7</v>
      </c>
      <c r="F35" s="76">
        <v>3</v>
      </c>
      <c r="G35" s="76">
        <v>6</v>
      </c>
      <c r="H35" s="76">
        <v>2</v>
      </c>
      <c r="I35" s="13">
        <v>5</v>
      </c>
      <c r="J35" s="33">
        <v>23724355</v>
      </c>
      <c r="K35" s="77">
        <v>1</v>
      </c>
      <c r="L35" s="18">
        <v>1677777</v>
      </c>
      <c r="M35" s="18">
        <v>48610.9</v>
      </c>
      <c r="N35" s="56">
        <v>4</v>
      </c>
      <c r="O35" s="57">
        <v>85</v>
      </c>
      <c r="P35" s="57">
        <v>862</v>
      </c>
      <c r="Q35" s="58">
        <v>8867</v>
      </c>
      <c r="R35" s="59">
        <v>89314</v>
      </c>
      <c r="S35" s="139">
        <v>874072</v>
      </c>
      <c r="T35" s="145"/>
      <c r="X35" s="4"/>
    </row>
    <row r="36" spans="1:24" x14ac:dyDescent="0.15">
      <c r="A36" s="32">
        <v>29</v>
      </c>
      <c r="B36" s="26" t="s">
        <v>245</v>
      </c>
      <c r="C36" s="76">
        <v>6</v>
      </c>
      <c r="D36" s="76">
        <v>0</v>
      </c>
      <c r="E36" s="76">
        <v>3</v>
      </c>
      <c r="F36" s="76">
        <v>7</v>
      </c>
      <c r="G36" s="76">
        <v>3</v>
      </c>
      <c r="H36" s="76">
        <v>3</v>
      </c>
      <c r="I36" s="13">
        <v>7</v>
      </c>
      <c r="J36" s="33">
        <v>23359490</v>
      </c>
      <c r="K36" s="159" t="s">
        <v>23</v>
      </c>
      <c r="L36" s="18"/>
      <c r="M36" s="18">
        <v>1709470.6</v>
      </c>
      <c r="N36" s="56">
        <v>11</v>
      </c>
      <c r="O36" s="57">
        <v>58</v>
      </c>
      <c r="P36" s="57">
        <v>892</v>
      </c>
      <c r="Q36" s="58">
        <v>8753</v>
      </c>
      <c r="R36" s="59">
        <v>89536</v>
      </c>
      <c r="S36" s="139">
        <v>880542</v>
      </c>
      <c r="T36" s="145"/>
      <c r="X36" s="4"/>
    </row>
    <row r="37" spans="1:24" x14ac:dyDescent="0.15">
      <c r="A37" s="32">
        <v>30</v>
      </c>
      <c r="B37" s="26" t="s">
        <v>246</v>
      </c>
      <c r="C37" s="76">
        <v>7</v>
      </c>
      <c r="D37" s="76">
        <v>7</v>
      </c>
      <c r="E37" s="76">
        <v>9</v>
      </c>
      <c r="F37" s="76">
        <v>9</v>
      </c>
      <c r="G37" s="76">
        <v>0</v>
      </c>
      <c r="H37" s="76">
        <v>6</v>
      </c>
      <c r="I37" s="13">
        <v>3</v>
      </c>
      <c r="J37" s="33">
        <v>23286200</v>
      </c>
      <c r="K37" s="159" t="s">
        <v>23</v>
      </c>
      <c r="L37" s="18"/>
      <c r="M37" s="18">
        <v>3364119.4</v>
      </c>
      <c r="N37" s="56">
        <v>3</v>
      </c>
      <c r="O37" s="57">
        <v>82</v>
      </c>
      <c r="P37" s="57">
        <v>897</v>
      </c>
      <c r="Q37" s="58">
        <v>8295</v>
      </c>
      <c r="R37" s="59">
        <v>84319</v>
      </c>
      <c r="S37" s="139">
        <v>841013</v>
      </c>
      <c r="T37" s="145"/>
      <c r="X37" s="4"/>
    </row>
    <row r="38" spans="1:24" x14ac:dyDescent="0.15">
      <c r="A38" s="32">
        <v>31</v>
      </c>
      <c r="B38" s="26" t="s">
        <v>247</v>
      </c>
      <c r="C38" s="76">
        <v>8</v>
      </c>
      <c r="D38" s="76">
        <v>1</v>
      </c>
      <c r="E38" s="76">
        <v>2</v>
      </c>
      <c r="F38" s="76">
        <v>5</v>
      </c>
      <c r="G38" s="76">
        <v>9</v>
      </c>
      <c r="H38" s="76">
        <v>7</v>
      </c>
      <c r="I38" s="13">
        <v>5</v>
      </c>
      <c r="J38" s="33">
        <v>23487437.5</v>
      </c>
      <c r="K38" s="77">
        <v>1</v>
      </c>
      <c r="L38" s="34">
        <v>4977777</v>
      </c>
      <c r="M38" s="18">
        <v>57299.199999999997</v>
      </c>
      <c r="N38" s="56">
        <v>6</v>
      </c>
      <c r="O38" s="57">
        <v>73</v>
      </c>
      <c r="P38" s="57">
        <v>894</v>
      </c>
      <c r="Q38" s="58">
        <v>8923</v>
      </c>
      <c r="R38" s="59">
        <v>89421</v>
      </c>
      <c r="S38" s="139">
        <v>884945</v>
      </c>
      <c r="T38" s="145"/>
      <c r="X38" s="4"/>
    </row>
    <row r="39" spans="1:24" x14ac:dyDescent="0.15">
      <c r="A39" s="32">
        <v>32</v>
      </c>
      <c r="B39" s="26" t="s">
        <v>248</v>
      </c>
      <c r="C39" s="76">
        <v>7</v>
      </c>
      <c r="D39" s="76">
        <v>2</v>
      </c>
      <c r="E39" s="76">
        <v>6</v>
      </c>
      <c r="F39" s="76">
        <v>7</v>
      </c>
      <c r="G39" s="76">
        <v>3</v>
      </c>
      <c r="H39" s="76">
        <v>1</v>
      </c>
      <c r="I39" s="13">
        <v>5</v>
      </c>
      <c r="J39" s="33">
        <v>24005785</v>
      </c>
      <c r="K39" s="77">
        <v>1</v>
      </c>
      <c r="L39" s="34">
        <v>1677777</v>
      </c>
      <c r="M39" s="18">
        <v>86333.5</v>
      </c>
      <c r="N39" s="56">
        <v>13</v>
      </c>
      <c r="O39" s="57">
        <v>93</v>
      </c>
      <c r="P39" s="57">
        <v>893</v>
      </c>
      <c r="Q39" s="58">
        <v>8899</v>
      </c>
      <c r="R39" s="59">
        <v>87239</v>
      </c>
      <c r="S39" s="139">
        <v>887047</v>
      </c>
      <c r="T39" s="145"/>
      <c r="X39" s="4"/>
    </row>
    <row r="40" spans="1:24" x14ac:dyDescent="0.15">
      <c r="A40" s="32">
        <v>33</v>
      </c>
      <c r="B40" s="26" t="s">
        <v>249</v>
      </c>
      <c r="C40" s="76">
        <v>3</v>
      </c>
      <c r="D40" s="76">
        <v>5</v>
      </c>
      <c r="E40" s="76">
        <v>8</v>
      </c>
      <c r="F40" s="76">
        <v>0</v>
      </c>
      <c r="G40" s="76">
        <v>8</v>
      </c>
      <c r="H40" s="76">
        <v>5</v>
      </c>
      <c r="I40" s="13">
        <v>5</v>
      </c>
      <c r="J40" s="33">
        <v>23393095</v>
      </c>
      <c r="K40" s="77">
        <v>1</v>
      </c>
      <c r="L40" s="18">
        <v>1677777</v>
      </c>
      <c r="M40" s="18">
        <v>71805.600000000006</v>
      </c>
      <c r="N40" s="56">
        <v>10</v>
      </c>
      <c r="O40" s="57">
        <v>86</v>
      </c>
      <c r="P40" s="57">
        <v>844</v>
      </c>
      <c r="Q40" s="58">
        <v>8768</v>
      </c>
      <c r="R40" s="59">
        <v>87117</v>
      </c>
      <c r="S40" s="139">
        <v>863566</v>
      </c>
      <c r="T40" s="145"/>
      <c r="X40" s="4"/>
    </row>
    <row r="41" spans="1:24" x14ac:dyDescent="0.15">
      <c r="A41" s="32">
        <v>34</v>
      </c>
      <c r="B41" s="26" t="s">
        <v>250</v>
      </c>
      <c r="C41" s="76">
        <v>2</v>
      </c>
      <c r="D41" s="76">
        <v>0</v>
      </c>
      <c r="E41" s="76">
        <v>8</v>
      </c>
      <c r="F41" s="76">
        <v>2</v>
      </c>
      <c r="G41" s="76">
        <v>5</v>
      </c>
      <c r="H41" s="76">
        <v>0</v>
      </c>
      <c r="I41" s="13">
        <v>7</v>
      </c>
      <c r="J41" s="33">
        <v>23110285</v>
      </c>
      <c r="K41" s="77">
        <v>1</v>
      </c>
      <c r="L41" s="18">
        <v>1677777</v>
      </c>
      <c r="M41" s="18">
        <v>37169.9</v>
      </c>
      <c r="N41" s="56">
        <v>10</v>
      </c>
      <c r="O41" s="57">
        <v>77</v>
      </c>
      <c r="P41" s="57">
        <v>858</v>
      </c>
      <c r="Q41" s="58">
        <v>8335</v>
      </c>
      <c r="R41" s="59">
        <v>82613</v>
      </c>
      <c r="S41" s="139">
        <v>883968</v>
      </c>
      <c r="T41" s="145"/>
      <c r="X41" s="4"/>
    </row>
    <row r="42" spans="1:24" x14ac:dyDescent="0.15">
      <c r="A42" s="32">
        <v>35</v>
      </c>
      <c r="B42" s="26" t="s">
        <v>251</v>
      </c>
      <c r="C42" s="76">
        <v>8</v>
      </c>
      <c r="D42" s="76">
        <v>3</v>
      </c>
      <c r="E42" s="76">
        <v>3</v>
      </c>
      <c r="F42" s="76">
        <v>8</v>
      </c>
      <c r="G42" s="76">
        <v>4</v>
      </c>
      <c r="H42" s="76">
        <v>7</v>
      </c>
      <c r="I42" s="13">
        <v>8</v>
      </c>
      <c r="J42" s="33">
        <v>23749927.5</v>
      </c>
      <c r="K42" s="159" t="s">
        <v>23</v>
      </c>
      <c r="L42" s="18"/>
      <c r="M42" s="18">
        <v>1725789.7</v>
      </c>
      <c r="N42" s="56">
        <v>7</v>
      </c>
      <c r="O42" s="57">
        <v>97</v>
      </c>
      <c r="P42" s="57">
        <v>874</v>
      </c>
      <c r="Q42" s="58">
        <v>8892</v>
      </c>
      <c r="R42" s="59">
        <v>87376</v>
      </c>
      <c r="S42" s="139">
        <v>865627</v>
      </c>
      <c r="T42" s="145"/>
      <c r="X42" s="4"/>
    </row>
    <row r="43" spans="1:24" x14ac:dyDescent="0.15">
      <c r="A43" s="32">
        <v>36</v>
      </c>
      <c r="B43" s="26" t="s">
        <v>252</v>
      </c>
      <c r="C43" s="76">
        <v>8</v>
      </c>
      <c r="D43" s="76">
        <v>0</v>
      </c>
      <c r="E43" s="76">
        <v>7</v>
      </c>
      <c r="F43" s="76">
        <v>1</v>
      </c>
      <c r="G43" s="76">
        <v>1</v>
      </c>
      <c r="H43" s="76">
        <v>0</v>
      </c>
      <c r="I43" s="13">
        <v>4</v>
      </c>
      <c r="J43" s="33">
        <v>28546442.5</v>
      </c>
      <c r="K43" s="77">
        <v>3</v>
      </c>
      <c r="L43" s="18">
        <v>1177777</v>
      </c>
      <c r="M43" s="18">
        <v>222110.8</v>
      </c>
      <c r="N43" s="56">
        <v>6</v>
      </c>
      <c r="O43" s="57">
        <v>114</v>
      </c>
      <c r="P43" s="57">
        <v>945</v>
      </c>
      <c r="Q43" s="58">
        <v>9928</v>
      </c>
      <c r="R43" s="59">
        <v>96487</v>
      </c>
      <c r="S43" s="139">
        <v>1026777</v>
      </c>
      <c r="T43" s="145"/>
      <c r="X43" s="4"/>
    </row>
    <row r="44" spans="1:24" x14ac:dyDescent="0.15">
      <c r="A44" s="32">
        <v>37</v>
      </c>
      <c r="B44" s="26" t="s">
        <v>253</v>
      </c>
      <c r="C44" s="76">
        <v>8</v>
      </c>
      <c r="D44" s="76">
        <v>2</v>
      </c>
      <c r="E44" s="76">
        <v>9</v>
      </c>
      <c r="F44" s="76">
        <v>8</v>
      </c>
      <c r="G44" s="76">
        <v>9</v>
      </c>
      <c r="H44" s="76">
        <v>0</v>
      </c>
      <c r="I44" s="13">
        <v>8</v>
      </c>
      <c r="J44" s="33">
        <v>25345702.5</v>
      </c>
      <c r="K44" s="77">
        <v>1</v>
      </c>
      <c r="L44" s="34">
        <v>1977777</v>
      </c>
      <c r="M44" s="18">
        <v>46413.2</v>
      </c>
      <c r="N44" s="56">
        <v>6</v>
      </c>
      <c r="O44" s="57">
        <v>90</v>
      </c>
      <c r="P44" s="57">
        <v>906</v>
      </c>
      <c r="Q44" s="58">
        <v>8729</v>
      </c>
      <c r="R44" s="59">
        <v>86858</v>
      </c>
      <c r="S44" s="139">
        <v>922712</v>
      </c>
      <c r="T44" s="145"/>
      <c r="X44" s="4"/>
    </row>
    <row r="45" spans="1:24" x14ac:dyDescent="0.15">
      <c r="A45" s="32">
        <v>38</v>
      </c>
      <c r="B45" s="26" t="s">
        <v>254</v>
      </c>
      <c r="C45" s="76">
        <v>6</v>
      </c>
      <c r="D45" s="76">
        <v>6</v>
      </c>
      <c r="E45" s="76">
        <v>5</v>
      </c>
      <c r="F45" s="76">
        <v>8</v>
      </c>
      <c r="G45" s="76">
        <v>5</v>
      </c>
      <c r="H45" s="76">
        <v>3</v>
      </c>
      <c r="I45" s="13">
        <v>0</v>
      </c>
      <c r="J45" s="33">
        <v>24478777.5</v>
      </c>
      <c r="K45" s="77">
        <v>2</v>
      </c>
      <c r="L45" s="34">
        <v>877777</v>
      </c>
      <c r="M45" s="18">
        <v>31300.3</v>
      </c>
      <c r="N45" s="56">
        <v>11</v>
      </c>
      <c r="O45" s="57">
        <v>78</v>
      </c>
      <c r="P45" s="57">
        <v>846</v>
      </c>
      <c r="Q45" s="58">
        <v>8286</v>
      </c>
      <c r="R45" s="59">
        <v>83672</v>
      </c>
      <c r="S45" s="139">
        <v>831631</v>
      </c>
      <c r="T45" s="145"/>
      <c r="X45" s="4"/>
    </row>
    <row r="46" spans="1:24" x14ac:dyDescent="0.15">
      <c r="A46" s="32">
        <v>39</v>
      </c>
      <c r="B46" s="26" t="s">
        <v>255</v>
      </c>
      <c r="C46" s="76">
        <v>8</v>
      </c>
      <c r="D46" s="76">
        <v>7</v>
      </c>
      <c r="E46" s="76">
        <v>9</v>
      </c>
      <c r="F46" s="76">
        <v>7</v>
      </c>
      <c r="G46" s="76">
        <v>8</v>
      </c>
      <c r="H46" s="76">
        <v>2</v>
      </c>
      <c r="I46" s="13">
        <v>1</v>
      </c>
      <c r="J46" s="33">
        <v>24741520</v>
      </c>
      <c r="K46" s="159" t="s">
        <v>23</v>
      </c>
      <c r="L46" s="18"/>
      <c r="M46" s="18">
        <v>1790422.4</v>
      </c>
      <c r="N46" s="56">
        <v>15</v>
      </c>
      <c r="O46" s="57">
        <v>96</v>
      </c>
      <c r="P46" s="57">
        <v>837</v>
      </c>
      <c r="Q46" s="58">
        <v>8440</v>
      </c>
      <c r="R46" s="59">
        <v>85636</v>
      </c>
      <c r="S46" s="139">
        <v>842873</v>
      </c>
      <c r="T46" s="145"/>
      <c r="X46" s="4"/>
    </row>
    <row r="47" spans="1:24" x14ac:dyDescent="0.15">
      <c r="A47" s="32">
        <v>40</v>
      </c>
      <c r="B47" s="26" t="s">
        <v>256</v>
      </c>
      <c r="C47" s="76">
        <v>5</v>
      </c>
      <c r="D47" s="76">
        <v>6</v>
      </c>
      <c r="E47" s="76">
        <v>4</v>
      </c>
      <c r="F47" s="76">
        <v>0</v>
      </c>
      <c r="G47" s="76">
        <v>7</v>
      </c>
      <c r="H47" s="76">
        <v>4</v>
      </c>
      <c r="I47" s="13">
        <v>8</v>
      </c>
      <c r="J47" s="33">
        <v>24560225</v>
      </c>
      <c r="K47" s="77">
        <v>2</v>
      </c>
      <c r="L47" s="18">
        <v>1677777</v>
      </c>
      <c r="M47" s="18">
        <v>181100.4</v>
      </c>
      <c r="N47" s="56">
        <v>9</v>
      </c>
      <c r="O47" s="57">
        <v>82</v>
      </c>
      <c r="P47" s="57">
        <v>857</v>
      </c>
      <c r="Q47" s="58">
        <v>8948</v>
      </c>
      <c r="R47" s="59">
        <v>89993</v>
      </c>
      <c r="S47" s="139">
        <v>888726</v>
      </c>
      <c r="T47" s="145"/>
      <c r="X47" s="4"/>
    </row>
    <row r="48" spans="1:24" x14ac:dyDescent="0.15">
      <c r="A48" s="32">
        <v>41</v>
      </c>
      <c r="B48" s="26" t="s">
        <v>257</v>
      </c>
      <c r="C48" s="76">
        <v>8</v>
      </c>
      <c r="D48" s="76">
        <v>7</v>
      </c>
      <c r="E48" s="76">
        <v>0</v>
      </c>
      <c r="F48" s="76">
        <v>1</v>
      </c>
      <c r="G48" s="76">
        <v>8</v>
      </c>
      <c r="H48" s="76">
        <v>9</v>
      </c>
      <c r="I48" s="13">
        <v>0</v>
      </c>
      <c r="J48" s="33">
        <v>24706460</v>
      </c>
      <c r="K48" s="77">
        <v>2</v>
      </c>
      <c r="L48" s="34">
        <v>877777</v>
      </c>
      <c r="M48" s="18">
        <v>182175.7</v>
      </c>
      <c r="N48" s="56">
        <v>8</v>
      </c>
      <c r="O48" s="57">
        <v>86</v>
      </c>
      <c r="P48" s="57">
        <v>752</v>
      </c>
      <c r="Q48" s="58">
        <v>8382</v>
      </c>
      <c r="R48" s="59">
        <v>82835</v>
      </c>
      <c r="S48" s="139">
        <v>840302</v>
      </c>
      <c r="T48" s="145"/>
      <c r="X48" s="4"/>
    </row>
    <row r="49" spans="1:24" x14ac:dyDescent="0.15">
      <c r="A49" s="32">
        <v>42</v>
      </c>
      <c r="B49" s="26" t="s">
        <v>258</v>
      </c>
      <c r="C49" s="76">
        <v>2</v>
      </c>
      <c r="D49" s="76">
        <v>8</v>
      </c>
      <c r="E49" s="76">
        <v>9</v>
      </c>
      <c r="F49" s="76">
        <v>3</v>
      </c>
      <c r="G49" s="76">
        <v>4</v>
      </c>
      <c r="H49" s="76">
        <v>1</v>
      </c>
      <c r="I49" s="13">
        <v>7</v>
      </c>
      <c r="J49" s="33">
        <v>24936607.5</v>
      </c>
      <c r="K49" s="77">
        <v>2</v>
      </c>
      <c r="L49" s="18">
        <v>877777</v>
      </c>
      <c r="M49" s="18">
        <v>199614.5</v>
      </c>
      <c r="N49" s="56">
        <v>8</v>
      </c>
      <c r="O49" s="57">
        <v>83</v>
      </c>
      <c r="P49" s="57">
        <v>970</v>
      </c>
      <c r="Q49" s="58">
        <v>9581</v>
      </c>
      <c r="R49" s="59">
        <v>94650</v>
      </c>
      <c r="S49" s="139">
        <v>950970</v>
      </c>
      <c r="T49" s="145"/>
      <c r="X49" s="4"/>
    </row>
    <row r="50" spans="1:24" x14ac:dyDescent="0.15">
      <c r="A50" s="32">
        <v>43</v>
      </c>
      <c r="B50" s="26" t="s">
        <v>259</v>
      </c>
      <c r="C50" s="76">
        <v>8</v>
      </c>
      <c r="D50" s="76">
        <v>8</v>
      </c>
      <c r="E50" s="76">
        <v>0</v>
      </c>
      <c r="F50" s="76">
        <v>0</v>
      </c>
      <c r="G50" s="76">
        <v>1</v>
      </c>
      <c r="H50" s="76">
        <v>0</v>
      </c>
      <c r="I50" s="13">
        <v>6</v>
      </c>
      <c r="J50" s="33">
        <v>24752605</v>
      </c>
      <c r="K50" s="77">
        <v>1</v>
      </c>
      <c r="L50" s="34">
        <v>1877777</v>
      </c>
      <c r="M50" s="18">
        <v>81747.7</v>
      </c>
      <c r="N50" s="56">
        <v>7</v>
      </c>
      <c r="O50" s="57">
        <v>86</v>
      </c>
      <c r="P50" s="57">
        <v>932</v>
      </c>
      <c r="Q50" s="58">
        <v>8707</v>
      </c>
      <c r="R50" s="59">
        <v>85038</v>
      </c>
      <c r="S50" s="139">
        <v>918172</v>
      </c>
      <c r="T50" s="145"/>
    </row>
    <row r="51" spans="1:24" x14ac:dyDescent="0.15">
      <c r="A51" s="32">
        <v>44</v>
      </c>
      <c r="B51" s="26" t="s">
        <v>260</v>
      </c>
      <c r="C51" s="76">
        <v>5</v>
      </c>
      <c r="D51" s="76">
        <v>2</v>
      </c>
      <c r="E51" s="76">
        <v>2</v>
      </c>
      <c r="F51" s="76">
        <v>8</v>
      </c>
      <c r="G51" s="76">
        <v>6</v>
      </c>
      <c r="H51" s="76">
        <v>7</v>
      </c>
      <c r="I51" s="13">
        <v>5</v>
      </c>
      <c r="J51" s="33">
        <v>25225610</v>
      </c>
      <c r="K51" s="77">
        <v>1</v>
      </c>
      <c r="L51" s="18">
        <v>1777777</v>
      </c>
      <c r="M51" s="18">
        <v>97511.6</v>
      </c>
      <c r="N51" s="56">
        <v>10</v>
      </c>
      <c r="O51" s="57">
        <v>92</v>
      </c>
      <c r="P51" s="57">
        <v>975</v>
      </c>
      <c r="Q51" s="58">
        <v>9962</v>
      </c>
      <c r="R51" s="59">
        <v>97998</v>
      </c>
      <c r="S51" s="139">
        <v>970278</v>
      </c>
      <c r="T51" s="145"/>
    </row>
    <row r="52" spans="1:24" x14ac:dyDescent="0.15">
      <c r="A52" s="32">
        <v>45</v>
      </c>
      <c r="B52" s="26" t="s">
        <v>261</v>
      </c>
      <c r="C52" s="76">
        <v>2</v>
      </c>
      <c r="D52" s="76">
        <v>9</v>
      </c>
      <c r="E52" s="76">
        <v>3</v>
      </c>
      <c r="F52" s="76">
        <v>2</v>
      </c>
      <c r="G52" s="76">
        <v>7</v>
      </c>
      <c r="H52" s="76">
        <v>0</v>
      </c>
      <c r="I52" s="13">
        <v>8</v>
      </c>
      <c r="J52" s="33">
        <v>26671815</v>
      </c>
      <c r="K52" s="77">
        <v>5</v>
      </c>
      <c r="L52" s="18">
        <v>377777</v>
      </c>
      <c r="M52" s="18">
        <v>104992.6</v>
      </c>
      <c r="N52" s="56">
        <v>7</v>
      </c>
      <c r="O52" s="57">
        <v>78</v>
      </c>
      <c r="P52" s="57">
        <v>960</v>
      </c>
      <c r="Q52" s="58">
        <v>9295</v>
      </c>
      <c r="R52" s="59">
        <v>93917</v>
      </c>
      <c r="S52" s="139">
        <v>998384</v>
      </c>
      <c r="T52" s="145"/>
    </row>
    <row r="53" spans="1:24" x14ac:dyDescent="0.15">
      <c r="A53" s="32">
        <v>46</v>
      </c>
      <c r="B53" s="26" t="s">
        <v>262</v>
      </c>
      <c r="C53" s="76">
        <v>2</v>
      </c>
      <c r="D53" s="76">
        <v>9</v>
      </c>
      <c r="E53" s="76">
        <v>9</v>
      </c>
      <c r="F53" s="76">
        <v>8</v>
      </c>
      <c r="G53" s="76">
        <v>5</v>
      </c>
      <c r="H53" s="76">
        <v>1</v>
      </c>
      <c r="I53" s="13">
        <v>9</v>
      </c>
      <c r="J53" s="33">
        <v>28315947.5</v>
      </c>
      <c r="K53" s="77">
        <v>4</v>
      </c>
      <c r="L53" s="18">
        <v>477777</v>
      </c>
      <c r="M53" s="18">
        <v>207148.5</v>
      </c>
      <c r="N53" s="56">
        <v>13</v>
      </c>
      <c r="O53" s="57">
        <v>99</v>
      </c>
      <c r="P53" s="57">
        <v>1034</v>
      </c>
      <c r="Q53" s="58">
        <v>10389</v>
      </c>
      <c r="R53" s="59">
        <v>102222</v>
      </c>
      <c r="S53" s="139">
        <v>1029197</v>
      </c>
      <c r="T53" s="145"/>
    </row>
    <row r="54" spans="1:24" x14ac:dyDescent="0.15">
      <c r="A54" s="32">
        <v>47</v>
      </c>
      <c r="B54" s="26" t="s">
        <v>263</v>
      </c>
      <c r="C54" s="76">
        <v>5</v>
      </c>
      <c r="D54" s="76">
        <v>8</v>
      </c>
      <c r="E54" s="76">
        <v>7</v>
      </c>
      <c r="F54" s="76">
        <v>4</v>
      </c>
      <c r="G54" s="76">
        <v>4</v>
      </c>
      <c r="H54" s="76">
        <v>7</v>
      </c>
      <c r="I54" s="13">
        <v>1</v>
      </c>
      <c r="J54" s="33">
        <v>30039230</v>
      </c>
      <c r="K54" s="159" t="s">
        <v>23</v>
      </c>
      <c r="L54" s="18"/>
      <c r="M54" s="18">
        <v>2342937.7999999998</v>
      </c>
      <c r="N54" s="56">
        <v>9</v>
      </c>
      <c r="O54" s="57">
        <v>93</v>
      </c>
      <c r="P54" s="57">
        <v>1060</v>
      </c>
      <c r="Q54" s="58">
        <v>10383</v>
      </c>
      <c r="R54" s="59">
        <v>102138</v>
      </c>
      <c r="S54" s="139">
        <v>1022613</v>
      </c>
      <c r="T54" s="145"/>
    </row>
    <row r="55" spans="1:24" x14ac:dyDescent="0.15">
      <c r="A55" s="32">
        <v>48</v>
      </c>
      <c r="B55" s="26" t="s">
        <v>264</v>
      </c>
      <c r="C55" s="76">
        <v>4</v>
      </c>
      <c r="D55" s="76">
        <v>0</v>
      </c>
      <c r="E55" s="76">
        <v>1</v>
      </c>
      <c r="F55" s="76">
        <v>8</v>
      </c>
      <c r="G55" s="76">
        <v>9</v>
      </c>
      <c r="H55" s="76">
        <v>0</v>
      </c>
      <c r="I55" s="13">
        <v>5</v>
      </c>
      <c r="J55" s="33">
        <v>25521692.5</v>
      </c>
      <c r="K55" s="159" t="s">
        <v>23</v>
      </c>
      <c r="L55" s="18"/>
      <c r="M55" s="18">
        <v>4157530.1</v>
      </c>
      <c r="N55" s="56">
        <v>4</v>
      </c>
      <c r="O55" s="57">
        <v>86</v>
      </c>
      <c r="P55" s="57">
        <v>869</v>
      </c>
      <c r="Q55" s="58">
        <v>9084</v>
      </c>
      <c r="R55" s="59">
        <v>90432</v>
      </c>
      <c r="S55" s="139">
        <v>972384</v>
      </c>
      <c r="T55" s="145"/>
    </row>
    <row r="56" spans="1:24" x14ac:dyDescent="0.15">
      <c r="A56" s="32">
        <v>49</v>
      </c>
      <c r="B56" s="26" t="s">
        <v>265</v>
      </c>
      <c r="C56" s="76">
        <v>3</v>
      </c>
      <c r="D56" s="76">
        <v>5</v>
      </c>
      <c r="E56" s="76">
        <v>0</v>
      </c>
      <c r="F56" s="76">
        <v>8</v>
      </c>
      <c r="G56" s="76">
        <v>0</v>
      </c>
      <c r="H56" s="76">
        <v>7</v>
      </c>
      <c r="I56" s="13">
        <v>8</v>
      </c>
      <c r="J56" s="33">
        <v>31775870</v>
      </c>
      <c r="K56" s="77">
        <v>1</v>
      </c>
      <c r="L56" s="18">
        <v>6377777</v>
      </c>
      <c r="M56" s="18">
        <v>39017.5</v>
      </c>
      <c r="N56" s="56">
        <v>6</v>
      </c>
      <c r="O56" s="57">
        <v>125</v>
      </c>
      <c r="P56" s="57">
        <v>1150</v>
      </c>
      <c r="Q56" s="58">
        <v>11445</v>
      </c>
      <c r="R56" s="59">
        <v>119585</v>
      </c>
      <c r="S56" s="139">
        <v>1178118</v>
      </c>
      <c r="T56" s="145"/>
    </row>
    <row r="57" spans="1:24" x14ac:dyDescent="0.15">
      <c r="A57" s="32">
        <v>50</v>
      </c>
      <c r="B57" s="26" t="s">
        <v>266</v>
      </c>
      <c r="C57" s="76">
        <v>6</v>
      </c>
      <c r="D57" s="76">
        <v>2</v>
      </c>
      <c r="E57" s="76">
        <v>3</v>
      </c>
      <c r="F57" s="76">
        <v>6</v>
      </c>
      <c r="G57" s="76">
        <v>9</v>
      </c>
      <c r="H57" s="76">
        <v>1</v>
      </c>
      <c r="I57" s="13">
        <v>1</v>
      </c>
      <c r="J57" s="33">
        <v>26818997.5</v>
      </c>
      <c r="K57" s="77">
        <v>3</v>
      </c>
      <c r="L57" s="34">
        <v>577777</v>
      </c>
      <c r="M57" s="18">
        <v>212517.2</v>
      </c>
      <c r="N57" s="56">
        <v>6</v>
      </c>
      <c r="O57" s="57">
        <v>78</v>
      </c>
      <c r="P57" s="57">
        <v>968</v>
      </c>
      <c r="Q57" s="58">
        <v>9121</v>
      </c>
      <c r="R57" s="59">
        <v>90783</v>
      </c>
      <c r="S57" s="139">
        <v>905081</v>
      </c>
      <c r="T57" s="145"/>
    </row>
    <row r="58" spans="1:24" x14ac:dyDescent="0.15">
      <c r="A58" s="32">
        <v>51</v>
      </c>
      <c r="B58" s="26" t="s">
        <v>267</v>
      </c>
      <c r="C58" s="76">
        <v>2</v>
      </c>
      <c r="D58" s="76">
        <v>4</v>
      </c>
      <c r="E58" s="76">
        <v>3</v>
      </c>
      <c r="F58" s="76">
        <v>1</v>
      </c>
      <c r="G58" s="76">
        <v>3</v>
      </c>
      <c r="H58" s="76">
        <v>1</v>
      </c>
      <c r="I58" s="13">
        <v>6</v>
      </c>
      <c r="J58" s="33">
        <v>27813630</v>
      </c>
      <c r="K58" s="77">
        <v>1</v>
      </c>
      <c r="L58" s="34">
        <v>2177777</v>
      </c>
      <c r="M58" s="18">
        <v>12289.3</v>
      </c>
      <c r="N58" s="56">
        <v>16</v>
      </c>
      <c r="O58" s="57">
        <v>106</v>
      </c>
      <c r="P58" s="57">
        <v>1069</v>
      </c>
      <c r="Q58" s="58">
        <v>10319</v>
      </c>
      <c r="R58" s="59">
        <v>100917</v>
      </c>
      <c r="S58" s="139">
        <v>1024093</v>
      </c>
      <c r="T58" s="145"/>
    </row>
    <row r="59" spans="1:24" x14ac:dyDescent="0.15">
      <c r="A59" s="36">
        <v>52</v>
      </c>
      <c r="B59" s="37">
        <v>35427</v>
      </c>
      <c r="C59" s="38">
        <v>3</v>
      </c>
      <c r="D59" s="38">
        <v>5</v>
      </c>
      <c r="E59" s="38">
        <v>0</v>
      </c>
      <c r="F59" s="38">
        <v>4</v>
      </c>
      <c r="G59" s="38">
        <v>3</v>
      </c>
      <c r="H59" s="38">
        <v>4</v>
      </c>
      <c r="I59" s="39">
        <v>1</v>
      </c>
      <c r="J59" s="40">
        <v>25203300</v>
      </c>
      <c r="K59" s="70" t="s">
        <v>23</v>
      </c>
      <c r="L59" s="42"/>
      <c r="M59" s="43">
        <v>1804243.9</v>
      </c>
      <c r="N59" s="61">
        <v>10</v>
      </c>
      <c r="O59" s="62">
        <v>88</v>
      </c>
      <c r="P59" s="62">
        <v>867</v>
      </c>
      <c r="Q59" s="63">
        <v>8594</v>
      </c>
      <c r="R59" s="64">
        <v>85232</v>
      </c>
      <c r="S59" s="142">
        <v>844588</v>
      </c>
      <c r="T59" s="145"/>
    </row>
    <row r="60" spans="1:24" hidden="1" x14ac:dyDescent="0.15">
      <c r="A60" s="36">
        <v>53</v>
      </c>
      <c r="B60" s="37"/>
      <c r="C60" s="38"/>
      <c r="D60" s="38"/>
      <c r="E60" s="38"/>
      <c r="F60" s="38"/>
      <c r="G60" s="38"/>
      <c r="H60" s="38"/>
      <c r="I60" s="39"/>
      <c r="J60" s="40"/>
      <c r="K60" s="71"/>
      <c r="L60" s="42"/>
      <c r="M60" s="43"/>
      <c r="N60" s="61"/>
      <c r="O60" s="62"/>
      <c r="P60" s="62"/>
      <c r="Q60" s="63"/>
      <c r="R60" s="64"/>
      <c r="S60" s="64"/>
      <c r="U60" s="31">
        <f>IF(J59="","",SUM(K59,N59,O59,P59,Q59,R59,S59))</f>
        <v>939379</v>
      </c>
    </row>
    <row r="61" spans="1:24" x14ac:dyDescent="0.15">
      <c r="A61" s="45"/>
      <c r="B61" s="46"/>
      <c r="C61" s="46"/>
      <c r="D61" s="46"/>
      <c r="E61" s="46"/>
      <c r="F61" s="46"/>
      <c r="G61" s="46"/>
      <c r="H61" s="46" t="s">
        <v>24</v>
      </c>
      <c r="I61" s="46"/>
      <c r="J61" s="46"/>
      <c r="K61" s="72">
        <f>SUM(K8:K60)</f>
        <v>60</v>
      </c>
      <c r="L61" s="47"/>
      <c r="M61" s="48"/>
      <c r="N61" s="66">
        <f t="shared" ref="N61:S61" si="0">SUM(N8:N60)</f>
        <v>454</v>
      </c>
      <c r="O61" s="67">
        <f t="shared" si="0"/>
        <v>4657</v>
      </c>
      <c r="P61" s="67">
        <f t="shared" si="0"/>
        <v>47534</v>
      </c>
      <c r="Q61" s="68">
        <f t="shared" si="0"/>
        <v>472757</v>
      </c>
      <c r="R61" s="48">
        <f t="shared" si="0"/>
        <v>4718293</v>
      </c>
      <c r="S61" s="137">
        <f t="shared" si="0"/>
        <v>47527696</v>
      </c>
    </row>
    <row r="62" spans="1:24" x14ac:dyDescent="0.15">
      <c r="X62" s="5"/>
    </row>
    <row r="65" spans="12:12" x14ac:dyDescent="0.15">
      <c r="L65"/>
    </row>
    <row r="66" spans="12:12" x14ac:dyDescent="0.15">
      <c r="L66"/>
    </row>
    <row r="67" spans="12:12" x14ac:dyDescent="0.15">
      <c r="L67"/>
    </row>
    <row r="68" spans="12:12" x14ac:dyDescent="0.15">
      <c r="L68"/>
    </row>
    <row r="69" spans="12:12" x14ac:dyDescent="0.15">
      <c r="L69"/>
    </row>
    <row r="70" spans="12:12" x14ac:dyDescent="0.15">
      <c r="L70"/>
    </row>
    <row r="71" spans="12:12" x14ac:dyDescent="0.15">
      <c r="L71"/>
    </row>
    <row r="72" spans="12:12" x14ac:dyDescent="0.15">
      <c r="L72"/>
    </row>
    <row r="73" spans="12:12" x14ac:dyDescent="0.15">
      <c r="L73"/>
    </row>
    <row r="74" spans="12:12" x14ac:dyDescent="0.15">
      <c r="L74"/>
    </row>
    <row r="75" spans="12:12" x14ac:dyDescent="0.15">
      <c r="L75"/>
    </row>
    <row r="76" spans="12:12" x14ac:dyDescent="0.15">
      <c r="L76"/>
    </row>
    <row r="77" spans="12:12" x14ac:dyDescent="0.15">
      <c r="L77"/>
    </row>
    <row r="78" spans="12:12" x14ac:dyDescent="0.15">
      <c r="L78"/>
    </row>
    <row r="79" spans="12:12" x14ac:dyDescent="0.15">
      <c r="L79"/>
    </row>
    <row r="80" spans="12:12" x14ac:dyDescent="0.15">
      <c r="L80"/>
    </row>
    <row r="81" spans="12:12" x14ac:dyDescent="0.15">
      <c r="L81"/>
    </row>
    <row r="82" spans="12:12" x14ac:dyDescent="0.15">
      <c r="L82"/>
    </row>
    <row r="83" spans="12:12" x14ac:dyDescent="0.15">
      <c r="L83"/>
    </row>
    <row r="84" spans="12:12" x14ac:dyDescent="0.15">
      <c r="L84"/>
    </row>
    <row r="85" spans="12:12" x14ac:dyDescent="0.15">
      <c r="L85"/>
    </row>
    <row r="86" spans="12:12" x14ac:dyDescent="0.15">
      <c r="L86"/>
    </row>
    <row r="87" spans="12:12" x14ac:dyDescent="0.15">
      <c r="L87"/>
    </row>
    <row r="88" spans="12:12" x14ac:dyDescent="0.15">
      <c r="L88"/>
    </row>
    <row r="89" spans="12:12" x14ac:dyDescent="0.15">
      <c r="L89"/>
    </row>
    <row r="90" spans="12:12" x14ac:dyDescent="0.15">
      <c r="L90"/>
    </row>
    <row r="91" spans="12:12" x14ac:dyDescent="0.15">
      <c r="L91"/>
    </row>
    <row r="92" spans="12:12" x14ac:dyDescent="0.15">
      <c r="L92"/>
    </row>
    <row r="93" spans="12:12" x14ac:dyDescent="0.15">
      <c r="L93"/>
    </row>
    <row r="94" spans="12:12" x14ac:dyDescent="0.15">
      <c r="L94"/>
    </row>
    <row r="95" spans="12:12" x14ac:dyDescent="0.15">
      <c r="L95"/>
    </row>
    <row r="96" spans="12:12" x14ac:dyDescent="0.15">
      <c r="L96"/>
    </row>
    <row r="97" spans="12:12" x14ac:dyDescent="0.15">
      <c r="L97"/>
    </row>
    <row r="98" spans="12:12" x14ac:dyDescent="0.15">
      <c r="L98"/>
    </row>
    <row r="99" spans="12:12" x14ac:dyDescent="0.15">
      <c r="L99"/>
    </row>
    <row r="100" spans="12:12" x14ac:dyDescent="0.15">
      <c r="L100"/>
    </row>
    <row r="101" spans="12:12" x14ac:dyDescent="0.15">
      <c r="L101"/>
    </row>
    <row r="102" spans="12:12" x14ac:dyDescent="0.15">
      <c r="L102"/>
    </row>
    <row r="103" spans="12:12" x14ac:dyDescent="0.15">
      <c r="L103"/>
    </row>
    <row r="104" spans="12:12" x14ac:dyDescent="0.15">
      <c r="L104"/>
    </row>
    <row r="105" spans="12:12" x14ac:dyDescent="0.15">
      <c r="L105"/>
    </row>
    <row r="106" spans="12:12" x14ac:dyDescent="0.15">
      <c r="L106"/>
    </row>
    <row r="107" spans="12:12" x14ac:dyDescent="0.15">
      <c r="L107"/>
    </row>
    <row r="108" spans="12:12" x14ac:dyDescent="0.15">
      <c r="L108"/>
    </row>
    <row r="109" spans="12:12" x14ac:dyDescent="0.15">
      <c r="L109"/>
    </row>
    <row r="110" spans="12:12" x14ac:dyDescent="0.15">
      <c r="L110"/>
    </row>
    <row r="111" spans="12:12" x14ac:dyDescent="0.15">
      <c r="L111"/>
    </row>
    <row r="112" spans="12:12" x14ac:dyDescent="0.15">
      <c r="L112"/>
    </row>
    <row r="113" spans="12:12" x14ac:dyDescent="0.15">
      <c r="L113"/>
    </row>
    <row r="114" spans="12:12" x14ac:dyDescent="0.15">
      <c r="L114"/>
    </row>
    <row r="115" spans="12:12" x14ac:dyDescent="0.15">
      <c r="L115"/>
    </row>
    <row r="116" spans="12:12" x14ac:dyDescent="0.15">
      <c r="L116"/>
    </row>
    <row r="117" spans="12:12" x14ac:dyDescent="0.15">
      <c r="L117"/>
    </row>
    <row r="118" spans="12:12" x14ac:dyDescent="0.15">
      <c r="L118"/>
    </row>
    <row r="119" spans="12:12" x14ac:dyDescent="0.15">
      <c r="L119"/>
    </row>
    <row r="120" spans="12:12" x14ac:dyDescent="0.15">
      <c r="L120"/>
    </row>
    <row r="121" spans="12:12" x14ac:dyDescent="0.15">
      <c r="L121"/>
    </row>
    <row r="122" spans="12:12" x14ac:dyDescent="0.15">
      <c r="L122"/>
    </row>
    <row r="123" spans="12:12" x14ac:dyDescent="0.15">
      <c r="L123"/>
    </row>
    <row r="124" spans="12:12" x14ac:dyDescent="0.15">
      <c r="L124"/>
    </row>
    <row r="125" spans="12:12" x14ac:dyDescent="0.15">
      <c r="L12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1" orientation="landscape" horizontalDpi="4294967292" verticalDpi="4294967292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D125"/>
  <sheetViews>
    <sheetView showGridLines="0" topLeftCell="E7" workbookViewId="0">
      <selection activeCell="S62" sqref="S62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9" width="15.6640625" customWidth="1"/>
    <col min="21" max="30" width="0" hidden="1" customWidth="1"/>
  </cols>
  <sheetData>
    <row r="2" spans="1:30" ht="12.75" x14ac:dyDescent="0.2">
      <c r="A2" s="1" t="s">
        <v>0</v>
      </c>
      <c r="S2" s="3" t="s">
        <v>268</v>
      </c>
      <c r="V2" s="4"/>
    </row>
    <row r="3" spans="1:30" ht="12.75" x14ac:dyDescent="0.2">
      <c r="A3" s="6" t="s">
        <v>2</v>
      </c>
      <c r="P3" s="3"/>
      <c r="V3" s="4"/>
    </row>
    <row r="4" spans="1:30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9"/>
      <c r="L4" s="12"/>
      <c r="M4" s="11"/>
      <c r="N4" s="8"/>
      <c r="O4" s="8"/>
      <c r="P4" s="8"/>
      <c r="Q4" s="8"/>
      <c r="R4" s="8"/>
      <c r="S4" s="8"/>
      <c r="X4" s="4"/>
    </row>
    <row r="5" spans="1:30" x14ac:dyDescent="0.15">
      <c r="A5" s="13" t="s">
        <v>3</v>
      </c>
      <c r="B5" s="14">
        <v>1997</v>
      </c>
      <c r="C5" s="15" t="s">
        <v>4</v>
      </c>
      <c r="D5" s="16"/>
      <c r="E5" s="16"/>
      <c r="F5" s="16"/>
      <c r="G5" s="16"/>
      <c r="H5" s="16"/>
      <c r="I5" s="17" t="s">
        <v>5</v>
      </c>
      <c r="J5" s="14" t="s">
        <v>6</v>
      </c>
      <c r="K5" s="6" t="s">
        <v>7</v>
      </c>
      <c r="L5" s="18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S5" s="14" t="s">
        <v>49</v>
      </c>
      <c r="X5" s="4"/>
    </row>
    <row r="6" spans="1:30" x14ac:dyDescent="0.15">
      <c r="A6" s="13"/>
      <c r="B6" s="14"/>
      <c r="C6" s="19"/>
      <c r="D6" s="19"/>
      <c r="E6" s="19"/>
      <c r="F6" s="19"/>
      <c r="G6" s="19"/>
      <c r="H6" s="19"/>
      <c r="I6" s="17" t="s">
        <v>13</v>
      </c>
      <c r="J6" s="14" t="s">
        <v>14</v>
      </c>
      <c r="K6" s="6" t="s">
        <v>50</v>
      </c>
      <c r="L6" s="18"/>
      <c r="M6" s="14" t="s">
        <v>14</v>
      </c>
      <c r="N6" s="20" t="s">
        <v>51</v>
      </c>
      <c r="O6" s="20" t="s">
        <v>52</v>
      </c>
      <c r="P6" s="20" t="s">
        <v>53</v>
      </c>
      <c r="Q6" s="20" t="s">
        <v>54</v>
      </c>
      <c r="R6" s="20" t="s">
        <v>55</v>
      </c>
      <c r="S6" s="14" t="s">
        <v>56</v>
      </c>
      <c r="X6" s="4"/>
    </row>
    <row r="7" spans="1:30" x14ac:dyDescent="0.15">
      <c r="A7" s="13"/>
      <c r="B7" s="21"/>
      <c r="C7" s="19"/>
      <c r="D7" s="19"/>
      <c r="E7" s="19"/>
      <c r="F7" s="19"/>
      <c r="G7" s="19"/>
      <c r="H7" s="19"/>
      <c r="I7" s="13"/>
      <c r="J7" s="14"/>
      <c r="K7" s="50" t="s">
        <v>15</v>
      </c>
      <c r="L7" s="23" t="s">
        <v>14</v>
      </c>
      <c r="M7" s="14"/>
      <c r="N7" s="20" t="s">
        <v>15</v>
      </c>
      <c r="O7" s="20" t="s">
        <v>15</v>
      </c>
      <c r="P7" s="20" t="s">
        <v>15</v>
      </c>
      <c r="Q7" s="20" t="s">
        <v>15</v>
      </c>
      <c r="R7" s="20" t="s">
        <v>15</v>
      </c>
      <c r="S7" s="21" t="s">
        <v>15</v>
      </c>
      <c r="X7" s="4"/>
    </row>
    <row r="8" spans="1:30" x14ac:dyDescent="0.15">
      <c r="A8" s="25">
        <v>1</v>
      </c>
      <c r="B8" s="26">
        <v>35068</v>
      </c>
      <c r="C8" s="27">
        <v>6</v>
      </c>
      <c r="D8" s="27">
        <v>5</v>
      </c>
      <c r="E8" s="27">
        <v>0</v>
      </c>
      <c r="F8" s="27">
        <v>3</v>
      </c>
      <c r="G8" s="27">
        <v>2</v>
      </c>
      <c r="H8" s="27">
        <v>1</v>
      </c>
      <c r="I8" s="7">
        <v>3</v>
      </c>
      <c r="J8" s="28">
        <v>24746775</v>
      </c>
      <c r="K8" s="51">
        <v>3</v>
      </c>
      <c r="L8" s="29">
        <v>1177777</v>
      </c>
      <c r="M8" s="12">
        <v>30408.6</v>
      </c>
      <c r="N8" s="52">
        <v>9</v>
      </c>
      <c r="O8" s="53">
        <v>89</v>
      </c>
      <c r="P8" s="53">
        <v>913</v>
      </c>
      <c r="Q8" s="54">
        <v>9721</v>
      </c>
      <c r="R8" s="55">
        <v>94295</v>
      </c>
      <c r="S8" s="55">
        <v>880754</v>
      </c>
      <c r="W8" s="31">
        <f t="shared" ref="W8:W39" si="0">IF(K8="JP",0,K8*L8)</f>
        <v>3533331</v>
      </c>
      <c r="X8" s="31" t="e">
        <f t="shared" ref="X8:X39" si="1">N8*$N$6</f>
        <v>#VALUE!</v>
      </c>
      <c r="Y8" s="31" t="e">
        <f t="shared" ref="Y8:Y39" si="2">O8*$O$6</f>
        <v>#VALUE!</v>
      </c>
      <c r="Z8" s="31" t="e">
        <f t="shared" ref="Z8:Z39" si="3">P8*$P$6</f>
        <v>#VALUE!</v>
      </c>
      <c r="AA8" s="31" t="e">
        <f t="shared" ref="AA8:AA39" si="4">Q8*$Q$6</f>
        <v>#VALUE!</v>
      </c>
      <c r="AB8" s="31" t="e">
        <f t="shared" ref="AB8:AB39" si="5">R8*$R$6</f>
        <v>#VALUE!</v>
      </c>
      <c r="AC8" s="31" t="e">
        <f t="shared" ref="AC8:AC39" si="6">S8*$S$6</f>
        <v>#VALUE!</v>
      </c>
      <c r="AD8" s="31" t="e">
        <f t="shared" ref="AD8:AD39" si="7">SUM(W8:AC8)</f>
        <v>#VALUE!</v>
      </c>
    </row>
    <row r="9" spans="1:30" x14ac:dyDescent="0.15">
      <c r="A9" s="32">
        <v>2</v>
      </c>
      <c r="B9" s="26" t="s">
        <v>269</v>
      </c>
      <c r="C9" s="19">
        <v>6</v>
      </c>
      <c r="D9" s="19">
        <v>1</v>
      </c>
      <c r="E9" s="19">
        <v>7</v>
      </c>
      <c r="F9" s="19">
        <v>4</v>
      </c>
      <c r="G9" s="19">
        <v>2</v>
      </c>
      <c r="H9" s="19">
        <v>1</v>
      </c>
      <c r="I9" s="13">
        <v>9</v>
      </c>
      <c r="J9" s="33">
        <v>30801455</v>
      </c>
      <c r="K9" s="50">
        <v>1</v>
      </c>
      <c r="L9" s="34">
        <v>2177777</v>
      </c>
      <c r="M9" s="18">
        <v>42615.1</v>
      </c>
      <c r="N9" s="56">
        <v>9</v>
      </c>
      <c r="O9" s="57">
        <v>111</v>
      </c>
      <c r="P9" s="57">
        <v>1082</v>
      </c>
      <c r="Q9" s="58">
        <v>11284</v>
      </c>
      <c r="R9" s="59">
        <v>111321</v>
      </c>
      <c r="S9" s="59">
        <v>1118208</v>
      </c>
      <c r="U9" s="31">
        <f t="shared" ref="U9:U40" si="8">IF(J8="","",SUM(K8,N8,O8,P8,Q8,R8,S8))</f>
        <v>985784</v>
      </c>
      <c r="W9" s="31">
        <f t="shared" si="0"/>
        <v>2177777</v>
      </c>
      <c r="X9" s="31" t="e">
        <f t="shared" si="1"/>
        <v>#VALUE!</v>
      </c>
      <c r="Y9" s="31" t="e">
        <f t="shared" si="2"/>
        <v>#VALUE!</v>
      </c>
      <c r="Z9" s="31" t="e">
        <f t="shared" si="3"/>
        <v>#VALUE!</v>
      </c>
      <c r="AA9" s="31" t="e">
        <f t="shared" si="4"/>
        <v>#VALUE!</v>
      </c>
      <c r="AB9" s="31" t="e">
        <f t="shared" si="5"/>
        <v>#VALUE!</v>
      </c>
      <c r="AC9" s="31" t="e">
        <f t="shared" si="6"/>
        <v>#VALUE!</v>
      </c>
      <c r="AD9" s="31" t="e">
        <f t="shared" si="7"/>
        <v>#VALUE!</v>
      </c>
    </row>
    <row r="10" spans="1:30" x14ac:dyDescent="0.15">
      <c r="A10" s="32">
        <v>3</v>
      </c>
      <c r="B10" s="26" t="s">
        <v>270</v>
      </c>
      <c r="C10" s="19">
        <v>5</v>
      </c>
      <c r="D10" s="19">
        <v>1</v>
      </c>
      <c r="E10" s="19">
        <v>5</v>
      </c>
      <c r="F10" s="19">
        <v>4</v>
      </c>
      <c r="G10" s="19">
        <v>5</v>
      </c>
      <c r="H10" s="19">
        <v>0</v>
      </c>
      <c r="I10" s="13">
        <v>6</v>
      </c>
      <c r="J10" s="33">
        <v>26044035</v>
      </c>
      <c r="K10" s="50" t="s">
        <v>23</v>
      </c>
      <c r="L10" s="18"/>
      <c r="M10" s="18">
        <v>1894346</v>
      </c>
      <c r="N10" s="56">
        <v>13</v>
      </c>
      <c r="O10" s="57">
        <v>95</v>
      </c>
      <c r="P10" s="57">
        <v>899</v>
      </c>
      <c r="Q10" s="58">
        <v>8947</v>
      </c>
      <c r="R10" s="59">
        <v>90010</v>
      </c>
      <c r="S10" s="59">
        <v>962837</v>
      </c>
      <c r="U10" s="31">
        <f t="shared" si="8"/>
        <v>1242016</v>
      </c>
      <c r="W10" s="31">
        <f t="shared" si="0"/>
        <v>0</v>
      </c>
      <c r="X10" s="31" t="e">
        <f t="shared" si="1"/>
        <v>#VALUE!</v>
      </c>
      <c r="Y10" s="31" t="e">
        <f t="shared" si="2"/>
        <v>#VALUE!</v>
      </c>
      <c r="Z10" s="31" t="e">
        <f t="shared" si="3"/>
        <v>#VALUE!</v>
      </c>
      <c r="AA10" s="31" t="e">
        <f t="shared" si="4"/>
        <v>#VALUE!</v>
      </c>
      <c r="AB10" s="31" t="e">
        <f t="shared" si="5"/>
        <v>#VALUE!</v>
      </c>
      <c r="AC10" s="31" t="e">
        <f t="shared" si="6"/>
        <v>#VALUE!</v>
      </c>
      <c r="AD10" s="31" t="e">
        <f t="shared" si="7"/>
        <v>#VALUE!</v>
      </c>
    </row>
    <row r="11" spans="1:30" x14ac:dyDescent="0.15">
      <c r="A11" s="32">
        <v>4</v>
      </c>
      <c r="B11" s="26" t="s">
        <v>271</v>
      </c>
      <c r="C11" s="19">
        <v>3</v>
      </c>
      <c r="D11" s="19">
        <v>6</v>
      </c>
      <c r="E11" s="19">
        <v>5</v>
      </c>
      <c r="F11" s="19">
        <v>8</v>
      </c>
      <c r="G11" s="19">
        <v>1</v>
      </c>
      <c r="H11" s="19">
        <v>5</v>
      </c>
      <c r="I11" s="13">
        <v>6</v>
      </c>
      <c r="J11" s="33">
        <v>25534777.5</v>
      </c>
      <c r="K11" s="50">
        <v>2</v>
      </c>
      <c r="L11" s="18">
        <v>1777777</v>
      </c>
      <c r="M11" s="18">
        <v>154314.70000000001</v>
      </c>
      <c r="N11" s="56">
        <v>10</v>
      </c>
      <c r="O11" s="57">
        <v>96</v>
      </c>
      <c r="P11" s="57">
        <v>915</v>
      </c>
      <c r="Q11" s="58">
        <v>9305</v>
      </c>
      <c r="R11" s="59">
        <v>91579</v>
      </c>
      <c r="S11" s="59">
        <v>900970</v>
      </c>
      <c r="U11" s="31">
        <f t="shared" si="8"/>
        <v>1062801</v>
      </c>
      <c r="W11" s="31">
        <f t="shared" si="0"/>
        <v>3555554</v>
      </c>
      <c r="X11" s="31" t="e">
        <f t="shared" si="1"/>
        <v>#VALUE!</v>
      </c>
      <c r="Y11" s="31" t="e">
        <f t="shared" si="2"/>
        <v>#VALUE!</v>
      </c>
      <c r="Z11" s="31" t="e">
        <f t="shared" si="3"/>
        <v>#VALUE!</v>
      </c>
      <c r="AA11" s="31" t="e">
        <f t="shared" si="4"/>
        <v>#VALUE!</v>
      </c>
      <c r="AB11" s="31" t="e">
        <f t="shared" si="5"/>
        <v>#VALUE!</v>
      </c>
      <c r="AC11" s="31" t="e">
        <f t="shared" si="6"/>
        <v>#VALUE!</v>
      </c>
      <c r="AD11" s="31" t="e">
        <f t="shared" si="7"/>
        <v>#VALUE!</v>
      </c>
    </row>
    <row r="12" spans="1:30" x14ac:dyDescent="0.15">
      <c r="A12" s="32">
        <v>5</v>
      </c>
      <c r="B12" s="26" t="s">
        <v>272</v>
      </c>
      <c r="C12" s="19">
        <v>8</v>
      </c>
      <c r="D12" s="19">
        <v>1</v>
      </c>
      <c r="E12" s="19">
        <v>0</v>
      </c>
      <c r="F12" s="19">
        <v>5</v>
      </c>
      <c r="G12" s="19">
        <v>1</v>
      </c>
      <c r="H12" s="19">
        <v>0</v>
      </c>
      <c r="I12" s="13">
        <v>4</v>
      </c>
      <c r="J12" s="33">
        <v>25706790</v>
      </c>
      <c r="K12" s="50">
        <v>1</v>
      </c>
      <c r="L12" s="18">
        <v>1977777</v>
      </c>
      <c r="M12" s="18">
        <v>4290.5</v>
      </c>
      <c r="N12" s="56">
        <v>9</v>
      </c>
      <c r="O12" s="57">
        <v>77</v>
      </c>
      <c r="P12" s="57">
        <v>903</v>
      </c>
      <c r="Q12" s="58">
        <v>8843</v>
      </c>
      <c r="R12" s="59">
        <v>85806</v>
      </c>
      <c r="S12" s="59">
        <v>920976</v>
      </c>
      <c r="U12" s="31">
        <f t="shared" si="8"/>
        <v>1002877</v>
      </c>
      <c r="W12" s="31">
        <f t="shared" si="0"/>
        <v>1977777</v>
      </c>
      <c r="X12" s="31" t="e">
        <f t="shared" si="1"/>
        <v>#VALUE!</v>
      </c>
      <c r="Y12" s="31" t="e">
        <f t="shared" si="2"/>
        <v>#VALUE!</v>
      </c>
      <c r="Z12" s="31" t="e">
        <f t="shared" si="3"/>
        <v>#VALUE!</v>
      </c>
      <c r="AA12" s="31" t="e">
        <f t="shared" si="4"/>
        <v>#VALUE!</v>
      </c>
      <c r="AB12" s="31" t="e">
        <f t="shared" si="5"/>
        <v>#VALUE!</v>
      </c>
      <c r="AC12" s="31" t="e">
        <f t="shared" si="6"/>
        <v>#VALUE!</v>
      </c>
      <c r="AD12" s="31" t="e">
        <f t="shared" si="7"/>
        <v>#VALUE!</v>
      </c>
    </row>
    <row r="13" spans="1:30" x14ac:dyDescent="0.15">
      <c r="A13" s="32">
        <v>6</v>
      </c>
      <c r="B13" s="26" t="s">
        <v>273</v>
      </c>
      <c r="C13" s="19">
        <v>3</v>
      </c>
      <c r="D13" s="19">
        <v>9</v>
      </c>
      <c r="E13" s="19">
        <v>9</v>
      </c>
      <c r="F13" s="19">
        <v>2</v>
      </c>
      <c r="G13" s="19">
        <v>9</v>
      </c>
      <c r="H13" s="19">
        <v>9</v>
      </c>
      <c r="I13" s="13">
        <v>6</v>
      </c>
      <c r="J13" s="33">
        <v>25161792.5</v>
      </c>
      <c r="K13" s="50">
        <v>1</v>
      </c>
      <c r="L13" s="34">
        <v>1777777</v>
      </c>
      <c r="M13" s="18">
        <v>15516.9</v>
      </c>
      <c r="N13" s="56">
        <v>10</v>
      </c>
      <c r="O13" s="57">
        <v>97</v>
      </c>
      <c r="P13" s="57">
        <v>901</v>
      </c>
      <c r="Q13" s="58">
        <v>8818</v>
      </c>
      <c r="R13" s="59">
        <v>94406</v>
      </c>
      <c r="S13" s="59">
        <v>934384</v>
      </c>
      <c r="U13" s="31">
        <f t="shared" si="8"/>
        <v>1016615</v>
      </c>
      <c r="W13" s="31">
        <f t="shared" si="0"/>
        <v>1777777</v>
      </c>
      <c r="X13" s="31" t="e">
        <f t="shared" si="1"/>
        <v>#VALUE!</v>
      </c>
      <c r="Y13" s="31" t="e">
        <f t="shared" si="2"/>
        <v>#VALUE!</v>
      </c>
      <c r="Z13" s="31" t="e">
        <f t="shared" si="3"/>
        <v>#VALUE!</v>
      </c>
      <c r="AA13" s="31" t="e">
        <f t="shared" si="4"/>
        <v>#VALUE!</v>
      </c>
      <c r="AB13" s="31" t="e">
        <f t="shared" si="5"/>
        <v>#VALUE!</v>
      </c>
      <c r="AC13" s="31" t="e">
        <f t="shared" si="6"/>
        <v>#VALUE!</v>
      </c>
      <c r="AD13" s="31" t="e">
        <f t="shared" si="7"/>
        <v>#VALUE!</v>
      </c>
    </row>
    <row r="14" spans="1:30" x14ac:dyDescent="0.15">
      <c r="A14" s="32">
        <v>7</v>
      </c>
      <c r="B14" s="26" t="s">
        <v>274</v>
      </c>
      <c r="C14" s="19">
        <v>2</v>
      </c>
      <c r="D14" s="19">
        <v>9</v>
      </c>
      <c r="E14" s="19">
        <v>1</v>
      </c>
      <c r="F14" s="19">
        <v>8</v>
      </c>
      <c r="G14" s="19">
        <v>6</v>
      </c>
      <c r="H14" s="19">
        <v>4</v>
      </c>
      <c r="I14" s="13">
        <v>7</v>
      </c>
      <c r="J14" s="33">
        <v>25208187.5</v>
      </c>
      <c r="K14" s="50">
        <v>1</v>
      </c>
      <c r="L14" s="18">
        <v>1777777</v>
      </c>
      <c r="M14" s="18">
        <v>30042</v>
      </c>
      <c r="N14" s="56">
        <v>6</v>
      </c>
      <c r="O14" s="57">
        <v>93</v>
      </c>
      <c r="P14" s="57">
        <v>930</v>
      </c>
      <c r="Q14" s="58">
        <v>9619</v>
      </c>
      <c r="R14" s="59">
        <v>97064</v>
      </c>
      <c r="S14" s="59">
        <v>961897</v>
      </c>
      <c r="U14" s="31">
        <f t="shared" si="8"/>
        <v>1038617</v>
      </c>
      <c r="W14" s="31">
        <f t="shared" si="0"/>
        <v>1777777</v>
      </c>
      <c r="X14" s="31" t="e">
        <f t="shared" si="1"/>
        <v>#VALUE!</v>
      </c>
      <c r="Y14" s="31" t="e">
        <f t="shared" si="2"/>
        <v>#VALUE!</v>
      </c>
      <c r="Z14" s="31" t="e">
        <f t="shared" si="3"/>
        <v>#VALUE!</v>
      </c>
      <c r="AA14" s="31" t="e">
        <f t="shared" si="4"/>
        <v>#VALUE!</v>
      </c>
      <c r="AB14" s="31" t="e">
        <f t="shared" si="5"/>
        <v>#VALUE!</v>
      </c>
      <c r="AC14" s="31" t="e">
        <f t="shared" si="6"/>
        <v>#VALUE!</v>
      </c>
      <c r="AD14" s="31" t="e">
        <f t="shared" si="7"/>
        <v>#VALUE!</v>
      </c>
    </row>
    <row r="15" spans="1:30" x14ac:dyDescent="0.15">
      <c r="A15" s="32">
        <v>8</v>
      </c>
      <c r="B15" s="26" t="s">
        <v>275</v>
      </c>
      <c r="C15" s="19">
        <v>6</v>
      </c>
      <c r="D15" s="19">
        <v>5</v>
      </c>
      <c r="E15" s="19">
        <v>6</v>
      </c>
      <c r="F15" s="19">
        <v>8</v>
      </c>
      <c r="G15" s="19">
        <v>9</v>
      </c>
      <c r="H15" s="19">
        <v>8</v>
      </c>
      <c r="I15" s="13">
        <v>3</v>
      </c>
      <c r="J15" s="33">
        <v>25285262.5</v>
      </c>
      <c r="K15" s="50" t="s">
        <v>23</v>
      </c>
      <c r="L15" s="34"/>
      <c r="M15" s="18">
        <v>1827824.2</v>
      </c>
      <c r="N15" s="56">
        <v>14</v>
      </c>
      <c r="O15" s="57">
        <v>112</v>
      </c>
      <c r="P15" s="57">
        <v>878</v>
      </c>
      <c r="Q15" s="58">
        <v>8899</v>
      </c>
      <c r="R15" s="59">
        <v>88703</v>
      </c>
      <c r="S15" s="59">
        <v>895926</v>
      </c>
      <c r="U15" s="31">
        <f t="shared" si="8"/>
        <v>1069610</v>
      </c>
      <c r="W15" s="31">
        <f t="shared" si="0"/>
        <v>0</v>
      </c>
      <c r="X15" s="31" t="e">
        <f t="shared" si="1"/>
        <v>#VALUE!</v>
      </c>
      <c r="Y15" s="31" t="e">
        <f t="shared" si="2"/>
        <v>#VALUE!</v>
      </c>
      <c r="Z15" s="31" t="e">
        <f t="shared" si="3"/>
        <v>#VALUE!</v>
      </c>
      <c r="AA15" s="31" t="e">
        <f t="shared" si="4"/>
        <v>#VALUE!</v>
      </c>
      <c r="AB15" s="31" t="e">
        <f t="shared" si="5"/>
        <v>#VALUE!</v>
      </c>
      <c r="AC15" s="31" t="e">
        <f t="shared" si="6"/>
        <v>#VALUE!</v>
      </c>
      <c r="AD15" s="31" t="e">
        <f t="shared" si="7"/>
        <v>#VALUE!</v>
      </c>
    </row>
    <row r="16" spans="1:30" x14ac:dyDescent="0.15">
      <c r="A16" s="32">
        <v>9</v>
      </c>
      <c r="B16" s="26" t="s">
        <v>276</v>
      </c>
      <c r="C16" s="19">
        <v>1</v>
      </c>
      <c r="D16" s="19">
        <v>2</v>
      </c>
      <c r="E16" s="19">
        <v>7</v>
      </c>
      <c r="F16" s="19">
        <v>5</v>
      </c>
      <c r="G16" s="19">
        <v>2</v>
      </c>
      <c r="H16" s="19">
        <v>1</v>
      </c>
      <c r="I16" s="13">
        <v>9</v>
      </c>
      <c r="J16" s="33">
        <v>30594930</v>
      </c>
      <c r="K16" s="50">
        <v>1</v>
      </c>
      <c r="L16" s="34">
        <v>3977777</v>
      </c>
      <c r="M16" s="18">
        <v>25346.7</v>
      </c>
      <c r="N16" s="56">
        <v>12</v>
      </c>
      <c r="O16" s="57">
        <v>118</v>
      </c>
      <c r="P16" s="57">
        <v>1107</v>
      </c>
      <c r="Q16" s="58">
        <v>11224</v>
      </c>
      <c r="R16" s="59">
        <v>110774</v>
      </c>
      <c r="S16" s="59">
        <v>1114041</v>
      </c>
      <c r="U16" s="31">
        <f t="shared" si="8"/>
        <v>994532</v>
      </c>
      <c r="W16" s="31">
        <f t="shared" si="0"/>
        <v>3977777</v>
      </c>
      <c r="X16" s="31" t="e">
        <f t="shared" si="1"/>
        <v>#VALUE!</v>
      </c>
      <c r="Y16" s="31" t="e">
        <f t="shared" si="2"/>
        <v>#VALUE!</v>
      </c>
      <c r="Z16" s="31" t="e">
        <f t="shared" si="3"/>
        <v>#VALUE!</v>
      </c>
      <c r="AA16" s="31" t="e">
        <f t="shared" si="4"/>
        <v>#VALUE!</v>
      </c>
      <c r="AB16" s="31" t="e">
        <f t="shared" si="5"/>
        <v>#VALUE!</v>
      </c>
      <c r="AC16" s="31" t="e">
        <f t="shared" si="6"/>
        <v>#VALUE!</v>
      </c>
      <c r="AD16" s="31" t="e">
        <f t="shared" si="7"/>
        <v>#VALUE!</v>
      </c>
    </row>
    <row r="17" spans="1:30" x14ac:dyDescent="0.15">
      <c r="A17" s="32">
        <v>10</v>
      </c>
      <c r="B17" s="26" t="s">
        <v>277</v>
      </c>
      <c r="C17" s="19">
        <v>6</v>
      </c>
      <c r="D17" s="19">
        <v>6</v>
      </c>
      <c r="E17" s="19">
        <v>0</v>
      </c>
      <c r="F17" s="19">
        <v>1</v>
      </c>
      <c r="G17" s="19">
        <v>5</v>
      </c>
      <c r="H17" s="19">
        <v>7</v>
      </c>
      <c r="I17" s="13">
        <v>6</v>
      </c>
      <c r="J17" s="33">
        <v>26272537.5</v>
      </c>
      <c r="K17" s="50">
        <v>1</v>
      </c>
      <c r="L17" s="34">
        <v>1877777</v>
      </c>
      <c r="M17" s="18">
        <v>15547.1</v>
      </c>
      <c r="N17" s="56">
        <v>7</v>
      </c>
      <c r="O17" s="57">
        <v>86</v>
      </c>
      <c r="P17" s="57">
        <v>983</v>
      </c>
      <c r="Q17" s="58">
        <v>10097</v>
      </c>
      <c r="R17" s="59">
        <v>99818</v>
      </c>
      <c r="S17" s="59">
        <v>995740</v>
      </c>
      <c r="U17" s="31">
        <f t="shared" si="8"/>
        <v>1237277</v>
      </c>
      <c r="W17" s="31">
        <f t="shared" si="0"/>
        <v>1877777</v>
      </c>
      <c r="X17" s="31" t="e">
        <f t="shared" si="1"/>
        <v>#VALUE!</v>
      </c>
      <c r="Y17" s="31" t="e">
        <f t="shared" si="2"/>
        <v>#VALUE!</v>
      </c>
      <c r="Z17" s="31" t="e">
        <f t="shared" si="3"/>
        <v>#VALUE!</v>
      </c>
      <c r="AA17" s="31" t="e">
        <f t="shared" si="4"/>
        <v>#VALUE!</v>
      </c>
      <c r="AB17" s="31" t="e">
        <f t="shared" si="5"/>
        <v>#VALUE!</v>
      </c>
      <c r="AC17" s="31" t="e">
        <f t="shared" si="6"/>
        <v>#VALUE!</v>
      </c>
      <c r="AD17" s="31" t="e">
        <f t="shared" si="7"/>
        <v>#VALUE!</v>
      </c>
    </row>
    <row r="18" spans="1:30" x14ac:dyDescent="0.15">
      <c r="A18" s="32">
        <v>11</v>
      </c>
      <c r="B18" s="26" t="s">
        <v>278</v>
      </c>
      <c r="C18" s="19">
        <v>3</v>
      </c>
      <c r="D18" s="19">
        <v>4</v>
      </c>
      <c r="E18" s="19">
        <v>0</v>
      </c>
      <c r="F18" s="19">
        <v>3</v>
      </c>
      <c r="G18" s="19">
        <v>0</v>
      </c>
      <c r="H18" s="19">
        <v>8</v>
      </c>
      <c r="I18" s="13">
        <v>0</v>
      </c>
      <c r="J18" s="33">
        <v>25573100</v>
      </c>
      <c r="K18" s="50">
        <v>1</v>
      </c>
      <c r="L18" s="34">
        <v>1777777</v>
      </c>
      <c r="M18" s="18">
        <v>56017.5</v>
      </c>
      <c r="N18" s="56">
        <v>8</v>
      </c>
      <c r="O18" s="57">
        <v>87</v>
      </c>
      <c r="P18" s="57">
        <v>833</v>
      </c>
      <c r="Q18" s="58">
        <v>8186</v>
      </c>
      <c r="R18" s="59">
        <v>82296</v>
      </c>
      <c r="S18" s="59">
        <v>833665</v>
      </c>
      <c r="U18" s="31">
        <f t="shared" si="8"/>
        <v>1106732</v>
      </c>
      <c r="W18" s="31">
        <f t="shared" si="0"/>
        <v>1777777</v>
      </c>
      <c r="X18" s="31" t="e">
        <f t="shared" si="1"/>
        <v>#VALUE!</v>
      </c>
      <c r="Y18" s="31" t="e">
        <f t="shared" si="2"/>
        <v>#VALUE!</v>
      </c>
      <c r="Z18" s="31" t="e">
        <f t="shared" si="3"/>
        <v>#VALUE!</v>
      </c>
      <c r="AA18" s="31" t="e">
        <f t="shared" si="4"/>
        <v>#VALUE!</v>
      </c>
      <c r="AB18" s="31" t="e">
        <f t="shared" si="5"/>
        <v>#VALUE!</v>
      </c>
      <c r="AC18" s="31" t="e">
        <f t="shared" si="6"/>
        <v>#VALUE!</v>
      </c>
      <c r="AD18" s="31" t="e">
        <f t="shared" si="7"/>
        <v>#VALUE!</v>
      </c>
    </row>
    <row r="19" spans="1:30" x14ac:dyDescent="0.15">
      <c r="A19" s="32">
        <v>12</v>
      </c>
      <c r="B19" s="26" t="s">
        <v>279</v>
      </c>
      <c r="C19" s="19">
        <v>0</v>
      </c>
      <c r="D19" s="19">
        <v>1</v>
      </c>
      <c r="E19" s="19">
        <v>8</v>
      </c>
      <c r="F19" s="19">
        <v>3</v>
      </c>
      <c r="G19" s="19">
        <v>4</v>
      </c>
      <c r="H19" s="19">
        <v>3</v>
      </c>
      <c r="I19" s="13">
        <v>3</v>
      </c>
      <c r="J19" s="33">
        <v>25694020</v>
      </c>
      <c r="K19" s="50">
        <v>1</v>
      </c>
      <c r="L19" s="34">
        <v>1877777</v>
      </c>
      <c r="M19" s="18">
        <v>5085.3</v>
      </c>
      <c r="N19" s="56">
        <v>11</v>
      </c>
      <c r="O19" s="57">
        <v>82</v>
      </c>
      <c r="P19" s="57">
        <v>983</v>
      </c>
      <c r="Q19" s="58">
        <v>9172</v>
      </c>
      <c r="R19" s="59">
        <v>92444</v>
      </c>
      <c r="S19" s="59">
        <v>925518</v>
      </c>
      <c r="U19" s="31">
        <f t="shared" si="8"/>
        <v>925076</v>
      </c>
      <c r="W19" s="31">
        <f t="shared" si="0"/>
        <v>1877777</v>
      </c>
      <c r="X19" s="31" t="e">
        <f t="shared" si="1"/>
        <v>#VALUE!</v>
      </c>
      <c r="Y19" s="31" t="e">
        <f t="shared" si="2"/>
        <v>#VALUE!</v>
      </c>
      <c r="Z19" s="31" t="e">
        <f t="shared" si="3"/>
        <v>#VALUE!</v>
      </c>
      <c r="AA19" s="31" t="e">
        <f t="shared" si="4"/>
        <v>#VALUE!</v>
      </c>
      <c r="AB19" s="31" t="e">
        <f t="shared" si="5"/>
        <v>#VALUE!</v>
      </c>
      <c r="AC19" s="31" t="e">
        <f t="shared" si="6"/>
        <v>#VALUE!</v>
      </c>
      <c r="AD19" s="31" t="e">
        <f t="shared" si="7"/>
        <v>#VALUE!</v>
      </c>
    </row>
    <row r="20" spans="1:30" x14ac:dyDescent="0.15">
      <c r="A20" s="32">
        <v>13</v>
      </c>
      <c r="B20" s="26" t="s">
        <v>280</v>
      </c>
      <c r="C20" s="19">
        <v>7</v>
      </c>
      <c r="D20" s="19">
        <v>6</v>
      </c>
      <c r="E20" s="19">
        <v>5</v>
      </c>
      <c r="F20" s="19">
        <v>5</v>
      </c>
      <c r="G20" s="19">
        <v>6</v>
      </c>
      <c r="H20" s="19">
        <v>6</v>
      </c>
      <c r="I20" s="13">
        <v>0</v>
      </c>
      <c r="J20" s="33">
        <v>25042610</v>
      </c>
      <c r="K20" s="50" t="s">
        <v>23</v>
      </c>
      <c r="L20" s="18"/>
      <c r="M20" s="18">
        <v>1785614.9</v>
      </c>
      <c r="N20" s="56">
        <v>6</v>
      </c>
      <c r="O20" s="57">
        <v>68</v>
      </c>
      <c r="P20" s="57">
        <v>895</v>
      </c>
      <c r="Q20" s="58">
        <v>8328</v>
      </c>
      <c r="R20" s="59">
        <v>81556</v>
      </c>
      <c r="S20" s="59">
        <v>819078</v>
      </c>
      <c r="U20" s="31">
        <f t="shared" si="8"/>
        <v>1028211</v>
      </c>
      <c r="W20" s="31">
        <f t="shared" si="0"/>
        <v>0</v>
      </c>
      <c r="X20" s="31" t="e">
        <f t="shared" si="1"/>
        <v>#VALUE!</v>
      </c>
      <c r="Y20" s="31" t="e">
        <f t="shared" si="2"/>
        <v>#VALUE!</v>
      </c>
      <c r="Z20" s="31" t="e">
        <f t="shared" si="3"/>
        <v>#VALUE!</v>
      </c>
      <c r="AA20" s="31" t="e">
        <f t="shared" si="4"/>
        <v>#VALUE!</v>
      </c>
      <c r="AB20" s="31" t="e">
        <f t="shared" si="5"/>
        <v>#VALUE!</v>
      </c>
      <c r="AC20" s="31" t="e">
        <f t="shared" si="6"/>
        <v>#VALUE!</v>
      </c>
      <c r="AD20" s="31" t="e">
        <f t="shared" si="7"/>
        <v>#VALUE!</v>
      </c>
    </row>
    <row r="21" spans="1:30" x14ac:dyDescent="0.15">
      <c r="A21" s="32">
        <v>14</v>
      </c>
      <c r="B21" s="26" t="s">
        <v>281</v>
      </c>
      <c r="C21" s="19">
        <v>4</v>
      </c>
      <c r="D21" s="19">
        <v>8</v>
      </c>
      <c r="E21" s="19">
        <v>5</v>
      </c>
      <c r="F21" s="19">
        <v>5</v>
      </c>
      <c r="G21" s="19">
        <v>7</v>
      </c>
      <c r="H21" s="19">
        <v>2</v>
      </c>
      <c r="I21" s="13">
        <v>9</v>
      </c>
      <c r="J21" s="33">
        <v>24722437.5</v>
      </c>
      <c r="K21" s="50">
        <v>1</v>
      </c>
      <c r="L21" s="34">
        <v>3477777</v>
      </c>
      <c r="M21" s="18">
        <v>65603.199999999997</v>
      </c>
      <c r="N21" s="56">
        <v>6</v>
      </c>
      <c r="O21" s="57">
        <v>95</v>
      </c>
      <c r="P21" s="57">
        <v>925</v>
      </c>
      <c r="Q21" s="58">
        <v>8650</v>
      </c>
      <c r="R21" s="59">
        <v>89086</v>
      </c>
      <c r="S21" s="59">
        <v>884193</v>
      </c>
      <c r="U21" s="31">
        <f t="shared" si="8"/>
        <v>909931</v>
      </c>
      <c r="W21" s="31">
        <f t="shared" si="0"/>
        <v>3477777</v>
      </c>
      <c r="X21" s="31" t="e">
        <f t="shared" si="1"/>
        <v>#VALUE!</v>
      </c>
      <c r="Y21" s="31" t="e">
        <f t="shared" si="2"/>
        <v>#VALUE!</v>
      </c>
      <c r="Z21" s="31" t="e">
        <f t="shared" si="3"/>
        <v>#VALUE!</v>
      </c>
      <c r="AA21" s="31" t="e">
        <f t="shared" si="4"/>
        <v>#VALUE!</v>
      </c>
      <c r="AB21" s="31" t="e">
        <f t="shared" si="5"/>
        <v>#VALUE!</v>
      </c>
      <c r="AC21" s="31" t="e">
        <f t="shared" si="6"/>
        <v>#VALUE!</v>
      </c>
      <c r="AD21" s="31" t="e">
        <f t="shared" si="7"/>
        <v>#VALUE!</v>
      </c>
    </row>
    <row r="22" spans="1:30" x14ac:dyDescent="0.15">
      <c r="A22" s="32">
        <v>15</v>
      </c>
      <c r="B22" s="26" t="s">
        <v>282</v>
      </c>
      <c r="C22" s="19">
        <v>6</v>
      </c>
      <c r="D22" s="19">
        <v>2</v>
      </c>
      <c r="E22" s="19">
        <v>1</v>
      </c>
      <c r="F22" s="19">
        <v>3</v>
      </c>
      <c r="G22" s="19">
        <v>1</v>
      </c>
      <c r="H22" s="19">
        <v>6</v>
      </c>
      <c r="I22" s="13">
        <v>8</v>
      </c>
      <c r="J22" s="33">
        <v>25072810</v>
      </c>
      <c r="K22" s="50" t="s">
        <v>23</v>
      </c>
      <c r="L22" s="18"/>
      <c r="M22" s="18">
        <v>1848280</v>
      </c>
      <c r="N22" s="56">
        <v>15</v>
      </c>
      <c r="O22" s="57">
        <v>98</v>
      </c>
      <c r="P22" s="57">
        <v>953</v>
      </c>
      <c r="Q22" s="58">
        <v>9549</v>
      </c>
      <c r="R22" s="59">
        <v>93163</v>
      </c>
      <c r="S22" s="59">
        <v>924909</v>
      </c>
      <c r="U22" s="31">
        <f t="shared" si="8"/>
        <v>982956</v>
      </c>
      <c r="W22" s="31">
        <f t="shared" si="0"/>
        <v>0</v>
      </c>
      <c r="X22" s="31" t="e">
        <f t="shared" si="1"/>
        <v>#VALUE!</v>
      </c>
      <c r="Y22" s="31" t="e">
        <f t="shared" si="2"/>
        <v>#VALUE!</v>
      </c>
      <c r="Z22" s="31" t="e">
        <f t="shared" si="3"/>
        <v>#VALUE!</v>
      </c>
      <c r="AA22" s="31" t="e">
        <f t="shared" si="4"/>
        <v>#VALUE!</v>
      </c>
      <c r="AB22" s="31" t="e">
        <f t="shared" si="5"/>
        <v>#VALUE!</v>
      </c>
      <c r="AC22" s="31" t="e">
        <f t="shared" si="6"/>
        <v>#VALUE!</v>
      </c>
      <c r="AD22" s="31" t="e">
        <f t="shared" si="7"/>
        <v>#VALUE!</v>
      </c>
    </row>
    <row r="23" spans="1:30" x14ac:dyDescent="0.15">
      <c r="A23" s="32">
        <v>16</v>
      </c>
      <c r="B23" s="26" t="s">
        <v>283</v>
      </c>
      <c r="C23" s="19">
        <v>6</v>
      </c>
      <c r="D23" s="19">
        <v>2</v>
      </c>
      <c r="E23" s="19">
        <v>5</v>
      </c>
      <c r="F23" s="19">
        <v>0</v>
      </c>
      <c r="G23" s="19">
        <v>6</v>
      </c>
      <c r="H23" s="19">
        <v>5</v>
      </c>
      <c r="I23" s="13">
        <v>2</v>
      </c>
      <c r="J23" s="33">
        <v>26137432.5</v>
      </c>
      <c r="K23" s="50">
        <v>1</v>
      </c>
      <c r="L23" s="34">
        <v>3677777</v>
      </c>
      <c r="M23" s="18">
        <v>28874.5</v>
      </c>
      <c r="N23" s="56">
        <v>8</v>
      </c>
      <c r="O23" s="57">
        <v>92</v>
      </c>
      <c r="P23" s="57">
        <v>927</v>
      </c>
      <c r="Q23" s="58">
        <v>9118</v>
      </c>
      <c r="R23" s="59">
        <v>91716</v>
      </c>
      <c r="S23" s="59">
        <v>903003</v>
      </c>
      <c r="U23" s="31">
        <f t="shared" si="8"/>
        <v>1028687</v>
      </c>
      <c r="W23" s="31">
        <f t="shared" si="0"/>
        <v>3677777</v>
      </c>
      <c r="X23" s="31" t="e">
        <f t="shared" si="1"/>
        <v>#VALUE!</v>
      </c>
      <c r="Y23" s="31" t="e">
        <f t="shared" si="2"/>
        <v>#VALUE!</v>
      </c>
      <c r="Z23" s="31" t="e">
        <f t="shared" si="3"/>
        <v>#VALUE!</v>
      </c>
      <c r="AA23" s="31" t="e">
        <f t="shared" si="4"/>
        <v>#VALUE!</v>
      </c>
      <c r="AB23" s="31" t="e">
        <f t="shared" si="5"/>
        <v>#VALUE!</v>
      </c>
      <c r="AC23" s="31" t="e">
        <f t="shared" si="6"/>
        <v>#VALUE!</v>
      </c>
      <c r="AD23" s="31" t="e">
        <f t="shared" si="7"/>
        <v>#VALUE!</v>
      </c>
    </row>
    <row r="24" spans="1:30" x14ac:dyDescent="0.15">
      <c r="A24" s="32">
        <v>17</v>
      </c>
      <c r="B24" s="26" t="s">
        <v>284</v>
      </c>
      <c r="C24" s="19">
        <v>6</v>
      </c>
      <c r="D24" s="19">
        <v>7</v>
      </c>
      <c r="E24" s="19">
        <v>6</v>
      </c>
      <c r="F24" s="19">
        <v>4</v>
      </c>
      <c r="G24" s="19">
        <v>0</v>
      </c>
      <c r="H24" s="19">
        <v>0</v>
      </c>
      <c r="I24" s="13">
        <v>8</v>
      </c>
      <c r="J24" s="33">
        <v>25892792.5</v>
      </c>
      <c r="K24" s="50" t="s">
        <v>23</v>
      </c>
      <c r="L24" s="18"/>
      <c r="M24" s="18">
        <v>1869852</v>
      </c>
      <c r="N24" s="56">
        <v>8</v>
      </c>
      <c r="O24" s="57">
        <v>84</v>
      </c>
      <c r="P24" s="57">
        <v>815</v>
      </c>
      <c r="Q24" s="58">
        <v>7993</v>
      </c>
      <c r="R24" s="59">
        <v>88877</v>
      </c>
      <c r="S24" s="59">
        <v>951067</v>
      </c>
      <c r="U24" s="31">
        <f t="shared" si="8"/>
        <v>1004865</v>
      </c>
      <c r="W24" s="31">
        <f t="shared" si="0"/>
        <v>0</v>
      </c>
      <c r="X24" s="31" t="e">
        <f t="shared" si="1"/>
        <v>#VALUE!</v>
      </c>
      <c r="Y24" s="31" t="e">
        <f t="shared" si="2"/>
        <v>#VALUE!</v>
      </c>
      <c r="Z24" s="31" t="e">
        <f t="shared" si="3"/>
        <v>#VALUE!</v>
      </c>
      <c r="AA24" s="31" t="e">
        <f t="shared" si="4"/>
        <v>#VALUE!</v>
      </c>
      <c r="AB24" s="31" t="e">
        <f t="shared" si="5"/>
        <v>#VALUE!</v>
      </c>
      <c r="AC24" s="31" t="e">
        <f t="shared" si="6"/>
        <v>#VALUE!</v>
      </c>
      <c r="AD24" s="31" t="e">
        <f t="shared" si="7"/>
        <v>#VALUE!</v>
      </c>
    </row>
    <row r="25" spans="1:30" x14ac:dyDescent="0.15">
      <c r="A25" s="32">
        <v>18</v>
      </c>
      <c r="B25" s="26" t="s">
        <v>285</v>
      </c>
      <c r="C25" s="19">
        <v>5</v>
      </c>
      <c r="D25" s="19">
        <v>4</v>
      </c>
      <c r="E25" s="19">
        <v>7</v>
      </c>
      <c r="F25" s="19">
        <v>1</v>
      </c>
      <c r="G25" s="19">
        <v>0</v>
      </c>
      <c r="H25" s="19">
        <v>2</v>
      </c>
      <c r="I25" s="13">
        <v>5</v>
      </c>
      <c r="J25" s="33">
        <v>24367995</v>
      </c>
      <c r="K25" s="50" t="s">
        <v>23</v>
      </c>
      <c r="L25" s="34"/>
      <c r="M25" s="18">
        <v>3602416.4</v>
      </c>
      <c r="N25" s="56">
        <v>9</v>
      </c>
      <c r="O25" s="57">
        <v>98</v>
      </c>
      <c r="P25" s="57">
        <v>945</v>
      </c>
      <c r="Q25" s="58">
        <v>9455</v>
      </c>
      <c r="R25" s="59">
        <v>97236</v>
      </c>
      <c r="S25" s="59">
        <v>947311</v>
      </c>
      <c r="U25" s="31">
        <f t="shared" si="8"/>
        <v>1048844</v>
      </c>
      <c r="W25" s="31">
        <f t="shared" si="0"/>
        <v>0</v>
      </c>
      <c r="X25" s="31" t="e">
        <f t="shared" si="1"/>
        <v>#VALUE!</v>
      </c>
      <c r="Y25" s="31" t="e">
        <f t="shared" si="2"/>
        <v>#VALUE!</v>
      </c>
      <c r="Z25" s="31" t="e">
        <f t="shared" si="3"/>
        <v>#VALUE!</v>
      </c>
      <c r="AA25" s="31" t="e">
        <f t="shared" si="4"/>
        <v>#VALUE!</v>
      </c>
      <c r="AB25" s="31" t="e">
        <f t="shared" si="5"/>
        <v>#VALUE!</v>
      </c>
      <c r="AC25" s="31" t="e">
        <f t="shared" si="6"/>
        <v>#VALUE!</v>
      </c>
      <c r="AD25" s="31" t="e">
        <f t="shared" si="7"/>
        <v>#VALUE!</v>
      </c>
    </row>
    <row r="26" spans="1:30" x14ac:dyDescent="0.15">
      <c r="A26" s="32">
        <v>19</v>
      </c>
      <c r="B26" s="26" t="s">
        <v>286</v>
      </c>
      <c r="C26" s="19">
        <v>0</v>
      </c>
      <c r="D26" s="19">
        <v>8</v>
      </c>
      <c r="E26" s="19">
        <v>7</v>
      </c>
      <c r="F26" s="19">
        <v>8</v>
      </c>
      <c r="G26" s="19">
        <v>9</v>
      </c>
      <c r="H26" s="19">
        <v>7</v>
      </c>
      <c r="I26" s="13">
        <v>2</v>
      </c>
      <c r="J26" s="33">
        <v>24356480</v>
      </c>
      <c r="K26" s="50">
        <v>1</v>
      </c>
      <c r="L26" s="34">
        <v>5277777</v>
      </c>
      <c r="M26" s="18">
        <v>56385.1</v>
      </c>
      <c r="N26" s="56">
        <v>10</v>
      </c>
      <c r="O26" s="57">
        <v>88</v>
      </c>
      <c r="P26" s="57">
        <v>823</v>
      </c>
      <c r="Q26" s="58">
        <v>8496</v>
      </c>
      <c r="R26" s="59">
        <v>85424</v>
      </c>
      <c r="S26" s="59">
        <v>839127</v>
      </c>
      <c r="U26" s="31">
        <f t="shared" si="8"/>
        <v>1055054</v>
      </c>
      <c r="W26" s="31">
        <f t="shared" si="0"/>
        <v>5277777</v>
      </c>
      <c r="X26" s="31" t="e">
        <f t="shared" si="1"/>
        <v>#VALUE!</v>
      </c>
      <c r="Y26" s="31" t="e">
        <f t="shared" si="2"/>
        <v>#VALUE!</v>
      </c>
      <c r="Z26" s="31" t="e">
        <f t="shared" si="3"/>
        <v>#VALUE!</v>
      </c>
      <c r="AA26" s="31" t="e">
        <f t="shared" si="4"/>
        <v>#VALUE!</v>
      </c>
      <c r="AB26" s="31" t="e">
        <f t="shared" si="5"/>
        <v>#VALUE!</v>
      </c>
      <c r="AC26" s="31" t="e">
        <f t="shared" si="6"/>
        <v>#VALUE!</v>
      </c>
      <c r="AD26" s="31" t="e">
        <f t="shared" si="7"/>
        <v>#VALUE!</v>
      </c>
    </row>
    <row r="27" spans="1:30" x14ac:dyDescent="0.15">
      <c r="A27" s="32">
        <v>20</v>
      </c>
      <c r="B27" s="26" t="s">
        <v>287</v>
      </c>
      <c r="C27" s="19">
        <v>3</v>
      </c>
      <c r="D27" s="19">
        <v>7</v>
      </c>
      <c r="E27" s="19">
        <v>1</v>
      </c>
      <c r="F27" s="19">
        <v>4</v>
      </c>
      <c r="G27" s="19">
        <v>0</v>
      </c>
      <c r="H27" s="19">
        <v>3</v>
      </c>
      <c r="I27" s="13">
        <v>1</v>
      </c>
      <c r="J27" s="33">
        <v>24658035</v>
      </c>
      <c r="K27" s="50">
        <v>2</v>
      </c>
      <c r="L27" s="34">
        <v>877777</v>
      </c>
      <c r="M27" s="18">
        <v>54017.4</v>
      </c>
      <c r="N27" s="56">
        <v>11</v>
      </c>
      <c r="O27" s="57">
        <v>79</v>
      </c>
      <c r="P27" s="57">
        <v>856</v>
      </c>
      <c r="Q27" s="58">
        <v>8145</v>
      </c>
      <c r="R27" s="59">
        <v>83507</v>
      </c>
      <c r="S27" s="59">
        <v>828083</v>
      </c>
      <c r="U27" s="31">
        <f t="shared" si="8"/>
        <v>933969</v>
      </c>
      <c r="W27" s="31">
        <f t="shared" si="0"/>
        <v>1755554</v>
      </c>
      <c r="X27" s="31" t="e">
        <f t="shared" si="1"/>
        <v>#VALUE!</v>
      </c>
      <c r="Y27" s="31" t="e">
        <f t="shared" si="2"/>
        <v>#VALUE!</v>
      </c>
      <c r="Z27" s="31" t="e">
        <f t="shared" si="3"/>
        <v>#VALUE!</v>
      </c>
      <c r="AA27" s="31" t="e">
        <f t="shared" si="4"/>
        <v>#VALUE!</v>
      </c>
      <c r="AB27" s="31" t="e">
        <f t="shared" si="5"/>
        <v>#VALUE!</v>
      </c>
      <c r="AC27" s="31" t="e">
        <f t="shared" si="6"/>
        <v>#VALUE!</v>
      </c>
      <c r="AD27" s="31" t="e">
        <f t="shared" si="7"/>
        <v>#VALUE!</v>
      </c>
    </row>
    <row r="28" spans="1:30" x14ac:dyDescent="0.15">
      <c r="A28" s="32">
        <v>21</v>
      </c>
      <c r="B28" s="26" t="s">
        <v>288</v>
      </c>
      <c r="C28" s="19">
        <v>0</v>
      </c>
      <c r="D28" s="19">
        <v>3</v>
      </c>
      <c r="E28" s="19">
        <v>8</v>
      </c>
      <c r="F28" s="19">
        <v>8</v>
      </c>
      <c r="G28" s="19">
        <v>6</v>
      </c>
      <c r="H28" s="19">
        <v>3</v>
      </c>
      <c r="I28" s="13">
        <v>0</v>
      </c>
      <c r="J28" s="33">
        <v>24037712.5</v>
      </c>
      <c r="K28" s="50">
        <v>1</v>
      </c>
      <c r="L28" s="34">
        <v>1677777</v>
      </c>
      <c r="M28" s="18">
        <v>85321.8</v>
      </c>
      <c r="N28" s="56">
        <v>6</v>
      </c>
      <c r="O28" s="57">
        <v>81</v>
      </c>
      <c r="P28" s="57">
        <v>791</v>
      </c>
      <c r="Q28" s="58">
        <v>7923</v>
      </c>
      <c r="R28" s="59">
        <v>79889</v>
      </c>
      <c r="S28" s="59">
        <v>792995</v>
      </c>
      <c r="U28" s="31">
        <f t="shared" si="8"/>
        <v>920683</v>
      </c>
      <c r="W28" s="31">
        <f t="shared" si="0"/>
        <v>1677777</v>
      </c>
      <c r="X28" s="31" t="e">
        <f t="shared" si="1"/>
        <v>#VALUE!</v>
      </c>
      <c r="Y28" s="31" t="e">
        <f t="shared" si="2"/>
        <v>#VALUE!</v>
      </c>
      <c r="Z28" s="31" t="e">
        <f t="shared" si="3"/>
        <v>#VALUE!</v>
      </c>
      <c r="AA28" s="31" t="e">
        <f t="shared" si="4"/>
        <v>#VALUE!</v>
      </c>
      <c r="AB28" s="31" t="e">
        <f t="shared" si="5"/>
        <v>#VALUE!</v>
      </c>
      <c r="AC28" s="31" t="e">
        <f t="shared" si="6"/>
        <v>#VALUE!</v>
      </c>
      <c r="AD28" s="31" t="e">
        <f t="shared" si="7"/>
        <v>#VALUE!</v>
      </c>
    </row>
    <row r="29" spans="1:30" x14ac:dyDescent="0.15">
      <c r="A29" s="32">
        <v>22</v>
      </c>
      <c r="B29" s="26" t="s">
        <v>289</v>
      </c>
      <c r="C29" s="19">
        <v>4</v>
      </c>
      <c r="D29" s="19">
        <v>2</v>
      </c>
      <c r="E29" s="19">
        <v>5</v>
      </c>
      <c r="F29" s="19">
        <v>9</v>
      </c>
      <c r="G29" s="19">
        <v>3</v>
      </c>
      <c r="H29" s="19">
        <v>3</v>
      </c>
      <c r="I29" s="13">
        <v>9</v>
      </c>
      <c r="J29" s="33">
        <v>24199182.5</v>
      </c>
      <c r="K29" s="50">
        <v>2</v>
      </c>
      <c r="L29" s="18">
        <v>877777</v>
      </c>
      <c r="M29" s="18">
        <v>50329.7</v>
      </c>
      <c r="N29" s="56">
        <v>9</v>
      </c>
      <c r="O29" s="57">
        <v>113</v>
      </c>
      <c r="P29" s="57">
        <v>868</v>
      </c>
      <c r="Q29" s="58">
        <v>8950</v>
      </c>
      <c r="R29" s="59">
        <v>89957</v>
      </c>
      <c r="S29" s="59">
        <v>888428</v>
      </c>
      <c r="U29" s="31">
        <f t="shared" si="8"/>
        <v>881686</v>
      </c>
      <c r="W29" s="31">
        <f t="shared" si="0"/>
        <v>1755554</v>
      </c>
      <c r="X29" s="31" t="e">
        <f t="shared" si="1"/>
        <v>#VALUE!</v>
      </c>
      <c r="Y29" s="31" t="e">
        <f t="shared" si="2"/>
        <v>#VALUE!</v>
      </c>
      <c r="Z29" s="31" t="e">
        <f t="shared" si="3"/>
        <v>#VALUE!</v>
      </c>
      <c r="AA29" s="31" t="e">
        <f t="shared" si="4"/>
        <v>#VALUE!</v>
      </c>
      <c r="AB29" s="31" t="e">
        <f t="shared" si="5"/>
        <v>#VALUE!</v>
      </c>
      <c r="AC29" s="31" t="e">
        <f t="shared" si="6"/>
        <v>#VALUE!</v>
      </c>
      <c r="AD29" s="31" t="e">
        <f t="shared" si="7"/>
        <v>#VALUE!</v>
      </c>
    </row>
    <row r="30" spans="1:30" x14ac:dyDescent="0.15">
      <c r="A30" s="32">
        <v>23</v>
      </c>
      <c r="B30" s="26" t="s">
        <v>290</v>
      </c>
      <c r="C30" s="19">
        <v>8</v>
      </c>
      <c r="D30" s="19">
        <v>5</v>
      </c>
      <c r="E30" s="19">
        <v>2</v>
      </c>
      <c r="F30" s="19">
        <v>1</v>
      </c>
      <c r="G30" s="19">
        <v>3</v>
      </c>
      <c r="H30" s="19">
        <v>5</v>
      </c>
      <c r="I30" s="13">
        <v>1</v>
      </c>
      <c r="J30" s="33">
        <v>23954345</v>
      </c>
      <c r="K30" s="50" t="s">
        <v>23</v>
      </c>
      <c r="L30" s="35"/>
      <c r="M30" s="18">
        <v>1753483.6</v>
      </c>
      <c r="N30" s="56">
        <v>7</v>
      </c>
      <c r="O30" s="57">
        <v>84</v>
      </c>
      <c r="P30" s="57">
        <v>821</v>
      </c>
      <c r="Q30" s="58">
        <v>8168</v>
      </c>
      <c r="R30" s="59">
        <v>79894</v>
      </c>
      <c r="S30" s="59">
        <v>794418</v>
      </c>
      <c r="U30" s="31">
        <f t="shared" si="8"/>
        <v>988327</v>
      </c>
      <c r="W30" s="31">
        <f t="shared" si="0"/>
        <v>0</v>
      </c>
      <c r="X30" s="31" t="e">
        <f t="shared" si="1"/>
        <v>#VALUE!</v>
      </c>
      <c r="Y30" s="31" t="e">
        <f t="shared" si="2"/>
        <v>#VALUE!</v>
      </c>
      <c r="Z30" s="31" t="e">
        <f t="shared" si="3"/>
        <v>#VALUE!</v>
      </c>
      <c r="AA30" s="31" t="e">
        <f t="shared" si="4"/>
        <v>#VALUE!</v>
      </c>
      <c r="AB30" s="31" t="e">
        <f t="shared" si="5"/>
        <v>#VALUE!</v>
      </c>
      <c r="AC30" s="31" t="e">
        <f t="shared" si="6"/>
        <v>#VALUE!</v>
      </c>
      <c r="AD30" s="31" t="e">
        <f t="shared" si="7"/>
        <v>#VALUE!</v>
      </c>
    </row>
    <row r="31" spans="1:30" x14ac:dyDescent="0.15">
      <c r="A31" s="32">
        <v>24</v>
      </c>
      <c r="B31" s="26" t="s">
        <v>291</v>
      </c>
      <c r="C31" s="19">
        <v>3</v>
      </c>
      <c r="D31" s="19">
        <v>4</v>
      </c>
      <c r="E31" s="19">
        <v>6</v>
      </c>
      <c r="F31" s="19">
        <v>0</v>
      </c>
      <c r="G31" s="19">
        <v>5</v>
      </c>
      <c r="H31" s="19">
        <v>4</v>
      </c>
      <c r="I31" s="13">
        <v>6</v>
      </c>
      <c r="J31" s="33">
        <v>24702075</v>
      </c>
      <c r="K31" s="50">
        <v>2</v>
      </c>
      <c r="L31" s="34">
        <v>1677777</v>
      </c>
      <c r="M31" s="18">
        <v>154247.1</v>
      </c>
      <c r="N31" s="56">
        <v>9</v>
      </c>
      <c r="O31" s="57">
        <v>88</v>
      </c>
      <c r="P31" s="57">
        <v>891</v>
      </c>
      <c r="Q31" s="58">
        <v>9552</v>
      </c>
      <c r="R31" s="59">
        <v>93992</v>
      </c>
      <c r="S31" s="59">
        <v>927123</v>
      </c>
      <c r="U31" s="31">
        <f t="shared" si="8"/>
        <v>883392</v>
      </c>
      <c r="W31" s="31">
        <f t="shared" si="0"/>
        <v>3355554</v>
      </c>
      <c r="X31" s="31" t="e">
        <f t="shared" si="1"/>
        <v>#VALUE!</v>
      </c>
      <c r="Y31" s="31" t="e">
        <f t="shared" si="2"/>
        <v>#VALUE!</v>
      </c>
      <c r="Z31" s="31" t="e">
        <f t="shared" si="3"/>
        <v>#VALUE!</v>
      </c>
      <c r="AA31" s="31" t="e">
        <f t="shared" si="4"/>
        <v>#VALUE!</v>
      </c>
      <c r="AB31" s="31" t="e">
        <f t="shared" si="5"/>
        <v>#VALUE!</v>
      </c>
      <c r="AC31" s="31" t="e">
        <f t="shared" si="6"/>
        <v>#VALUE!</v>
      </c>
      <c r="AD31" s="31" t="e">
        <f t="shared" si="7"/>
        <v>#VALUE!</v>
      </c>
    </row>
    <row r="32" spans="1:30" x14ac:dyDescent="0.15">
      <c r="A32" s="32">
        <v>25</v>
      </c>
      <c r="B32" s="26" t="s">
        <v>292</v>
      </c>
      <c r="C32" s="19">
        <v>3</v>
      </c>
      <c r="D32" s="19">
        <v>6</v>
      </c>
      <c r="E32" s="19">
        <v>4</v>
      </c>
      <c r="F32" s="19">
        <v>5</v>
      </c>
      <c r="G32" s="19">
        <v>0</v>
      </c>
      <c r="H32" s="19">
        <v>8</v>
      </c>
      <c r="I32" s="13">
        <v>3</v>
      </c>
      <c r="J32" s="33">
        <v>24038087.5</v>
      </c>
      <c r="K32" s="50">
        <v>2</v>
      </c>
      <c r="L32" s="18">
        <v>877777</v>
      </c>
      <c r="M32" s="18">
        <v>107801.1</v>
      </c>
      <c r="N32" s="56">
        <v>4</v>
      </c>
      <c r="O32" s="57">
        <v>79</v>
      </c>
      <c r="P32" s="57">
        <v>854</v>
      </c>
      <c r="Q32" s="58">
        <v>8442</v>
      </c>
      <c r="R32" s="59">
        <v>85618</v>
      </c>
      <c r="S32" s="59">
        <v>871459</v>
      </c>
      <c r="U32" s="31">
        <f t="shared" si="8"/>
        <v>1031657</v>
      </c>
      <c r="W32" s="31">
        <f t="shared" si="0"/>
        <v>1755554</v>
      </c>
      <c r="X32" s="31" t="e">
        <f t="shared" si="1"/>
        <v>#VALUE!</v>
      </c>
      <c r="Y32" s="31" t="e">
        <f t="shared" si="2"/>
        <v>#VALUE!</v>
      </c>
      <c r="Z32" s="31" t="e">
        <f t="shared" si="3"/>
        <v>#VALUE!</v>
      </c>
      <c r="AA32" s="31" t="e">
        <f t="shared" si="4"/>
        <v>#VALUE!</v>
      </c>
      <c r="AB32" s="31" t="e">
        <f t="shared" si="5"/>
        <v>#VALUE!</v>
      </c>
      <c r="AC32" s="31" t="e">
        <f t="shared" si="6"/>
        <v>#VALUE!</v>
      </c>
      <c r="AD32" s="31" t="e">
        <f t="shared" si="7"/>
        <v>#VALUE!</v>
      </c>
    </row>
    <row r="33" spans="1:30" x14ac:dyDescent="0.15">
      <c r="A33" s="32">
        <v>26</v>
      </c>
      <c r="B33" s="26" t="s">
        <v>293</v>
      </c>
      <c r="C33" s="19">
        <v>3</v>
      </c>
      <c r="D33" s="19">
        <v>0</v>
      </c>
      <c r="E33" s="19">
        <v>7</v>
      </c>
      <c r="F33" s="19">
        <v>5</v>
      </c>
      <c r="G33" s="19">
        <v>5</v>
      </c>
      <c r="H33" s="19">
        <v>8</v>
      </c>
      <c r="I33" s="13">
        <v>8</v>
      </c>
      <c r="J33" s="33">
        <v>24292120</v>
      </c>
      <c r="K33" s="50" t="s">
        <v>23</v>
      </c>
      <c r="L33" s="34"/>
      <c r="M33" s="18">
        <v>1834970.8</v>
      </c>
      <c r="N33" s="56">
        <v>6</v>
      </c>
      <c r="O33" s="57">
        <v>88</v>
      </c>
      <c r="P33" s="57">
        <v>942</v>
      </c>
      <c r="Q33" s="58">
        <v>9028</v>
      </c>
      <c r="R33" s="59">
        <v>89807</v>
      </c>
      <c r="S33" s="59">
        <v>907558</v>
      </c>
      <c r="U33" s="31">
        <f t="shared" si="8"/>
        <v>966458</v>
      </c>
      <c r="W33" s="31">
        <f t="shared" si="0"/>
        <v>0</v>
      </c>
      <c r="X33" s="31" t="e">
        <f t="shared" si="1"/>
        <v>#VALUE!</v>
      </c>
      <c r="Y33" s="31" t="e">
        <f t="shared" si="2"/>
        <v>#VALUE!</v>
      </c>
      <c r="Z33" s="31" t="e">
        <f t="shared" si="3"/>
        <v>#VALUE!</v>
      </c>
      <c r="AA33" s="31" t="e">
        <f t="shared" si="4"/>
        <v>#VALUE!</v>
      </c>
      <c r="AB33" s="31" t="e">
        <f t="shared" si="5"/>
        <v>#VALUE!</v>
      </c>
      <c r="AC33" s="31" t="e">
        <f t="shared" si="6"/>
        <v>#VALUE!</v>
      </c>
      <c r="AD33" s="31" t="e">
        <f t="shared" si="7"/>
        <v>#VALUE!</v>
      </c>
    </row>
    <row r="34" spans="1:30" x14ac:dyDescent="0.15">
      <c r="A34" s="32">
        <v>27</v>
      </c>
      <c r="B34" s="26" t="s">
        <v>294</v>
      </c>
      <c r="C34" s="19">
        <v>6</v>
      </c>
      <c r="D34" s="19">
        <v>2</v>
      </c>
      <c r="E34" s="19">
        <v>3</v>
      </c>
      <c r="F34" s="19">
        <v>0</v>
      </c>
      <c r="G34" s="19">
        <v>8</v>
      </c>
      <c r="H34" s="19">
        <v>6</v>
      </c>
      <c r="I34" s="13">
        <v>1</v>
      </c>
      <c r="J34" s="33">
        <v>25022100</v>
      </c>
      <c r="K34" s="50" t="s">
        <v>23</v>
      </c>
      <c r="L34" s="18"/>
      <c r="M34" s="18">
        <v>3614042.1</v>
      </c>
      <c r="N34" s="56">
        <v>9</v>
      </c>
      <c r="O34" s="57">
        <v>91</v>
      </c>
      <c r="P34" s="57">
        <v>758</v>
      </c>
      <c r="Q34" s="58">
        <v>8217</v>
      </c>
      <c r="R34" s="59">
        <v>82957</v>
      </c>
      <c r="S34" s="59">
        <v>825545</v>
      </c>
      <c r="U34" s="31">
        <f t="shared" si="8"/>
        <v>1007429</v>
      </c>
      <c r="W34" s="31">
        <f t="shared" si="0"/>
        <v>0</v>
      </c>
      <c r="X34" s="31" t="e">
        <f t="shared" si="1"/>
        <v>#VALUE!</v>
      </c>
      <c r="Y34" s="31" t="e">
        <f t="shared" si="2"/>
        <v>#VALUE!</v>
      </c>
      <c r="Z34" s="31" t="e">
        <f t="shared" si="3"/>
        <v>#VALUE!</v>
      </c>
      <c r="AA34" s="31" t="e">
        <f t="shared" si="4"/>
        <v>#VALUE!</v>
      </c>
      <c r="AB34" s="31" t="e">
        <f t="shared" si="5"/>
        <v>#VALUE!</v>
      </c>
      <c r="AC34" s="31" t="e">
        <f t="shared" si="6"/>
        <v>#VALUE!</v>
      </c>
      <c r="AD34" s="31" t="e">
        <f t="shared" si="7"/>
        <v>#VALUE!</v>
      </c>
    </row>
    <row r="35" spans="1:30" x14ac:dyDescent="0.15">
      <c r="A35" s="32">
        <v>28</v>
      </c>
      <c r="B35" s="26" t="s">
        <v>295</v>
      </c>
      <c r="C35" s="19">
        <v>5</v>
      </c>
      <c r="D35" s="19">
        <v>4</v>
      </c>
      <c r="E35" s="19">
        <v>8</v>
      </c>
      <c r="F35" s="19">
        <v>6</v>
      </c>
      <c r="G35" s="19">
        <v>3</v>
      </c>
      <c r="H35" s="19">
        <v>9</v>
      </c>
      <c r="I35" s="13">
        <v>8</v>
      </c>
      <c r="J35" s="33">
        <v>23994087.5</v>
      </c>
      <c r="K35" s="50" t="s">
        <v>23</v>
      </c>
      <c r="L35" s="18"/>
      <c r="M35" s="18">
        <v>5320021.7</v>
      </c>
      <c r="N35" s="56">
        <v>10</v>
      </c>
      <c r="O35" s="57">
        <v>80</v>
      </c>
      <c r="P35" s="57">
        <v>923</v>
      </c>
      <c r="Q35" s="58">
        <v>8929</v>
      </c>
      <c r="R35" s="59">
        <v>88441</v>
      </c>
      <c r="S35" s="59">
        <v>893265</v>
      </c>
      <c r="T35" s="126"/>
      <c r="U35" s="31">
        <f t="shared" si="8"/>
        <v>917577</v>
      </c>
      <c r="W35" s="31">
        <f t="shared" si="0"/>
        <v>0</v>
      </c>
      <c r="X35" s="31" t="e">
        <f t="shared" si="1"/>
        <v>#VALUE!</v>
      </c>
      <c r="Y35" s="31" t="e">
        <f t="shared" si="2"/>
        <v>#VALUE!</v>
      </c>
      <c r="Z35" s="31" t="e">
        <f t="shared" si="3"/>
        <v>#VALUE!</v>
      </c>
      <c r="AA35" s="31" t="e">
        <f t="shared" si="4"/>
        <v>#VALUE!</v>
      </c>
      <c r="AB35" s="31" t="e">
        <f t="shared" si="5"/>
        <v>#VALUE!</v>
      </c>
      <c r="AC35" s="31" t="e">
        <f t="shared" si="6"/>
        <v>#VALUE!</v>
      </c>
      <c r="AD35" s="31" t="e">
        <f t="shared" si="7"/>
        <v>#VALUE!</v>
      </c>
    </row>
    <row r="36" spans="1:30" x14ac:dyDescent="0.15">
      <c r="A36" s="32">
        <v>29</v>
      </c>
      <c r="B36" s="26" t="s">
        <v>296</v>
      </c>
      <c r="C36" s="19">
        <v>8</v>
      </c>
      <c r="D36" s="19">
        <v>4</v>
      </c>
      <c r="E36" s="19">
        <v>0</v>
      </c>
      <c r="F36" s="19">
        <v>5</v>
      </c>
      <c r="G36" s="19">
        <v>0</v>
      </c>
      <c r="H36" s="19">
        <v>3</v>
      </c>
      <c r="I36" s="13">
        <v>1</v>
      </c>
      <c r="J36" s="33">
        <v>24266185</v>
      </c>
      <c r="K36" s="50">
        <v>1</v>
      </c>
      <c r="L36" s="18">
        <v>6977777</v>
      </c>
      <c r="M36" s="18">
        <v>67570.5</v>
      </c>
      <c r="N36" s="56">
        <v>9</v>
      </c>
      <c r="O36" s="57">
        <v>69</v>
      </c>
      <c r="P36" s="57">
        <v>798</v>
      </c>
      <c r="Q36" s="58">
        <v>8080</v>
      </c>
      <c r="R36" s="59">
        <v>81089</v>
      </c>
      <c r="S36" s="59">
        <v>795862</v>
      </c>
      <c r="U36" s="31">
        <f t="shared" si="8"/>
        <v>991648</v>
      </c>
      <c r="W36" s="31">
        <f t="shared" si="0"/>
        <v>6977777</v>
      </c>
      <c r="X36" s="31" t="e">
        <f t="shared" si="1"/>
        <v>#VALUE!</v>
      </c>
      <c r="Y36" s="31" t="e">
        <f t="shared" si="2"/>
        <v>#VALUE!</v>
      </c>
      <c r="Z36" s="31" t="e">
        <f t="shared" si="3"/>
        <v>#VALUE!</v>
      </c>
      <c r="AA36" s="31" t="e">
        <f t="shared" si="4"/>
        <v>#VALUE!</v>
      </c>
      <c r="AB36" s="31" t="e">
        <f t="shared" si="5"/>
        <v>#VALUE!</v>
      </c>
      <c r="AC36" s="31" t="e">
        <f t="shared" si="6"/>
        <v>#VALUE!</v>
      </c>
      <c r="AD36" s="31" t="e">
        <f t="shared" si="7"/>
        <v>#VALUE!</v>
      </c>
    </row>
    <row r="37" spans="1:30" x14ac:dyDescent="0.15">
      <c r="A37" s="32">
        <v>30</v>
      </c>
      <c r="B37" s="26" t="s">
        <v>297</v>
      </c>
      <c r="C37" s="19">
        <v>6</v>
      </c>
      <c r="D37" s="19">
        <v>9</v>
      </c>
      <c r="E37" s="19">
        <v>1</v>
      </c>
      <c r="F37" s="19">
        <v>1</v>
      </c>
      <c r="G37" s="19">
        <v>2</v>
      </c>
      <c r="H37" s="19">
        <v>0</v>
      </c>
      <c r="I37" s="13">
        <v>6</v>
      </c>
      <c r="J37" s="33">
        <v>24302707.5</v>
      </c>
      <c r="K37" s="50">
        <v>2</v>
      </c>
      <c r="L37" s="18">
        <v>877777</v>
      </c>
      <c r="M37" s="18">
        <v>39939</v>
      </c>
      <c r="N37" s="56">
        <v>6</v>
      </c>
      <c r="O37" s="57">
        <v>81</v>
      </c>
      <c r="P37" s="57">
        <v>822</v>
      </c>
      <c r="Q37" s="58">
        <v>8321</v>
      </c>
      <c r="R37" s="59">
        <v>83531</v>
      </c>
      <c r="S37" s="59">
        <v>925722</v>
      </c>
      <c r="U37" s="31">
        <f t="shared" si="8"/>
        <v>885908</v>
      </c>
      <c r="W37" s="31">
        <f t="shared" si="0"/>
        <v>1755554</v>
      </c>
      <c r="X37" s="31" t="e">
        <f t="shared" si="1"/>
        <v>#VALUE!</v>
      </c>
      <c r="Y37" s="31" t="e">
        <f t="shared" si="2"/>
        <v>#VALUE!</v>
      </c>
      <c r="Z37" s="31" t="e">
        <f t="shared" si="3"/>
        <v>#VALUE!</v>
      </c>
      <c r="AA37" s="31" t="e">
        <f t="shared" si="4"/>
        <v>#VALUE!</v>
      </c>
      <c r="AB37" s="31" t="e">
        <f t="shared" si="5"/>
        <v>#VALUE!</v>
      </c>
      <c r="AC37" s="31" t="e">
        <f t="shared" si="6"/>
        <v>#VALUE!</v>
      </c>
      <c r="AD37" s="31" t="e">
        <f t="shared" si="7"/>
        <v>#VALUE!</v>
      </c>
    </row>
    <row r="38" spans="1:30" x14ac:dyDescent="0.15">
      <c r="A38" s="32">
        <v>31</v>
      </c>
      <c r="B38" s="26" t="s">
        <v>298</v>
      </c>
      <c r="C38" s="19">
        <v>4</v>
      </c>
      <c r="D38" s="19">
        <v>0</v>
      </c>
      <c r="E38" s="19">
        <v>5</v>
      </c>
      <c r="F38" s="19">
        <v>6</v>
      </c>
      <c r="G38" s="19">
        <v>3</v>
      </c>
      <c r="H38" s="19">
        <v>1</v>
      </c>
      <c r="I38" s="13">
        <v>7</v>
      </c>
      <c r="J38" s="33">
        <v>25594677.5</v>
      </c>
      <c r="K38" s="50">
        <v>4</v>
      </c>
      <c r="L38" s="34">
        <v>377777</v>
      </c>
      <c r="M38" s="18">
        <v>348612.6</v>
      </c>
      <c r="N38" s="56">
        <v>8</v>
      </c>
      <c r="O38" s="57">
        <v>111</v>
      </c>
      <c r="P38" s="57">
        <v>1012</v>
      </c>
      <c r="Q38" s="58">
        <v>10008</v>
      </c>
      <c r="R38" s="59">
        <v>98734</v>
      </c>
      <c r="S38" s="59">
        <v>993445</v>
      </c>
      <c r="U38" s="31">
        <f t="shared" si="8"/>
        <v>1018485</v>
      </c>
      <c r="W38" s="31">
        <f t="shared" si="0"/>
        <v>1511108</v>
      </c>
      <c r="X38" s="31" t="e">
        <f t="shared" si="1"/>
        <v>#VALUE!</v>
      </c>
      <c r="Y38" s="31" t="e">
        <f t="shared" si="2"/>
        <v>#VALUE!</v>
      </c>
      <c r="Z38" s="31" t="e">
        <f t="shared" si="3"/>
        <v>#VALUE!</v>
      </c>
      <c r="AA38" s="31" t="e">
        <f t="shared" si="4"/>
        <v>#VALUE!</v>
      </c>
      <c r="AB38" s="31" t="e">
        <f t="shared" si="5"/>
        <v>#VALUE!</v>
      </c>
      <c r="AC38" s="31" t="e">
        <f t="shared" si="6"/>
        <v>#VALUE!</v>
      </c>
      <c r="AD38" s="31" t="e">
        <f t="shared" si="7"/>
        <v>#VALUE!</v>
      </c>
    </row>
    <row r="39" spans="1:30" x14ac:dyDescent="0.15">
      <c r="A39" s="32">
        <v>32</v>
      </c>
      <c r="B39" s="26" t="s">
        <v>299</v>
      </c>
      <c r="C39" s="19">
        <v>3</v>
      </c>
      <c r="D39" s="19">
        <v>2</v>
      </c>
      <c r="E39" s="19">
        <v>5</v>
      </c>
      <c r="F39" s="19">
        <v>4</v>
      </c>
      <c r="G39" s="19">
        <v>9</v>
      </c>
      <c r="H39" s="19">
        <v>7</v>
      </c>
      <c r="I39" s="13">
        <v>1</v>
      </c>
      <c r="J39" s="33">
        <v>23941212.5</v>
      </c>
      <c r="K39" s="50" t="s">
        <v>23</v>
      </c>
      <c r="L39" s="34"/>
      <c r="M39" s="18">
        <v>2050832.8</v>
      </c>
      <c r="N39" s="56">
        <v>9</v>
      </c>
      <c r="O39" s="57">
        <v>85</v>
      </c>
      <c r="P39" s="57">
        <v>801</v>
      </c>
      <c r="Q39" s="58">
        <v>7780</v>
      </c>
      <c r="R39" s="59">
        <v>79541</v>
      </c>
      <c r="S39" s="59">
        <v>794051</v>
      </c>
      <c r="U39" s="31">
        <f t="shared" si="8"/>
        <v>1103322</v>
      </c>
      <c r="W39" s="31">
        <f t="shared" si="0"/>
        <v>0</v>
      </c>
      <c r="X39" s="31" t="e">
        <f t="shared" si="1"/>
        <v>#VALUE!</v>
      </c>
      <c r="Y39" s="31" t="e">
        <f t="shared" si="2"/>
        <v>#VALUE!</v>
      </c>
      <c r="Z39" s="31" t="e">
        <f t="shared" si="3"/>
        <v>#VALUE!</v>
      </c>
      <c r="AA39" s="31" t="e">
        <f t="shared" si="4"/>
        <v>#VALUE!</v>
      </c>
      <c r="AB39" s="31" t="e">
        <f t="shared" si="5"/>
        <v>#VALUE!</v>
      </c>
      <c r="AC39" s="31" t="e">
        <f t="shared" si="6"/>
        <v>#VALUE!</v>
      </c>
      <c r="AD39" s="31" t="e">
        <f t="shared" si="7"/>
        <v>#VALUE!</v>
      </c>
    </row>
    <row r="40" spans="1:30" x14ac:dyDescent="0.15">
      <c r="A40" s="32">
        <v>33</v>
      </c>
      <c r="B40" s="26">
        <v>35293</v>
      </c>
      <c r="C40" s="19">
        <v>8</v>
      </c>
      <c r="D40" s="19">
        <v>3</v>
      </c>
      <c r="E40" s="19">
        <v>7</v>
      </c>
      <c r="F40" s="19">
        <v>1</v>
      </c>
      <c r="G40" s="19">
        <v>4</v>
      </c>
      <c r="H40" s="19">
        <v>7</v>
      </c>
      <c r="I40" s="13">
        <v>9</v>
      </c>
      <c r="J40" s="33">
        <v>23618260</v>
      </c>
      <c r="K40" s="50">
        <v>2</v>
      </c>
      <c r="L40" s="18">
        <v>1777777</v>
      </c>
      <c r="M40" s="18">
        <v>174537.1</v>
      </c>
      <c r="N40" s="56">
        <v>6</v>
      </c>
      <c r="O40" s="57">
        <v>104</v>
      </c>
      <c r="P40" s="57">
        <v>860</v>
      </c>
      <c r="Q40" s="58">
        <v>8473</v>
      </c>
      <c r="R40" s="59">
        <v>84980</v>
      </c>
      <c r="S40" s="59">
        <v>861387</v>
      </c>
      <c r="U40" s="31">
        <f t="shared" si="8"/>
        <v>882267</v>
      </c>
      <c r="W40" s="31">
        <f t="shared" ref="W40:W59" si="9">IF(K40="JP",0,K40*L40)</f>
        <v>3555554</v>
      </c>
      <c r="X40" s="31" t="e">
        <f t="shared" ref="X40:X59" si="10">N40*$N$6</f>
        <v>#VALUE!</v>
      </c>
      <c r="Y40" s="31" t="e">
        <f t="shared" ref="Y40:Y59" si="11">O40*$O$6</f>
        <v>#VALUE!</v>
      </c>
      <c r="Z40" s="31" t="e">
        <f t="shared" ref="Z40:Z59" si="12">P40*$P$6</f>
        <v>#VALUE!</v>
      </c>
      <c r="AA40" s="31" t="e">
        <f t="shared" ref="AA40:AA59" si="13">Q40*$Q$6</f>
        <v>#VALUE!</v>
      </c>
      <c r="AB40" s="31" t="e">
        <f t="shared" ref="AB40:AB59" si="14">R40*$R$6</f>
        <v>#VALUE!</v>
      </c>
      <c r="AC40" s="31" t="e">
        <f t="shared" ref="AC40:AC59" si="15">S40*$S$6</f>
        <v>#VALUE!</v>
      </c>
      <c r="AD40" s="31" t="e">
        <f t="shared" ref="AD40:AD59" si="16">SUM(W40:AC40)</f>
        <v>#VALUE!</v>
      </c>
    </row>
    <row r="41" spans="1:30" x14ac:dyDescent="0.15">
      <c r="A41" s="32">
        <v>34</v>
      </c>
      <c r="B41" s="26" t="s">
        <v>300</v>
      </c>
      <c r="C41" s="19">
        <v>0</v>
      </c>
      <c r="D41" s="19">
        <v>7</v>
      </c>
      <c r="E41" s="19">
        <v>4</v>
      </c>
      <c r="F41" s="19">
        <v>1</v>
      </c>
      <c r="G41" s="19">
        <v>9</v>
      </c>
      <c r="H41" s="19">
        <v>5</v>
      </c>
      <c r="I41" s="13">
        <v>6</v>
      </c>
      <c r="J41" s="33">
        <v>23745270</v>
      </c>
      <c r="K41" s="50">
        <v>1</v>
      </c>
      <c r="L41" s="18">
        <v>1777777</v>
      </c>
      <c r="M41" s="18">
        <v>85048.8</v>
      </c>
      <c r="N41" s="56">
        <v>8</v>
      </c>
      <c r="O41" s="57">
        <v>104</v>
      </c>
      <c r="P41" s="57">
        <v>879</v>
      </c>
      <c r="Q41" s="58">
        <v>9153</v>
      </c>
      <c r="R41" s="59">
        <v>90987</v>
      </c>
      <c r="S41" s="59">
        <v>893063</v>
      </c>
      <c r="U41" s="31">
        <f t="shared" ref="U41:U60" si="17">IF(J40="","",SUM(K40,N40,O40,P40,Q40,R40,S40))</f>
        <v>955812</v>
      </c>
      <c r="W41" s="31">
        <f t="shared" si="9"/>
        <v>1777777</v>
      </c>
      <c r="X41" s="31" t="e">
        <f t="shared" si="10"/>
        <v>#VALUE!</v>
      </c>
      <c r="Y41" s="31" t="e">
        <f t="shared" si="11"/>
        <v>#VALUE!</v>
      </c>
      <c r="Z41" s="31" t="e">
        <f t="shared" si="12"/>
        <v>#VALUE!</v>
      </c>
      <c r="AA41" s="31" t="e">
        <f t="shared" si="13"/>
        <v>#VALUE!</v>
      </c>
      <c r="AB41" s="31" t="e">
        <f t="shared" si="14"/>
        <v>#VALUE!</v>
      </c>
      <c r="AC41" s="31" t="e">
        <f t="shared" si="15"/>
        <v>#VALUE!</v>
      </c>
      <c r="AD41" s="31" t="e">
        <f t="shared" si="16"/>
        <v>#VALUE!</v>
      </c>
    </row>
    <row r="42" spans="1:30" x14ac:dyDescent="0.15">
      <c r="A42" s="32">
        <v>35</v>
      </c>
      <c r="B42" s="26" t="s">
        <v>301</v>
      </c>
      <c r="C42" s="19">
        <v>2</v>
      </c>
      <c r="D42" s="19">
        <v>9</v>
      </c>
      <c r="E42" s="19">
        <v>1</v>
      </c>
      <c r="F42" s="19">
        <v>8</v>
      </c>
      <c r="G42" s="19">
        <v>9</v>
      </c>
      <c r="H42" s="19">
        <v>2</v>
      </c>
      <c r="I42" s="13">
        <v>3</v>
      </c>
      <c r="J42" s="33">
        <v>24534757.5</v>
      </c>
      <c r="K42" s="50">
        <v>4</v>
      </c>
      <c r="L42" s="18">
        <v>377777</v>
      </c>
      <c r="M42" s="18">
        <v>318362.09999999998</v>
      </c>
      <c r="N42" s="56">
        <v>8</v>
      </c>
      <c r="O42" s="57">
        <v>100</v>
      </c>
      <c r="P42" s="57">
        <v>896</v>
      </c>
      <c r="Q42" s="58">
        <v>8956</v>
      </c>
      <c r="R42" s="59">
        <v>89224</v>
      </c>
      <c r="S42" s="59">
        <v>882311</v>
      </c>
      <c r="U42" s="31">
        <f t="shared" si="17"/>
        <v>994195</v>
      </c>
      <c r="W42" s="31">
        <f t="shared" si="9"/>
        <v>1511108</v>
      </c>
      <c r="X42" s="31" t="e">
        <f t="shared" si="10"/>
        <v>#VALUE!</v>
      </c>
      <c r="Y42" s="31" t="e">
        <f t="shared" si="11"/>
        <v>#VALUE!</v>
      </c>
      <c r="Z42" s="31" t="e">
        <f t="shared" si="12"/>
        <v>#VALUE!</v>
      </c>
      <c r="AA42" s="31" t="e">
        <f t="shared" si="13"/>
        <v>#VALUE!</v>
      </c>
      <c r="AB42" s="31" t="e">
        <f t="shared" si="14"/>
        <v>#VALUE!</v>
      </c>
      <c r="AC42" s="31" t="e">
        <f t="shared" si="15"/>
        <v>#VALUE!</v>
      </c>
      <c r="AD42" s="31" t="e">
        <f t="shared" si="16"/>
        <v>#VALUE!</v>
      </c>
    </row>
    <row r="43" spans="1:30" x14ac:dyDescent="0.15">
      <c r="A43" s="32">
        <v>36</v>
      </c>
      <c r="B43" s="26" t="s">
        <v>302</v>
      </c>
      <c r="C43" s="19">
        <v>5</v>
      </c>
      <c r="D43" s="19">
        <v>8</v>
      </c>
      <c r="E43" s="19">
        <v>9</v>
      </c>
      <c r="F43" s="19">
        <v>9</v>
      </c>
      <c r="G43" s="19">
        <v>3</v>
      </c>
      <c r="H43" s="19">
        <v>6</v>
      </c>
      <c r="I43" s="13">
        <v>0</v>
      </c>
      <c r="J43" s="33">
        <v>29524920</v>
      </c>
      <c r="K43" s="50" t="s">
        <v>23</v>
      </c>
      <c r="L43" s="18"/>
      <c r="M43" s="18">
        <v>2417583.9</v>
      </c>
      <c r="N43" s="56">
        <v>17</v>
      </c>
      <c r="O43" s="57">
        <v>83</v>
      </c>
      <c r="P43" s="57">
        <v>930</v>
      </c>
      <c r="Q43" s="58">
        <v>9573</v>
      </c>
      <c r="R43" s="59">
        <v>95278</v>
      </c>
      <c r="S43" s="59">
        <v>954983</v>
      </c>
      <c r="U43" s="31">
        <f t="shared" si="17"/>
        <v>981499</v>
      </c>
      <c r="W43" s="31">
        <f t="shared" si="9"/>
        <v>0</v>
      </c>
      <c r="X43" s="31" t="e">
        <f t="shared" si="10"/>
        <v>#VALUE!</v>
      </c>
      <c r="Y43" s="31" t="e">
        <f t="shared" si="11"/>
        <v>#VALUE!</v>
      </c>
      <c r="Z43" s="31" t="e">
        <f t="shared" si="12"/>
        <v>#VALUE!</v>
      </c>
      <c r="AA43" s="31" t="e">
        <f t="shared" si="13"/>
        <v>#VALUE!</v>
      </c>
      <c r="AB43" s="31" t="e">
        <f t="shared" si="14"/>
        <v>#VALUE!</v>
      </c>
      <c r="AC43" s="31" t="e">
        <f t="shared" si="15"/>
        <v>#VALUE!</v>
      </c>
      <c r="AD43" s="31" t="e">
        <f t="shared" si="16"/>
        <v>#VALUE!</v>
      </c>
    </row>
    <row r="44" spans="1:30" x14ac:dyDescent="0.15">
      <c r="A44" s="32">
        <v>37</v>
      </c>
      <c r="B44" s="26" t="s">
        <v>303</v>
      </c>
      <c r="C44" s="19">
        <v>5</v>
      </c>
      <c r="D44" s="19">
        <v>8</v>
      </c>
      <c r="E44" s="19">
        <v>9</v>
      </c>
      <c r="F44" s="19">
        <v>4</v>
      </c>
      <c r="G44" s="19">
        <v>5</v>
      </c>
      <c r="H44" s="19">
        <v>5</v>
      </c>
      <c r="I44" s="13">
        <v>9</v>
      </c>
      <c r="J44" s="33">
        <v>25319312.5</v>
      </c>
      <c r="K44" s="50">
        <v>2</v>
      </c>
      <c r="L44" s="34">
        <v>2077777</v>
      </c>
      <c r="M44" s="18">
        <v>62233</v>
      </c>
      <c r="N44" s="56">
        <v>9</v>
      </c>
      <c r="O44" s="57">
        <v>78</v>
      </c>
      <c r="P44" s="57">
        <v>935</v>
      </c>
      <c r="Q44" s="58">
        <v>8920</v>
      </c>
      <c r="R44" s="59">
        <v>92446</v>
      </c>
      <c r="S44" s="59">
        <v>919857</v>
      </c>
      <c r="U44" s="31">
        <f t="shared" si="17"/>
        <v>1060864</v>
      </c>
      <c r="W44" s="31">
        <f t="shared" si="9"/>
        <v>4155554</v>
      </c>
      <c r="X44" s="31" t="e">
        <f t="shared" si="10"/>
        <v>#VALUE!</v>
      </c>
      <c r="Y44" s="31" t="e">
        <f t="shared" si="11"/>
        <v>#VALUE!</v>
      </c>
      <c r="Z44" s="31" t="e">
        <f t="shared" si="12"/>
        <v>#VALUE!</v>
      </c>
      <c r="AA44" s="31" t="e">
        <f t="shared" si="13"/>
        <v>#VALUE!</v>
      </c>
      <c r="AB44" s="31" t="e">
        <f t="shared" si="14"/>
        <v>#VALUE!</v>
      </c>
      <c r="AC44" s="31" t="e">
        <f t="shared" si="15"/>
        <v>#VALUE!</v>
      </c>
      <c r="AD44" s="31" t="e">
        <f t="shared" si="16"/>
        <v>#VALUE!</v>
      </c>
    </row>
    <row r="45" spans="1:30" x14ac:dyDescent="0.15">
      <c r="A45" s="32">
        <v>38</v>
      </c>
      <c r="B45" s="26" t="s">
        <v>304</v>
      </c>
      <c r="C45" s="19">
        <v>1</v>
      </c>
      <c r="D45" s="19">
        <v>1</v>
      </c>
      <c r="E45" s="19">
        <v>3</v>
      </c>
      <c r="F45" s="19">
        <v>2</v>
      </c>
      <c r="G45" s="19">
        <v>5</v>
      </c>
      <c r="H45" s="19">
        <v>5</v>
      </c>
      <c r="I45" s="13">
        <v>1</v>
      </c>
      <c r="J45" s="33">
        <v>24848287.5</v>
      </c>
      <c r="K45" s="50">
        <v>1</v>
      </c>
      <c r="L45" s="34">
        <v>1777777</v>
      </c>
      <c r="M45" s="18">
        <v>51169.2</v>
      </c>
      <c r="N45" s="56">
        <v>13</v>
      </c>
      <c r="O45" s="57">
        <v>88</v>
      </c>
      <c r="P45" s="57">
        <v>846</v>
      </c>
      <c r="Q45" s="58">
        <v>8267</v>
      </c>
      <c r="R45" s="59">
        <v>82400</v>
      </c>
      <c r="S45" s="59">
        <v>826134</v>
      </c>
      <c r="U45" s="31">
        <f t="shared" si="17"/>
        <v>1022247</v>
      </c>
      <c r="W45" s="31">
        <f t="shared" si="9"/>
        <v>1777777</v>
      </c>
      <c r="X45" s="31" t="e">
        <f t="shared" si="10"/>
        <v>#VALUE!</v>
      </c>
      <c r="Y45" s="31" t="e">
        <f t="shared" si="11"/>
        <v>#VALUE!</v>
      </c>
      <c r="Z45" s="31" t="e">
        <f t="shared" si="12"/>
        <v>#VALUE!</v>
      </c>
      <c r="AA45" s="31" t="e">
        <f t="shared" si="13"/>
        <v>#VALUE!</v>
      </c>
      <c r="AB45" s="31" t="e">
        <f t="shared" si="14"/>
        <v>#VALUE!</v>
      </c>
      <c r="AC45" s="31" t="e">
        <f t="shared" si="15"/>
        <v>#VALUE!</v>
      </c>
      <c r="AD45" s="31" t="e">
        <f t="shared" si="16"/>
        <v>#VALUE!</v>
      </c>
    </row>
    <row r="46" spans="1:30" x14ac:dyDescent="0.15">
      <c r="A46" s="32">
        <v>39</v>
      </c>
      <c r="B46" s="26" t="s">
        <v>305</v>
      </c>
      <c r="C46" s="19">
        <v>8</v>
      </c>
      <c r="D46" s="19">
        <v>6</v>
      </c>
      <c r="E46" s="19">
        <v>5</v>
      </c>
      <c r="F46" s="19">
        <v>4</v>
      </c>
      <c r="G46" s="19">
        <v>8</v>
      </c>
      <c r="H46" s="19">
        <v>4</v>
      </c>
      <c r="I46" s="13">
        <v>9</v>
      </c>
      <c r="J46" s="33">
        <v>24746280</v>
      </c>
      <c r="K46" s="50">
        <v>1</v>
      </c>
      <c r="L46" s="18">
        <v>1777777</v>
      </c>
      <c r="M46" s="18">
        <v>32852.699999999997</v>
      </c>
      <c r="N46" s="56">
        <v>12</v>
      </c>
      <c r="O46" s="57">
        <v>95</v>
      </c>
      <c r="P46" s="57">
        <v>936</v>
      </c>
      <c r="Q46" s="58">
        <v>9036</v>
      </c>
      <c r="R46" s="59">
        <v>91872</v>
      </c>
      <c r="S46" s="59">
        <v>896002</v>
      </c>
      <c r="U46" s="31">
        <f t="shared" si="17"/>
        <v>917749</v>
      </c>
      <c r="W46" s="31">
        <f t="shared" si="9"/>
        <v>1777777</v>
      </c>
      <c r="X46" s="31" t="e">
        <f t="shared" si="10"/>
        <v>#VALUE!</v>
      </c>
      <c r="Y46" s="31" t="e">
        <f t="shared" si="11"/>
        <v>#VALUE!</v>
      </c>
      <c r="Z46" s="31" t="e">
        <f t="shared" si="12"/>
        <v>#VALUE!</v>
      </c>
      <c r="AA46" s="31" t="e">
        <f t="shared" si="13"/>
        <v>#VALUE!</v>
      </c>
      <c r="AB46" s="31" t="e">
        <f t="shared" si="14"/>
        <v>#VALUE!</v>
      </c>
      <c r="AC46" s="31" t="e">
        <f t="shared" si="15"/>
        <v>#VALUE!</v>
      </c>
      <c r="AD46" s="31" t="e">
        <f t="shared" si="16"/>
        <v>#VALUE!</v>
      </c>
    </row>
    <row r="47" spans="1:30" x14ac:dyDescent="0.15">
      <c r="A47" s="32">
        <v>40</v>
      </c>
      <c r="B47" s="26" t="s">
        <v>306</v>
      </c>
      <c r="C47" s="19">
        <v>7</v>
      </c>
      <c r="D47" s="19">
        <v>2</v>
      </c>
      <c r="E47" s="19">
        <v>5</v>
      </c>
      <c r="F47" s="19">
        <v>0</v>
      </c>
      <c r="G47" s="19">
        <v>8</v>
      </c>
      <c r="H47" s="19">
        <v>0</v>
      </c>
      <c r="I47" s="13">
        <v>0</v>
      </c>
      <c r="J47" s="33">
        <v>24301715</v>
      </c>
      <c r="K47" s="50">
        <v>2</v>
      </c>
      <c r="L47" s="18">
        <v>877777</v>
      </c>
      <c r="M47" s="18">
        <v>5150.6000000000004</v>
      </c>
      <c r="N47" s="56">
        <v>7</v>
      </c>
      <c r="O47" s="57">
        <v>93</v>
      </c>
      <c r="P47" s="57">
        <v>703</v>
      </c>
      <c r="Q47" s="58">
        <v>7682</v>
      </c>
      <c r="R47" s="59">
        <v>77310</v>
      </c>
      <c r="S47" s="59">
        <v>780823</v>
      </c>
      <c r="U47" s="31">
        <f t="shared" si="17"/>
        <v>997954</v>
      </c>
      <c r="W47" s="31">
        <f t="shared" si="9"/>
        <v>1755554</v>
      </c>
      <c r="X47" s="31" t="e">
        <f t="shared" si="10"/>
        <v>#VALUE!</v>
      </c>
      <c r="Y47" s="31" t="e">
        <f t="shared" si="11"/>
        <v>#VALUE!</v>
      </c>
      <c r="Z47" s="31" t="e">
        <f t="shared" si="12"/>
        <v>#VALUE!</v>
      </c>
      <c r="AA47" s="31" t="e">
        <f t="shared" si="13"/>
        <v>#VALUE!</v>
      </c>
      <c r="AB47" s="31" t="e">
        <f t="shared" si="14"/>
        <v>#VALUE!</v>
      </c>
      <c r="AC47" s="31" t="e">
        <f t="shared" si="15"/>
        <v>#VALUE!</v>
      </c>
      <c r="AD47" s="31" t="e">
        <f t="shared" si="16"/>
        <v>#VALUE!</v>
      </c>
    </row>
    <row r="48" spans="1:30" x14ac:dyDescent="0.15">
      <c r="A48" s="32">
        <v>41</v>
      </c>
      <c r="B48" s="26" t="s">
        <v>307</v>
      </c>
      <c r="C48" s="19">
        <v>1</v>
      </c>
      <c r="D48" s="19">
        <v>0</v>
      </c>
      <c r="E48" s="19">
        <v>4</v>
      </c>
      <c r="F48" s="19">
        <v>8</v>
      </c>
      <c r="G48" s="19">
        <v>6</v>
      </c>
      <c r="H48" s="19">
        <v>5</v>
      </c>
      <c r="I48" s="13">
        <v>6</v>
      </c>
      <c r="J48" s="33">
        <v>25992927.5</v>
      </c>
      <c r="K48" s="50">
        <v>3</v>
      </c>
      <c r="L48" s="34">
        <v>577777</v>
      </c>
      <c r="M48" s="18">
        <v>119916.7</v>
      </c>
      <c r="N48" s="56">
        <v>12</v>
      </c>
      <c r="O48" s="57">
        <v>110</v>
      </c>
      <c r="P48" s="57">
        <v>983</v>
      </c>
      <c r="Q48" s="58">
        <v>10152</v>
      </c>
      <c r="R48" s="59">
        <v>99981</v>
      </c>
      <c r="S48" s="59">
        <v>975108</v>
      </c>
      <c r="U48" s="31">
        <f t="shared" si="17"/>
        <v>866620</v>
      </c>
      <c r="W48" s="31">
        <f t="shared" si="9"/>
        <v>1733331</v>
      </c>
      <c r="X48" s="31" t="e">
        <f t="shared" si="10"/>
        <v>#VALUE!</v>
      </c>
      <c r="Y48" s="31" t="e">
        <f t="shared" si="11"/>
        <v>#VALUE!</v>
      </c>
      <c r="Z48" s="31" t="e">
        <f t="shared" si="12"/>
        <v>#VALUE!</v>
      </c>
      <c r="AA48" s="31" t="e">
        <f t="shared" si="13"/>
        <v>#VALUE!</v>
      </c>
      <c r="AB48" s="31" t="e">
        <f t="shared" si="14"/>
        <v>#VALUE!</v>
      </c>
      <c r="AC48" s="31" t="e">
        <f t="shared" si="15"/>
        <v>#VALUE!</v>
      </c>
      <c r="AD48" s="31" t="e">
        <f t="shared" si="16"/>
        <v>#VALUE!</v>
      </c>
    </row>
    <row r="49" spans="1:30" x14ac:dyDescent="0.15">
      <c r="A49" s="32">
        <v>42</v>
      </c>
      <c r="B49" s="26" t="s">
        <v>308</v>
      </c>
      <c r="C49" s="19">
        <v>7</v>
      </c>
      <c r="D49" s="19">
        <v>2</v>
      </c>
      <c r="E49" s="19">
        <v>0</v>
      </c>
      <c r="F49" s="19">
        <v>5</v>
      </c>
      <c r="G49" s="19">
        <v>5</v>
      </c>
      <c r="H49" s="19">
        <v>6</v>
      </c>
      <c r="I49" s="13">
        <v>5</v>
      </c>
      <c r="J49" s="33">
        <v>25117327.5</v>
      </c>
      <c r="K49" s="50">
        <v>1</v>
      </c>
      <c r="L49" s="18">
        <v>1877777</v>
      </c>
      <c r="M49" s="18">
        <v>27981.7</v>
      </c>
      <c r="N49" s="56">
        <v>12</v>
      </c>
      <c r="O49" s="57">
        <v>94</v>
      </c>
      <c r="P49" s="57">
        <v>1035</v>
      </c>
      <c r="Q49" s="58">
        <v>9804</v>
      </c>
      <c r="R49" s="59">
        <v>97898</v>
      </c>
      <c r="S49" s="59">
        <v>964199</v>
      </c>
      <c r="U49" s="31">
        <f t="shared" si="17"/>
        <v>1086349</v>
      </c>
      <c r="W49" s="31">
        <f t="shared" si="9"/>
        <v>1877777</v>
      </c>
      <c r="X49" s="31" t="e">
        <f t="shared" si="10"/>
        <v>#VALUE!</v>
      </c>
      <c r="Y49" s="31" t="e">
        <f t="shared" si="11"/>
        <v>#VALUE!</v>
      </c>
      <c r="Z49" s="31" t="e">
        <f t="shared" si="12"/>
        <v>#VALUE!</v>
      </c>
      <c r="AA49" s="31" t="e">
        <f t="shared" si="13"/>
        <v>#VALUE!</v>
      </c>
      <c r="AB49" s="31" t="e">
        <f t="shared" si="14"/>
        <v>#VALUE!</v>
      </c>
      <c r="AC49" s="31" t="e">
        <f t="shared" si="15"/>
        <v>#VALUE!</v>
      </c>
      <c r="AD49" s="31" t="e">
        <f t="shared" si="16"/>
        <v>#VALUE!</v>
      </c>
    </row>
    <row r="50" spans="1:30" x14ac:dyDescent="0.15">
      <c r="A50" s="32">
        <v>43</v>
      </c>
      <c r="B50" s="26">
        <v>35363</v>
      </c>
      <c r="C50" s="19">
        <v>1</v>
      </c>
      <c r="D50" s="19">
        <v>8</v>
      </c>
      <c r="E50" s="19">
        <v>5</v>
      </c>
      <c r="F50" s="19">
        <v>3</v>
      </c>
      <c r="G50" s="19">
        <v>1</v>
      </c>
      <c r="H50" s="19">
        <v>6</v>
      </c>
      <c r="I50" s="13">
        <v>8</v>
      </c>
      <c r="J50" s="33">
        <v>25212192.5</v>
      </c>
      <c r="K50" s="50">
        <v>3</v>
      </c>
      <c r="L50" s="34">
        <v>577777</v>
      </c>
      <c r="M50" s="18">
        <v>87237.6</v>
      </c>
      <c r="N50" s="56">
        <v>8</v>
      </c>
      <c r="O50" s="57">
        <v>98</v>
      </c>
      <c r="P50" s="57">
        <v>949</v>
      </c>
      <c r="Q50" s="58">
        <v>9933</v>
      </c>
      <c r="R50" s="59">
        <v>96299</v>
      </c>
      <c r="S50" s="59">
        <v>955731</v>
      </c>
      <c r="U50" s="31">
        <f t="shared" si="17"/>
        <v>1073043</v>
      </c>
      <c r="W50" s="31">
        <f t="shared" si="9"/>
        <v>1733331</v>
      </c>
      <c r="X50" s="31" t="e">
        <f t="shared" si="10"/>
        <v>#VALUE!</v>
      </c>
      <c r="Y50" s="31" t="e">
        <f t="shared" si="11"/>
        <v>#VALUE!</v>
      </c>
      <c r="Z50" s="31" t="e">
        <f t="shared" si="12"/>
        <v>#VALUE!</v>
      </c>
      <c r="AA50" s="31" t="e">
        <f t="shared" si="13"/>
        <v>#VALUE!</v>
      </c>
      <c r="AB50" s="31" t="e">
        <f t="shared" si="14"/>
        <v>#VALUE!</v>
      </c>
      <c r="AC50" s="31" t="e">
        <f t="shared" si="15"/>
        <v>#VALUE!</v>
      </c>
      <c r="AD50" s="31" t="e">
        <f t="shared" si="16"/>
        <v>#VALUE!</v>
      </c>
    </row>
    <row r="51" spans="1:30" x14ac:dyDescent="0.15">
      <c r="A51" s="32">
        <v>44</v>
      </c>
      <c r="B51" s="26" t="s">
        <v>309</v>
      </c>
      <c r="C51" s="19">
        <v>9</v>
      </c>
      <c r="D51" s="19">
        <v>9</v>
      </c>
      <c r="E51" s="19">
        <v>1</v>
      </c>
      <c r="F51" s="19">
        <v>6</v>
      </c>
      <c r="G51" s="19">
        <v>3</v>
      </c>
      <c r="H51" s="19">
        <v>4</v>
      </c>
      <c r="I51" s="13">
        <v>9</v>
      </c>
      <c r="J51" s="33">
        <v>26218650</v>
      </c>
      <c r="K51" s="50">
        <v>1</v>
      </c>
      <c r="L51" s="18">
        <v>1877777</v>
      </c>
      <c r="M51" s="18">
        <v>73606.600000000006</v>
      </c>
      <c r="N51" s="56">
        <v>15</v>
      </c>
      <c r="O51" s="57">
        <v>107</v>
      </c>
      <c r="P51" s="57">
        <v>1020</v>
      </c>
      <c r="Q51" s="58">
        <v>9967</v>
      </c>
      <c r="R51" s="59">
        <v>98392</v>
      </c>
      <c r="S51" s="59">
        <v>959907</v>
      </c>
      <c r="U51" s="31">
        <f t="shared" si="17"/>
        <v>1063021</v>
      </c>
      <c r="W51" s="31">
        <f t="shared" si="9"/>
        <v>1877777</v>
      </c>
      <c r="X51" s="31" t="e">
        <f t="shared" si="10"/>
        <v>#VALUE!</v>
      </c>
      <c r="Y51" s="31" t="e">
        <f t="shared" si="11"/>
        <v>#VALUE!</v>
      </c>
      <c r="Z51" s="31" t="e">
        <f t="shared" si="12"/>
        <v>#VALUE!</v>
      </c>
      <c r="AA51" s="31" t="e">
        <f t="shared" si="13"/>
        <v>#VALUE!</v>
      </c>
      <c r="AB51" s="31" t="e">
        <f t="shared" si="14"/>
        <v>#VALUE!</v>
      </c>
      <c r="AC51" s="31" t="e">
        <f t="shared" si="15"/>
        <v>#VALUE!</v>
      </c>
      <c r="AD51" s="31" t="e">
        <f t="shared" si="16"/>
        <v>#VALUE!</v>
      </c>
    </row>
    <row r="52" spans="1:30" x14ac:dyDescent="0.15">
      <c r="A52" s="32">
        <v>45</v>
      </c>
      <c r="B52" s="26" t="s">
        <v>310</v>
      </c>
      <c r="C52" s="19">
        <v>2</v>
      </c>
      <c r="D52" s="19">
        <v>8</v>
      </c>
      <c r="E52" s="19">
        <v>2</v>
      </c>
      <c r="F52" s="19">
        <v>5</v>
      </c>
      <c r="G52" s="19">
        <v>9</v>
      </c>
      <c r="H52" s="19">
        <v>9</v>
      </c>
      <c r="I52" s="13">
        <v>8</v>
      </c>
      <c r="J52" s="33">
        <v>29268917.5</v>
      </c>
      <c r="K52" s="50">
        <v>3</v>
      </c>
      <c r="L52" s="18">
        <v>677777</v>
      </c>
      <c r="M52" s="18">
        <v>121295.6</v>
      </c>
      <c r="N52" s="56">
        <v>12</v>
      </c>
      <c r="O52" s="57">
        <v>87</v>
      </c>
      <c r="P52" s="57">
        <v>1088</v>
      </c>
      <c r="Q52" s="58">
        <v>10760</v>
      </c>
      <c r="R52" s="59">
        <v>109844</v>
      </c>
      <c r="S52" s="59">
        <v>1098817</v>
      </c>
      <c r="U52" s="31">
        <f t="shared" si="17"/>
        <v>1069409</v>
      </c>
      <c r="W52" s="31">
        <f t="shared" si="9"/>
        <v>2033331</v>
      </c>
      <c r="X52" s="31" t="e">
        <f t="shared" si="10"/>
        <v>#VALUE!</v>
      </c>
      <c r="Y52" s="31" t="e">
        <f t="shared" si="11"/>
        <v>#VALUE!</v>
      </c>
      <c r="Z52" s="31" t="e">
        <f t="shared" si="12"/>
        <v>#VALUE!</v>
      </c>
      <c r="AA52" s="31" t="e">
        <f t="shared" si="13"/>
        <v>#VALUE!</v>
      </c>
      <c r="AB52" s="31" t="e">
        <f t="shared" si="14"/>
        <v>#VALUE!</v>
      </c>
      <c r="AC52" s="31" t="e">
        <f t="shared" si="15"/>
        <v>#VALUE!</v>
      </c>
      <c r="AD52" s="31" t="e">
        <f t="shared" si="16"/>
        <v>#VALUE!</v>
      </c>
    </row>
    <row r="53" spans="1:30" x14ac:dyDescent="0.15">
      <c r="A53" s="32">
        <v>46</v>
      </c>
      <c r="B53" s="26" t="s">
        <v>311</v>
      </c>
      <c r="C53" s="19">
        <v>8</v>
      </c>
      <c r="D53" s="19">
        <v>7</v>
      </c>
      <c r="E53" s="19">
        <v>3</v>
      </c>
      <c r="F53" s="19">
        <v>6</v>
      </c>
      <c r="G53" s="19">
        <v>8</v>
      </c>
      <c r="H53" s="19">
        <v>9</v>
      </c>
      <c r="I53" s="13">
        <v>8</v>
      </c>
      <c r="J53" s="33">
        <v>26352790</v>
      </c>
      <c r="K53" s="50" t="s">
        <v>23</v>
      </c>
      <c r="L53" s="35"/>
      <c r="M53" s="18">
        <v>1994979</v>
      </c>
      <c r="N53" s="56">
        <v>11</v>
      </c>
      <c r="O53" s="57">
        <v>93</v>
      </c>
      <c r="P53" s="57">
        <v>994</v>
      </c>
      <c r="Q53" s="58">
        <v>10114</v>
      </c>
      <c r="R53" s="59">
        <v>99296</v>
      </c>
      <c r="S53" s="59">
        <v>990162</v>
      </c>
      <c r="U53" s="31">
        <f t="shared" si="17"/>
        <v>1220611</v>
      </c>
      <c r="W53" s="31">
        <f t="shared" si="9"/>
        <v>0</v>
      </c>
      <c r="X53" s="31" t="e">
        <f t="shared" si="10"/>
        <v>#VALUE!</v>
      </c>
      <c r="Y53" s="31" t="e">
        <f t="shared" si="11"/>
        <v>#VALUE!</v>
      </c>
      <c r="Z53" s="31" t="e">
        <f t="shared" si="12"/>
        <v>#VALUE!</v>
      </c>
      <c r="AA53" s="31" t="e">
        <f t="shared" si="13"/>
        <v>#VALUE!</v>
      </c>
      <c r="AB53" s="31" t="e">
        <f t="shared" si="14"/>
        <v>#VALUE!</v>
      </c>
      <c r="AC53" s="31" t="e">
        <f t="shared" si="15"/>
        <v>#VALUE!</v>
      </c>
      <c r="AD53" s="31" t="e">
        <f t="shared" si="16"/>
        <v>#VALUE!</v>
      </c>
    </row>
    <row r="54" spans="1:30" x14ac:dyDescent="0.15">
      <c r="A54" s="32">
        <v>47</v>
      </c>
      <c r="B54" s="26" t="s">
        <v>312</v>
      </c>
      <c r="C54" s="19">
        <v>8</v>
      </c>
      <c r="D54" s="19">
        <v>4</v>
      </c>
      <c r="E54" s="19">
        <v>0</v>
      </c>
      <c r="F54" s="19">
        <v>2</v>
      </c>
      <c r="G54" s="19">
        <v>3</v>
      </c>
      <c r="H54" s="19">
        <v>4</v>
      </c>
      <c r="I54" s="13">
        <v>4</v>
      </c>
      <c r="J54" s="33">
        <v>26010365</v>
      </c>
      <c r="K54" s="50" t="s">
        <v>23</v>
      </c>
      <c r="L54" s="18"/>
      <c r="M54" s="18">
        <v>3844316</v>
      </c>
      <c r="N54" s="56">
        <v>9</v>
      </c>
      <c r="O54" s="57">
        <v>95</v>
      </c>
      <c r="P54" s="57">
        <v>890</v>
      </c>
      <c r="Q54" s="58">
        <v>9125</v>
      </c>
      <c r="R54" s="59">
        <v>92815</v>
      </c>
      <c r="S54" s="59">
        <v>904585</v>
      </c>
      <c r="U54" s="31">
        <f t="shared" si="17"/>
        <v>1100670</v>
      </c>
      <c r="W54" s="31">
        <f t="shared" si="9"/>
        <v>0</v>
      </c>
      <c r="X54" s="31" t="e">
        <f t="shared" si="10"/>
        <v>#VALUE!</v>
      </c>
      <c r="Y54" s="31" t="e">
        <f t="shared" si="11"/>
        <v>#VALUE!</v>
      </c>
      <c r="Z54" s="31" t="e">
        <f t="shared" si="12"/>
        <v>#VALUE!</v>
      </c>
      <c r="AA54" s="31" t="e">
        <f t="shared" si="13"/>
        <v>#VALUE!</v>
      </c>
      <c r="AB54" s="31" t="e">
        <f t="shared" si="14"/>
        <v>#VALUE!</v>
      </c>
      <c r="AC54" s="31" t="e">
        <f t="shared" si="15"/>
        <v>#VALUE!</v>
      </c>
      <c r="AD54" s="31" t="e">
        <f t="shared" si="16"/>
        <v>#VALUE!</v>
      </c>
    </row>
    <row r="55" spans="1:30" x14ac:dyDescent="0.15">
      <c r="A55" s="32">
        <v>48</v>
      </c>
      <c r="B55" s="26">
        <v>35763</v>
      </c>
      <c r="C55" s="19">
        <v>1</v>
      </c>
      <c r="D55" s="19">
        <v>7</v>
      </c>
      <c r="E55" s="19">
        <v>3</v>
      </c>
      <c r="F55" s="19">
        <v>0</v>
      </c>
      <c r="G55" s="19">
        <v>1</v>
      </c>
      <c r="H55" s="19">
        <v>2</v>
      </c>
      <c r="I55" s="13">
        <v>7</v>
      </c>
      <c r="J55" s="33">
        <v>27346212.5</v>
      </c>
      <c r="K55" s="50">
        <v>4</v>
      </c>
      <c r="L55" s="18">
        <v>1377777</v>
      </c>
      <c r="M55" s="18">
        <v>277523.7</v>
      </c>
      <c r="N55" s="56">
        <v>7</v>
      </c>
      <c r="O55" s="57">
        <v>96</v>
      </c>
      <c r="P55" s="57">
        <v>1054</v>
      </c>
      <c r="Q55" s="58">
        <v>10955</v>
      </c>
      <c r="R55" s="59">
        <v>107733</v>
      </c>
      <c r="S55" s="59">
        <v>1056573</v>
      </c>
      <c r="U55" s="31">
        <f t="shared" si="17"/>
        <v>1007519</v>
      </c>
      <c r="W55" s="31">
        <f t="shared" si="9"/>
        <v>5511108</v>
      </c>
      <c r="X55" s="31" t="e">
        <f t="shared" si="10"/>
        <v>#VALUE!</v>
      </c>
      <c r="Y55" s="31" t="e">
        <f t="shared" si="11"/>
        <v>#VALUE!</v>
      </c>
      <c r="Z55" s="31" t="e">
        <f t="shared" si="12"/>
        <v>#VALUE!</v>
      </c>
      <c r="AA55" s="31" t="e">
        <f t="shared" si="13"/>
        <v>#VALUE!</v>
      </c>
      <c r="AB55" s="31" t="e">
        <f t="shared" si="14"/>
        <v>#VALUE!</v>
      </c>
      <c r="AC55" s="31" t="e">
        <f t="shared" si="15"/>
        <v>#VALUE!</v>
      </c>
      <c r="AD55" s="31" t="e">
        <f t="shared" si="16"/>
        <v>#VALUE!</v>
      </c>
    </row>
    <row r="56" spans="1:30" x14ac:dyDescent="0.15">
      <c r="A56" s="32">
        <v>49</v>
      </c>
      <c r="B56" s="26" t="s">
        <v>313</v>
      </c>
      <c r="C56" s="19">
        <v>4</v>
      </c>
      <c r="D56" s="19">
        <v>5</v>
      </c>
      <c r="E56" s="19">
        <v>0</v>
      </c>
      <c r="F56" s="19">
        <v>3</v>
      </c>
      <c r="G56" s="19">
        <v>4</v>
      </c>
      <c r="H56" s="19">
        <v>5</v>
      </c>
      <c r="I56" s="13">
        <v>4</v>
      </c>
      <c r="J56" s="33">
        <v>31999737.5</v>
      </c>
      <c r="K56" s="50" t="s">
        <v>23</v>
      </c>
      <c r="L56" s="18"/>
      <c r="M56" s="18">
        <v>2552705</v>
      </c>
      <c r="N56" s="56">
        <v>10</v>
      </c>
      <c r="O56" s="57">
        <v>122</v>
      </c>
      <c r="P56" s="57">
        <v>1161</v>
      </c>
      <c r="Q56" s="58">
        <v>11393</v>
      </c>
      <c r="R56" s="59">
        <v>113758</v>
      </c>
      <c r="S56" s="59">
        <v>1104073</v>
      </c>
      <c r="U56" s="31">
        <f t="shared" si="17"/>
        <v>1176422</v>
      </c>
      <c r="W56" s="31">
        <f t="shared" si="9"/>
        <v>0</v>
      </c>
      <c r="X56" s="31" t="e">
        <f t="shared" si="10"/>
        <v>#VALUE!</v>
      </c>
      <c r="Y56" s="31" t="e">
        <f t="shared" si="11"/>
        <v>#VALUE!</v>
      </c>
      <c r="Z56" s="31" t="e">
        <f t="shared" si="12"/>
        <v>#VALUE!</v>
      </c>
      <c r="AA56" s="31" t="e">
        <f t="shared" si="13"/>
        <v>#VALUE!</v>
      </c>
      <c r="AB56" s="31" t="e">
        <f t="shared" si="14"/>
        <v>#VALUE!</v>
      </c>
      <c r="AC56" s="31" t="e">
        <f t="shared" si="15"/>
        <v>#VALUE!</v>
      </c>
      <c r="AD56" s="31" t="e">
        <f t="shared" si="16"/>
        <v>#VALUE!</v>
      </c>
    </row>
    <row r="57" spans="1:30" x14ac:dyDescent="0.15">
      <c r="A57" s="32">
        <v>50</v>
      </c>
      <c r="B57" s="26" t="s">
        <v>314</v>
      </c>
      <c r="C57" s="19">
        <v>6</v>
      </c>
      <c r="D57" s="19">
        <v>5</v>
      </c>
      <c r="E57" s="19">
        <v>2</v>
      </c>
      <c r="F57" s="19">
        <v>8</v>
      </c>
      <c r="G57" s="19">
        <v>2</v>
      </c>
      <c r="H57" s="19">
        <v>8</v>
      </c>
      <c r="I57" s="13">
        <v>7</v>
      </c>
      <c r="J57" s="33">
        <v>27300782.5</v>
      </c>
      <c r="K57" s="50">
        <v>1</v>
      </c>
      <c r="L57" s="34">
        <v>4477777</v>
      </c>
      <c r="M57" s="18">
        <v>16013.6</v>
      </c>
      <c r="N57" s="56">
        <v>5</v>
      </c>
      <c r="O57" s="57">
        <v>101</v>
      </c>
      <c r="P57" s="57">
        <v>1038</v>
      </c>
      <c r="Q57" s="58">
        <v>10576</v>
      </c>
      <c r="R57" s="59">
        <v>103302</v>
      </c>
      <c r="S57" s="59">
        <v>1056102</v>
      </c>
      <c r="U57" s="31">
        <f t="shared" si="17"/>
        <v>1230517</v>
      </c>
      <c r="W57" s="31">
        <f t="shared" si="9"/>
        <v>4477777</v>
      </c>
      <c r="X57" s="31" t="e">
        <f t="shared" si="10"/>
        <v>#VALUE!</v>
      </c>
      <c r="Y57" s="31" t="e">
        <f t="shared" si="11"/>
        <v>#VALUE!</v>
      </c>
      <c r="Z57" s="31" t="e">
        <f t="shared" si="12"/>
        <v>#VALUE!</v>
      </c>
      <c r="AA57" s="31" t="e">
        <f t="shared" si="13"/>
        <v>#VALUE!</v>
      </c>
      <c r="AB57" s="31" t="e">
        <f t="shared" si="14"/>
        <v>#VALUE!</v>
      </c>
      <c r="AC57" s="31" t="e">
        <f t="shared" si="15"/>
        <v>#VALUE!</v>
      </c>
      <c r="AD57" s="31" t="e">
        <f t="shared" si="16"/>
        <v>#VALUE!</v>
      </c>
    </row>
    <row r="58" spans="1:30" x14ac:dyDescent="0.15">
      <c r="A58" s="32">
        <v>51</v>
      </c>
      <c r="B58" s="26" t="s">
        <v>315</v>
      </c>
      <c r="C58" s="19">
        <v>2</v>
      </c>
      <c r="D58" s="19">
        <v>5</v>
      </c>
      <c r="E58" s="19">
        <v>1</v>
      </c>
      <c r="F58" s="19">
        <v>7</v>
      </c>
      <c r="G58" s="19">
        <v>8</v>
      </c>
      <c r="H58" s="19">
        <v>6</v>
      </c>
      <c r="I58" s="13">
        <v>9</v>
      </c>
      <c r="J58" s="33">
        <v>28193215</v>
      </c>
      <c r="K58" s="50" t="s">
        <v>23</v>
      </c>
      <c r="L58" s="34"/>
      <c r="M58" s="18">
        <v>2020551.2</v>
      </c>
      <c r="N58" s="56">
        <v>13</v>
      </c>
      <c r="O58" s="57">
        <v>114</v>
      </c>
      <c r="P58" s="57">
        <v>1076</v>
      </c>
      <c r="Q58" s="58">
        <v>10619</v>
      </c>
      <c r="R58" s="59">
        <v>106519</v>
      </c>
      <c r="S58" s="59">
        <v>1042601</v>
      </c>
      <c r="U58" s="31">
        <f t="shared" si="17"/>
        <v>1171125</v>
      </c>
      <c r="W58" s="31">
        <f t="shared" si="9"/>
        <v>0</v>
      </c>
      <c r="X58" s="31" t="e">
        <f t="shared" si="10"/>
        <v>#VALUE!</v>
      </c>
      <c r="Y58" s="31" t="e">
        <f t="shared" si="11"/>
        <v>#VALUE!</v>
      </c>
      <c r="Z58" s="31" t="e">
        <f t="shared" si="12"/>
        <v>#VALUE!</v>
      </c>
      <c r="AA58" s="31" t="e">
        <f t="shared" si="13"/>
        <v>#VALUE!</v>
      </c>
      <c r="AB58" s="31" t="e">
        <f t="shared" si="14"/>
        <v>#VALUE!</v>
      </c>
      <c r="AC58" s="31" t="e">
        <f t="shared" si="15"/>
        <v>#VALUE!</v>
      </c>
      <c r="AD58" s="31" t="e">
        <f t="shared" si="16"/>
        <v>#VALUE!</v>
      </c>
    </row>
    <row r="59" spans="1:30" x14ac:dyDescent="0.15">
      <c r="A59" s="36">
        <v>52</v>
      </c>
      <c r="B59" s="37" t="s">
        <v>316</v>
      </c>
      <c r="C59" s="38">
        <v>5</v>
      </c>
      <c r="D59" s="38">
        <v>7</v>
      </c>
      <c r="E59" s="38">
        <v>5</v>
      </c>
      <c r="F59" s="38">
        <v>6</v>
      </c>
      <c r="G59" s="38">
        <v>8</v>
      </c>
      <c r="H59" s="38">
        <v>8</v>
      </c>
      <c r="I59" s="39">
        <v>3</v>
      </c>
      <c r="J59" s="40">
        <v>26022615</v>
      </c>
      <c r="K59" s="60">
        <v>3</v>
      </c>
      <c r="L59" s="42">
        <v>1277777</v>
      </c>
      <c r="M59" s="43">
        <v>37428.1</v>
      </c>
      <c r="N59" s="61">
        <v>10</v>
      </c>
      <c r="O59" s="62">
        <v>93</v>
      </c>
      <c r="P59" s="62">
        <v>912</v>
      </c>
      <c r="Q59" s="63">
        <v>8765</v>
      </c>
      <c r="R59" s="64">
        <v>93309</v>
      </c>
      <c r="S59" s="64">
        <v>945864</v>
      </c>
      <c r="U59" s="31">
        <f t="shared" si="17"/>
        <v>1160942</v>
      </c>
      <c r="W59" s="31">
        <f t="shared" si="9"/>
        <v>3833331</v>
      </c>
      <c r="X59" s="31" t="e">
        <f t="shared" si="10"/>
        <v>#VALUE!</v>
      </c>
      <c r="Y59" s="31" t="e">
        <f t="shared" si="11"/>
        <v>#VALUE!</v>
      </c>
      <c r="Z59" s="31" t="e">
        <f t="shared" si="12"/>
        <v>#VALUE!</v>
      </c>
      <c r="AA59" s="31" t="e">
        <f t="shared" si="13"/>
        <v>#VALUE!</v>
      </c>
      <c r="AB59" s="31" t="e">
        <f t="shared" si="14"/>
        <v>#VALUE!</v>
      </c>
      <c r="AC59" s="31" t="e">
        <f t="shared" si="15"/>
        <v>#VALUE!</v>
      </c>
      <c r="AD59" s="31" t="e">
        <f t="shared" si="16"/>
        <v>#VALUE!</v>
      </c>
    </row>
    <row r="60" spans="1:30" hidden="1" x14ac:dyDescent="0.15">
      <c r="A60" s="36">
        <v>53</v>
      </c>
      <c r="B60" s="37"/>
      <c r="C60" s="38"/>
      <c r="D60" s="38"/>
      <c r="E60" s="38"/>
      <c r="F60" s="38"/>
      <c r="G60" s="38"/>
      <c r="H60" s="38"/>
      <c r="I60" s="39"/>
      <c r="J60" s="40"/>
      <c r="K60" s="60"/>
      <c r="L60" s="42"/>
      <c r="M60" s="43"/>
      <c r="N60" s="61"/>
      <c r="O60" s="62"/>
      <c r="P60" s="62"/>
      <c r="Q60" s="63"/>
      <c r="R60" s="64"/>
      <c r="S60" s="64"/>
      <c r="U60" s="31">
        <f t="shared" si="17"/>
        <v>1048956</v>
      </c>
    </row>
    <row r="61" spans="1:30" x14ac:dyDescent="0.15">
      <c r="A61" s="130"/>
      <c r="B61" s="46"/>
      <c r="C61" s="46"/>
      <c r="D61" s="46"/>
      <c r="E61" s="46"/>
      <c r="F61" s="46"/>
      <c r="G61" s="46"/>
      <c r="H61" s="46" t="s">
        <v>24</v>
      </c>
      <c r="I61" s="46"/>
      <c r="J61" s="46"/>
      <c r="K61" s="65">
        <f>SUM(K8:K60)</f>
        <v>64</v>
      </c>
      <c r="L61" s="47"/>
      <c r="M61" s="48"/>
      <c r="N61" s="66">
        <f t="shared" ref="N61:S61" si="18">SUM(N8:N60)</f>
        <v>487</v>
      </c>
      <c r="O61" s="67">
        <f t="shared" si="18"/>
        <v>4850</v>
      </c>
      <c r="P61" s="67">
        <f t="shared" si="18"/>
        <v>47932</v>
      </c>
      <c r="Q61" s="68">
        <f t="shared" si="18"/>
        <v>479470</v>
      </c>
      <c r="R61" s="48">
        <f t="shared" si="18"/>
        <v>4806174</v>
      </c>
      <c r="S61" s="137">
        <f t="shared" si="18"/>
        <v>48019840</v>
      </c>
      <c r="W61" s="31">
        <f t="shared" ref="W61:AD61" si="19">SUM(W8:W60)</f>
        <v>96677728</v>
      </c>
      <c r="X61" s="31" t="e">
        <f t="shared" si="19"/>
        <v>#VALUE!</v>
      </c>
      <c r="Y61" s="31" t="e">
        <f t="shared" si="19"/>
        <v>#VALUE!</v>
      </c>
      <c r="Z61" s="31" t="e">
        <f t="shared" si="19"/>
        <v>#VALUE!</v>
      </c>
      <c r="AA61" s="31" t="e">
        <f t="shared" si="19"/>
        <v>#VALUE!</v>
      </c>
      <c r="AB61" s="31" t="e">
        <f t="shared" si="19"/>
        <v>#VALUE!</v>
      </c>
      <c r="AC61" s="31" t="e">
        <f t="shared" si="19"/>
        <v>#VALUE!</v>
      </c>
      <c r="AD61" s="31" t="e">
        <f t="shared" si="19"/>
        <v>#VALUE!</v>
      </c>
    </row>
    <row r="62" spans="1:30" x14ac:dyDescent="0.15">
      <c r="X62" s="5"/>
      <c r="AD62" s="31" t="e">
        <f>SUM(W61:AC61)</f>
        <v>#VALUE!</v>
      </c>
    </row>
    <row r="65" spans="12:12" x14ac:dyDescent="0.15">
      <c r="L65"/>
    </row>
    <row r="66" spans="12:12" x14ac:dyDescent="0.15">
      <c r="L66"/>
    </row>
    <row r="67" spans="12:12" x14ac:dyDescent="0.15">
      <c r="L67"/>
    </row>
    <row r="68" spans="12:12" x14ac:dyDescent="0.15">
      <c r="L68"/>
    </row>
    <row r="69" spans="12:12" x14ac:dyDescent="0.15">
      <c r="L69"/>
    </row>
    <row r="70" spans="12:12" x14ac:dyDescent="0.15">
      <c r="L70"/>
    </row>
    <row r="71" spans="12:12" x14ac:dyDescent="0.15">
      <c r="L71"/>
    </row>
    <row r="72" spans="12:12" x14ac:dyDescent="0.15">
      <c r="L72"/>
    </row>
    <row r="73" spans="12:12" x14ac:dyDescent="0.15">
      <c r="L73"/>
    </row>
    <row r="74" spans="12:12" x14ac:dyDescent="0.15">
      <c r="L74"/>
    </row>
    <row r="75" spans="12:12" x14ac:dyDescent="0.15">
      <c r="L75"/>
    </row>
    <row r="76" spans="12:12" x14ac:dyDescent="0.15">
      <c r="L76"/>
    </row>
    <row r="77" spans="12:12" x14ac:dyDescent="0.15">
      <c r="L77"/>
    </row>
    <row r="78" spans="12:12" x14ac:dyDescent="0.15">
      <c r="L78"/>
    </row>
    <row r="79" spans="12:12" x14ac:dyDescent="0.15">
      <c r="L79"/>
    </row>
    <row r="80" spans="12:12" x14ac:dyDescent="0.15">
      <c r="L80"/>
    </row>
    <row r="81" spans="12:12" x14ac:dyDescent="0.15">
      <c r="L81"/>
    </row>
    <row r="82" spans="12:12" x14ac:dyDescent="0.15">
      <c r="L82"/>
    </row>
    <row r="83" spans="12:12" x14ac:dyDescent="0.15">
      <c r="L83"/>
    </row>
    <row r="84" spans="12:12" x14ac:dyDescent="0.15">
      <c r="L84"/>
    </row>
    <row r="85" spans="12:12" x14ac:dyDescent="0.15">
      <c r="L85"/>
    </row>
    <row r="86" spans="12:12" x14ac:dyDescent="0.15">
      <c r="L86"/>
    </row>
    <row r="87" spans="12:12" x14ac:dyDescent="0.15">
      <c r="L87"/>
    </row>
    <row r="88" spans="12:12" x14ac:dyDescent="0.15">
      <c r="L88"/>
    </row>
    <row r="89" spans="12:12" x14ac:dyDescent="0.15">
      <c r="L89"/>
    </row>
    <row r="90" spans="12:12" x14ac:dyDescent="0.15">
      <c r="L90"/>
    </row>
    <row r="91" spans="12:12" x14ac:dyDescent="0.15">
      <c r="L91"/>
    </row>
    <row r="92" spans="12:12" x14ac:dyDescent="0.15">
      <c r="L92"/>
    </row>
    <row r="93" spans="12:12" x14ac:dyDescent="0.15">
      <c r="L93"/>
    </row>
    <row r="94" spans="12:12" x14ac:dyDescent="0.15">
      <c r="L94"/>
    </row>
    <row r="95" spans="12:12" x14ac:dyDescent="0.15">
      <c r="L95"/>
    </row>
    <row r="96" spans="12:12" x14ac:dyDescent="0.15">
      <c r="L96"/>
    </row>
    <row r="97" spans="12:12" x14ac:dyDescent="0.15">
      <c r="L97"/>
    </row>
    <row r="98" spans="12:12" x14ac:dyDescent="0.15">
      <c r="L98"/>
    </row>
    <row r="99" spans="12:12" x14ac:dyDescent="0.15">
      <c r="L99"/>
    </row>
    <row r="100" spans="12:12" x14ac:dyDescent="0.15">
      <c r="L100"/>
    </row>
    <row r="101" spans="12:12" x14ac:dyDescent="0.15">
      <c r="L101"/>
    </row>
    <row r="102" spans="12:12" x14ac:dyDescent="0.15">
      <c r="L102"/>
    </row>
    <row r="103" spans="12:12" x14ac:dyDescent="0.15">
      <c r="L103"/>
    </row>
    <row r="104" spans="12:12" x14ac:dyDescent="0.15">
      <c r="L104"/>
    </row>
    <row r="105" spans="12:12" x14ac:dyDescent="0.15">
      <c r="L105"/>
    </row>
    <row r="106" spans="12:12" x14ac:dyDescent="0.15">
      <c r="L106"/>
    </row>
    <row r="107" spans="12:12" x14ac:dyDescent="0.15">
      <c r="L107"/>
    </row>
    <row r="108" spans="12:12" x14ac:dyDescent="0.15">
      <c r="L108"/>
    </row>
    <row r="109" spans="12:12" x14ac:dyDescent="0.15">
      <c r="L109"/>
    </row>
    <row r="110" spans="12:12" x14ac:dyDescent="0.15">
      <c r="L110"/>
    </row>
    <row r="111" spans="12:12" x14ac:dyDescent="0.15">
      <c r="L111"/>
    </row>
    <row r="112" spans="12:12" x14ac:dyDescent="0.15">
      <c r="L112"/>
    </row>
    <row r="113" spans="12:12" x14ac:dyDescent="0.15">
      <c r="L113"/>
    </row>
    <row r="114" spans="12:12" x14ac:dyDescent="0.15">
      <c r="L114"/>
    </row>
    <row r="115" spans="12:12" x14ac:dyDescent="0.15">
      <c r="L115"/>
    </row>
    <row r="116" spans="12:12" x14ac:dyDescent="0.15">
      <c r="L116"/>
    </row>
    <row r="117" spans="12:12" x14ac:dyDescent="0.15">
      <c r="L117"/>
    </row>
    <row r="118" spans="12:12" x14ac:dyDescent="0.15">
      <c r="L118"/>
    </row>
    <row r="119" spans="12:12" x14ac:dyDescent="0.15">
      <c r="L119"/>
    </row>
    <row r="120" spans="12:12" x14ac:dyDescent="0.15">
      <c r="L120"/>
    </row>
    <row r="121" spans="12:12" x14ac:dyDescent="0.15">
      <c r="L121"/>
    </row>
    <row r="122" spans="12:12" x14ac:dyDescent="0.15">
      <c r="L122"/>
    </row>
    <row r="123" spans="12:12" x14ac:dyDescent="0.15">
      <c r="L123"/>
    </row>
    <row r="124" spans="12:12" x14ac:dyDescent="0.15">
      <c r="L124"/>
    </row>
    <row r="125" spans="12:12" x14ac:dyDescent="0.15">
      <c r="L12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1" orientation="landscape" horizontalDpi="4294967292" verticalDpi="4294967292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125"/>
  <sheetViews>
    <sheetView topLeftCell="F7" workbookViewId="0">
      <selection activeCell="S62" sqref="S62"/>
    </sheetView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9" width="15.6640625" customWidth="1"/>
    <col min="24" max="24" width="7.5" hidden="1" customWidth="1"/>
    <col min="25" max="25" width="15" style="5" hidden="1" customWidth="1"/>
  </cols>
  <sheetData>
    <row r="2" spans="1:25" ht="12.75" x14ac:dyDescent="0.2">
      <c r="A2" s="1" t="s">
        <v>0</v>
      </c>
      <c r="S2" s="3" t="s">
        <v>317</v>
      </c>
      <c r="U2" s="4"/>
      <c r="X2" s="1" t="s">
        <v>0</v>
      </c>
    </row>
    <row r="3" spans="1:25" ht="12.75" x14ac:dyDescent="0.2">
      <c r="A3" s="6" t="s">
        <v>2</v>
      </c>
      <c r="P3" s="3"/>
      <c r="U3" s="4"/>
      <c r="X3" s="6" t="s">
        <v>2</v>
      </c>
    </row>
    <row r="4" spans="1:25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9"/>
      <c r="L4" s="12"/>
      <c r="M4" s="11"/>
      <c r="N4" s="8"/>
      <c r="O4" s="8"/>
      <c r="P4" s="8"/>
      <c r="Q4" s="8"/>
      <c r="R4" s="8"/>
      <c r="S4" s="8"/>
      <c r="W4" s="4"/>
      <c r="X4" s="7"/>
    </row>
    <row r="5" spans="1:25" x14ac:dyDescent="0.15">
      <c r="A5" s="13" t="s">
        <v>3</v>
      </c>
      <c r="B5" s="14">
        <v>1998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92" t="s">
        <v>7</v>
      </c>
      <c r="L5" s="18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S5" s="14" t="s">
        <v>49</v>
      </c>
      <c r="W5" s="4"/>
      <c r="X5" s="13" t="s">
        <v>3</v>
      </c>
    </row>
    <row r="6" spans="1:25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92" t="s">
        <v>50</v>
      </c>
      <c r="L6" s="18"/>
      <c r="M6" s="14" t="s">
        <v>14</v>
      </c>
      <c r="N6" s="20" t="s">
        <v>51</v>
      </c>
      <c r="O6" s="20" t="s">
        <v>52</v>
      </c>
      <c r="P6" s="20" t="s">
        <v>53</v>
      </c>
      <c r="Q6" s="20" t="s">
        <v>54</v>
      </c>
      <c r="R6" s="20" t="s">
        <v>55</v>
      </c>
      <c r="S6" s="14" t="s">
        <v>56</v>
      </c>
      <c r="W6" s="4"/>
      <c r="X6" s="13"/>
    </row>
    <row r="7" spans="1:25" x14ac:dyDescent="0.15">
      <c r="A7" s="13"/>
      <c r="B7" s="21"/>
      <c r="C7" s="76"/>
      <c r="D7" s="76"/>
      <c r="E7" s="76"/>
      <c r="F7" s="76"/>
      <c r="G7" s="76"/>
      <c r="H7" s="76"/>
      <c r="I7" s="13"/>
      <c r="J7" s="14"/>
      <c r="K7" s="22" t="s">
        <v>15</v>
      </c>
      <c r="L7" s="23" t="s">
        <v>14</v>
      </c>
      <c r="M7" s="14"/>
      <c r="N7" s="24" t="s">
        <v>15</v>
      </c>
      <c r="O7" s="24" t="s">
        <v>15</v>
      </c>
      <c r="P7" s="24" t="s">
        <v>15</v>
      </c>
      <c r="Q7" s="24" t="s">
        <v>15</v>
      </c>
      <c r="R7" s="24" t="s">
        <v>15</v>
      </c>
      <c r="S7" s="21" t="s">
        <v>15</v>
      </c>
      <c r="W7" s="4"/>
      <c r="X7" s="13"/>
    </row>
    <row r="8" spans="1:25" x14ac:dyDescent="0.15">
      <c r="A8" s="25">
        <v>1</v>
      </c>
      <c r="B8" s="26" t="s">
        <v>318</v>
      </c>
      <c r="C8" s="27">
        <v>1</v>
      </c>
      <c r="D8" s="27">
        <v>0</v>
      </c>
      <c r="E8" s="27">
        <v>5</v>
      </c>
      <c r="F8" s="27">
        <v>0</v>
      </c>
      <c r="G8" s="27">
        <v>7</v>
      </c>
      <c r="H8" s="27">
        <v>1</v>
      </c>
      <c r="I8" s="7">
        <v>3</v>
      </c>
      <c r="J8" s="28">
        <v>27363432.5</v>
      </c>
      <c r="K8" s="160">
        <v>2</v>
      </c>
      <c r="L8" s="29">
        <v>977777</v>
      </c>
      <c r="M8" s="12">
        <v>27414.2</v>
      </c>
      <c r="N8" s="30">
        <v>6</v>
      </c>
      <c r="O8" s="30">
        <v>107</v>
      </c>
      <c r="P8" s="30">
        <v>1128</v>
      </c>
      <c r="Q8" s="30">
        <v>10962</v>
      </c>
      <c r="R8" s="30">
        <v>110288</v>
      </c>
      <c r="S8" s="30">
        <v>971826</v>
      </c>
      <c r="W8" s="4"/>
      <c r="X8" s="25">
        <v>1</v>
      </c>
      <c r="Y8" s="5">
        <f>K8*L8</f>
        <v>1955554</v>
      </c>
    </row>
    <row r="9" spans="1:25" x14ac:dyDescent="0.15">
      <c r="A9" s="32">
        <v>2</v>
      </c>
      <c r="B9" s="26" t="s">
        <v>319</v>
      </c>
      <c r="C9" s="76">
        <v>7</v>
      </c>
      <c r="D9" s="76">
        <v>5</v>
      </c>
      <c r="E9" s="76">
        <v>0</v>
      </c>
      <c r="F9" s="76">
        <v>6</v>
      </c>
      <c r="G9" s="76">
        <v>2</v>
      </c>
      <c r="H9" s="76">
        <v>0</v>
      </c>
      <c r="I9" s="13">
        <v>4</v>
      </c>
      <c r="J9" s="33">
        <v>29943842.5</v>
      </c>
      <c r="K9" s="160">
        <v>2</v>
      </c>
      <c r="L9" s="34">
        <v>1077777</v>
      </c>
      <c r="M9" s="18">
        <v>867.4</v>
      </c>
      <c r="N9" s="30">
        <v>11</v>
      </c>
      <c r="O9" s="30">
        <v>105</v>
      </c>
      <c r="P9" s="30">
        <v>977</v>
      </c>
      <c r="Q9" s="30">
        <v>9815</v>
      </c>
      <c r="R9" s="30">
        <v>96050</v>
      </c>
      <c r="S9" s="30">
        <v>1053272</v>
      </c>
      <c r="W9" s="4"/>
      <c r="X9" s="32">
        <v>2</v>
      </c>
      <c r="Y9" s="5">
        <f>K9*L9</f>
        <v>2155554</v>
      </c>
    </row>
    <row r="10" spans="1:25" x14ac:dyDescent="0.15">
      <c r="A10" s="32">
        <v>3</v>
      </c>
      <c r="B10" s="26" t="s">
        <v>320</v>
      </c>
      <c r="C10" s="76">
        <v>2</v>
      </c>
      <c r="D10" s="76">
        <v>6</v>
      </c>
      <c r="E10" s="76">
        <v>8</v>
      </c>
      <c r="F10" s="76">
        <v>2</v>
      </c>
      <c r="G10" s="76">
        <v>3</v>
      </c>
      <c r="H10" s="76">
        <v>9</v>
      </c>
      <c r="I10" s="13">
        <v>2</v>
      </c>
      <c r="J10" s="33">
        <v>31264025</v>
      </c>
      <c r="K10" s="160" t="s">
        <v>23</v>
      </c>
      <c r="L10" s="18"/>
      <c r="M10" s="18">
        <v>2223739.6</v>
      </c>
      <c r="N10" s="30">
        <v>19</v>
      </c>
      <c r="O10" s="30">
        <v>107</v>
      </c>
      <c r="P10" s="30">
        <v>1074</v>
      </c>
      <c r="Q10" s="30">
        <v>10750</v>
      </c>
      <c r="R10" s="30">
        <v>105453</v>
      </c>
      <c r="S10" s="30">
        <v>1074880</v>
      </c>
      <c r="W10" s="4"/>
      <c r="X10" s="32">
        <v>3</v>
      </c>
    </row>
    <row r="11" spans="1:25" x14ac:dyDescent="0.15">
      <c r="A11" s="32">
        <v>4</v>
      </c>
      <c r="B11" s="26" t="s">
        <v>321</v>
      </c>
      <c r="C11" s="76">
        <v>3</v>
      </c>
      <c r="D11" s="76">
        <v>1</v>
      </c>
      <c r="E11" s="76">
        <v>9</v>
      </c>
      <c r="F11" s="76">
        <v>1</v>
      </c>
      <c r="G11" s="76">
        <v>6</v>
      </c>
      <c r="H11" s="76">
        <v>1</v>
      </c>
      <c r="I11" s="13">
        <v>6</v>
      </c>
      <c r="J11" s="33">
        <v>27711665</v>
      </c>
      <c r="K11" s="160">
        <v>2</v>
      </c>
      <c r="L11" s="18">
        <v>2077777</v>
      </c>
      <c r="M11" s="18">
        <v>38485</v>
      </c>
      <c r="N11" s="30">
        <v>12</v>
      </c>
      <c r="O11" s="30">
        <v>122</v>
      </c>
      <c r="P11" s="30">
        <v>1061</v>
      </c>
      <c r="Q11" s="30">
        <v>10288</v>
      </c>
      <c r="R11" s="30">
        <v>101957</v>
      </c>
      <c r="S11" s="30">
        <v>1046901</v>
      </c>
      <c r="W11" s="4"/>
      <c r="X11" s="32">
        <v>4</v>
      </c>
      <c r="Y11" s="5">
        <f>K11*L11</f>
        <v>4155554</v>
      </c>
    </row>
    <row r="12" spans="1:25" x14ac:dyDescent="0.15">
      <c r="A12" s="32">
        <v>5</v>
      </c>
      <c r="B12" s="26" t="s">
        <v>322</v>
      </c>
      <c r="C12" s="76">
        <v>4</v>
      </c>
      <c r="D12" s="76">
        <v>8</v>
      </c>
      <c r="E12" s="76">
        <v>9</v>
      </c>
      <c r="F12" s="76">
        <v>5</v>
      </c>
      <c r="G12" s="76">
        <v>8</v>
      </c>
      <c r="H12" s="76">
        <v>9</v>
      </c>
      <c r="I12" s="13">
        <v>9</v>
      </c>
      <c r="J12" s="33">
        <v>27365600</v>
      </c>
      <c r="K12" s="160">
        <v>1</v>
      </c>
      <c r="L12" s="18">
        <v>1977777</v>
      </c>
      <c r="M12" s="18">
        <v>6402.2</v>
      </c>
      <c r="N12" s="30">
        <v>14</v>
      </c>
      <c r="O12" s="30">
        <v>99</v>
      </c>
      <c r="P12" s="30">
        <v>1024</v>
      </c>
      <c r="Q12" s="30">
        <v>10117</v>
      </c>
      <c r="R12" s="30">
        <v>101623</v>
      </c>
      <c r="S12" s="30">
        <v>1004203</v>
      </c>
      <c r="W12" s="4"/>
      <c r="X12" s="32">
        <v>5</v>
      </c>
      <c r="Y12" s="5">
        <f>K12*L12</f>
        <v>1977777</v>
      </c>
    </row>
    <row r="13" spans="1:25" x14ac:dyDescent="0.15">
      <c r="A13" s="32">
        <v>6</v>
      </c>
      <c r="B13" s="26" t="s">
        <v>323</v>
      </c>
      <c r="C13" s="76">
        <v>3</v>
      </c>
      <c r="D13" s="76">
        <v>2</v>
      </c>
      <c r="E13" s="76">
        <v>5</v>
      </c>
      <c r="F13" s="76">
        <v>6</v>
      </c>
      <c r="G13" s="76">
        <v>8</v>
      </c>
      <c r="H13" s="76">
        <v>0</v>
      </c>
      <c r="I13" s="13">
        <v>6</v>
      </c>
      <c r="J13" s="33">
        <v>27360232.5</v>
      </c>
      <c r="K13" s="160">
        <v>1</v>
      </c>
      <c r="L13" s="34">
        <v>1877777</v>
      </c>
      <c r="M13" s="18">
        <v>73937.7</v>
      </c>
      <c r="N13" s="30">
        <v>9</v>
      </c>
      <c r="O13" s="30">
        <v>91</v>
      </c>
      <c r="P13" s="30">
        <v>918</v>
      </c>
      <c r="Q13" s="30">
        <v>9109</v>
      </c>
      <c r="R13" s="30">
        <v>92871</v>
      </c>
      <c r="S13" s="30">
        <v>1053551</v>
      </c>
      <c r="W13" s="4"/>
      <c r="X13" s="32">
        <v>6</v>
      </c>
      <c r="Y13" s="5">
        <f>K13*L13</f>
        <v>1877777</v>
      </c>
    </row>
    <row r="14" spans="1:25" x14ac:dyDescent="0.15">
      <c r="A14" s="32">
        <v>7</v>
      </c>
      <c r="B14" s="26" t="s">
        <v>324</v>
      </c>
      <c r="C14" s="76">
        <v>0</v>
      </c>
      <c r="D14" s="76">
        <v>6</v>
      </c>
      <c r="E14" s="76">
        <v>1</v>
      </c>
      <c r="F14" s="76">
        <v>4</v>
      </c>
      <c r="G14" s="76">
        <v>5</v>
      </c>
      <c r="H14" s="76">
        <v>4</v>
      </c>
      <c r="I14" s="13">
        <v>4</v>
      </c>
      <c r="J14" s="33">
        <v>27945447.5</v>
      </c>
      <c r="K14" s="160" t="s">
        <v>23</v>
      </c>
      <c r="L14" s="18"/>
      <c r="M14" s="18">
        <v>2060859</v>
      </c>
      <c r="N14" s="30">
        <v>16</v>
      </c>
      <c r="O14" s="30">
        <v>106</v>
      </c>
      <c r="P14" s="30">
        <v>1011</v>
      </c>
      <c r="Q14" s="30">
        <v>9970</v>
      </c>
      <c r="R14" s="30">
        <v>99359</v>
      </c>
      <c r="S14" s="30">
        <v>974569</v>
      </c>
      <c r="W14" s="4"/>
      <c r="X14" s="32">
        <v>7</v>
      </c>
    </row>
    <row r="15" spans="1:25" x14ac:dyDescent="0.15">
      <c r="A15" s="32">
        <v>8</v>
      </c>
      <c r="B15" s="26" t="s">
        <v>325</v>
      </c>
      <c r="C15" s="76">
        <v>5</v>
      </c>
      <c r="D15" s="76">
        <v>6</v>
      </c>
      <c r="E15" s="76">
        <v>0</v>
      </c>
      <c r="F15" s="76">
        <v>4</v>
      </c>
      <c r="G15" s="76">
        <v>5</v>
      </c>
      <c r="H15" s="76">
        <v>6</v>
      </c>
      <c r="I15" s="13">
        <v>4</v>
      </c>
      <c r="J15" s="33">
        <v>27036165</v>
      </c>
      <c r="K15" s="160" t="s">
        <v>23</v>
      </c>
      <c r="L15" s="34"/>
      <c r="M15" s="18">
        <v>3983130.3</v>
      </c>
      <c r="N15" s="30">
        <v>14</v>
      </c>
      <c r="O15" s="30">
        <v>82</v>
      </c>
      <c r="P15" s="30">
        <v>893</v>
      </c>
      <c r="Q15" s="30">
        <v>9635</v>
      </c>
      <c r="R15" s="30">
        <v>95459</v>
      </c>
      <c r="S15" s="30">
        <v>934974</v>
      </c>
      <c r="W15" s="4"/>
      <c r="X15" s="32">
        <v>8</v>
      </c>
    </row>
    <row r="16" spans="1:25" x14ac:dyDescent="0.15">
      <c r="A16" s="32">
        <v>9</v>
      </c>
      <c r="B16" s="26" t="s">
        <v>326</v>
      </c>
      <c r="C16" s="76">
        <v>4</v>
      </c>
      <c r="D16" s="76">
        <v>1</v>
      </c>
      <c r="E16" s="76">
        <v>5</v>
      </c>
      <c r="F16" s="76">
        <v>8</v>
      </c>
      <c r="G16" s="76">
        <v>2</v>
      </c>
      <c r="H16" s="76">
        <v>9</v>
      </c>
      <c r="I16" s="13">
        <v>4</v>
      </c>
      <c r="J16" s="33">
        <v>29096702.5</v>
      </c>
      <c r="K16" s="160">
        <v>1</v>
      </c>
      <c r="L16" s="34">
        <v>5977777</v>
      </c>
      <c r="M16" s="18">
        <v>74128.800000000003</v>
      </c>
      <c r="N16" s="30">
        <v>14</v>
      </c>
      <c r="O16" s="30">
        <v>108</v>
      </c>
      <c r="P16" s="30">
        <v>1029</v>
      </c>
      <c r="Q16" s="30">
        <v>10254</v>
      </c>
      <c r="R16" s="30">
        <v>100779</v>
      </c>
      <c r="S16" s="30">
        <v>1019327</v>
      </c>
      <c r="W16" s="4"/>
      <c r="X16" s="32">
        <v>9</v>
      </c>
      <c r="Y16" s="5">
        <f>K16*L16</f>
        <v>5977777</v>
      </c>
    </row>
    <row r="17" spans="1:25" x14ac:dyDescent="0.15">
      <c r="A17" s="32">
        <v>10</v>
      </c>
      <c r="B17" s="26" t="s">
        <v>327</v>
      </c>
      <c r="C17" s="76">
        <v>7</v>
      </c>
      <c r="D17" s="76">
        <v>8</v>
      </c>
      <c r="E17" s="76">
        <v>0</v>
      </c>
      <c r="F17" s="76">
        <v>8</v>
      </c>
      <c r="G17" s="76">
        <v>2</v>
      </c>
      <c r="H17" s="76">
        <v>1</v>
      </c>
      <c r="I17" s="13">
        <v>2</v>
      </c>
      <c r="J17" s="33">
        <v>30997867.5</v>
      </c>
      <c r="K17" s="160">
        <v>1</v>
      </c>
      <c r="L17" s="34">
        <v>2277777</v>
      </c>
      <c r="M17" s="18">
        <v>300.2</v>
      </c>
      <c r="N17" s="30">
        <v>11</v>
      </c>
      <c r="O17" s="30">
        <v>106</v>
      </c>
      <c r="P17" s="30">
        <v>1098</v>
      </c>
      <c r="Q17" s="30">
        <v>10842</v>
      </c>
      <c r="R17" s="30">
        <v>108157</v>
      </c>
      <c r="S17" s="30">
        <v>1069159</v>
      </c>
      <c r="W17" s="4"/>
      <c r="X17" s="32">
        <v>10</v>
      </c>
      <c r="Y17" s="5">
        <f>K17*L17</f>
        <v>2277777</v>
      </c>
    </row>
    <row r="18" spans="1:25" x14ac:dyDescent="0.15">
      <c r="A18" s="32">
        <v>11</v>
      </c>
      <c r="B18" s="26" t="s">
        <v>328</v>
      </c>
      <c r="C18" s="76">
        <v>5</v>
      </c>
      <c r="D18" s="76">
        <v>6</v>
      </c>
      <c r="E18" s="76">
        <v>6</v>
      </c>
      <c r="F18" s="76">
        <v>6</v>
      </c>
      <c r="G18" s="76">
        <v>8</v>
      </c>
      <c r="H18" s="76">
        <v>6</v>
      </c>
      <c r="I18" s="13">
        <v>7</v>
      </c>
      <c r="J18" s="33">
        <v>37100685</v>
      </c>
      <c r="K18" s="160">
        <v>1</v>
      </c>
      <c r="L18" s="34">
        <v>2577777</v>
      </c>
      <c r="M18" s="18">
        <v>60381.9</v>
      </c>
      <c r="N18" s="30">
        <v>21</v>
      </c>
      <c r="O18" s="30">
        <v>141</v>
      </c>
      <c r="P18" s="30">
        <v>1470</v>
      </c>
      <c r="Q18" s="30">
        <v>14173</v>
      </c>
      <c r="R18" s="30">
        <v>142304</v>
      </c>
      <c r="S18" s="30">
        <v>1441294</v>
      </c>
      <c r="W18" s="4"/>
      <c r="X18" s="32">
        <v>11</v>
      </c>
      <c r="Y18" s="5">
        <f>K18*L18</f>
        <v>2577777</v>
      </c>
    </row>
    <row r="19" spans="1:25" x14ac:dyDescent="0.15">
      <c r="A19" s="32">
        <v>12</v>
      </c>
      <c r="B19" s="26" t="s">
        <v>329</v>
      </c>
      <c r="C19" s="76">
        <v>1</v>
      </c>
      <c r="D19" s="76">
        <v>5</v>
      </c>
      <c r="E19" s="76">
        <v>6</v>
      </c>
      <c r="F19" s="76">
        <v>8</v>
      </c>
      <c r="G19" s="76">
        <v>8</v>
      </c>
      <c r="H19" s="76">
        <v>6</v>
      </c>
      <c r="I19" s="13">
        <v>3</v>
      </c>
      <c r="J19" s="33">
        <v>28497702.5</v>
      </c>
      <c r="K19" s="160">
        <v>4</v>
      </c>
      <c r="L19" s="34">
        <v>477777</v>
      </c>
      <c r="M19" s="18">
        <v>175460.5</v>
      </c>
      <c r="N19" s="30">
        <v>18</v>
      </c>
      <c r="O19" s="30">
        <v>102</v>
      </c>
      <c r="P19" s="30">
        <v>980</v>
      </c>
      <c r="Q19" s="30">
        <v>10353</v>
      </c>
      <c r="R19" s="30">
        <v>104004</v>
      </c>
      <c r="S19" s="30">
        <v>1051129</v>
      </c>
      <c r="W19" s="4"/>
      <c r="X19" s="32">
        <v>12</v>
      </c>
      <c r="Y19" s="5">
        <f>K19*L19</f>
        <v>1911108</v>
      </c>
    </row>
    <row r="20" spans="1:25" x14ac:dyDescent="0.15">
      <c r="A20" s="32">
        <v>13</v>
      </c>
      <c r="B20" s="26" t="s">
        <v>330</v>
      </c>
      <c r="C20" s="76">
        <v>5</v>
      </c>
      <c r="D20" s="76">
        <v>5</v>
      </c>
      <c r="E20" s="76">
        <v>3</v>
      </c>
      <c r="F20" s="76">
        <v>9</v>
      </c>
      <c r="G20" s="76">
        <v>2</v>
      </c>
      <c r="H20" s="76">
        <v>3</v>
      </c>
      <c r="I20" s="13">
        <v>8</v>
      </c>
      <c r="J20" s="33">
        <v>28361750</v>
      </c>
      <c r="K20" s="160" t="s">
        <v>23</v>
      </c>
      <c r="L20" s="18"/>
      <c r="M20" s="18">
        <v>2191980.9</v>
      </c>
      <c r="N20" s="30">
        <v>6</v>
      </c>
      <c r="O20" s="30">
        <v>116</v>
      </c>
      <c r="P20" s="30">
        <v>1081</v>
      </c>
      <c r="Q20" s="30">
        <v>10760</v>
      </c>
      <c r="R20" s="30">
        <v>107433</v>
      </c>
      <c r="S20" s="30">
        <v>1072668</v>
      </c>
      <c r="W20" s="4"/>
      <c r="X20" s="32">
        <v>13</v>
      </c>
    </row>
    <row r="21" spans="1:25" x14ac:dyDescent="0.15">
      <c r="A21" s="32">
        <v>14</v>
      </c>
      <c r="B21" s="26">
        <v>35889</v>
      </c>
      <c r="C21" s="76">
        <v>6</v>
      </c>
      <c r="D21" s="76">
        <v>6</v>
      </c>
      <c r="E21" s="76">
        <v>5</v>
      </c>
      <c r="F21" s="76">
        <v>1</v>
      </c>
      <c r="G21" s="76">
        <v>9</v>
      </c>
      <c r="H21" s="76">
        <v>9</v>
      </c>
      <c r="I21" s="13">
        <v>2</v>
      </c>
      <c r="J21" s="33">
        <v>28745077.5</v>
      </c>
      <c r="K21" s="160" t="s">
        <v>23</v>
      </c>
      <c r="L21" s="34"/>
      <c r="M21" s="18">
        <v>4235755.9000000004</v>
      </c>
      <c r="N21" s="30">
        <v>11</v>
      </c>
      <c r="O21" s="30">
        <v>83</v>
      </c>
      <c r="P21" s="30">
        <v>925</v>
      </c>
      <c r="Q21" s="30">
        <v>9596</v>
      </c>
      <c r="R21" s="30">
        <v>100014</v>
      </c>
      <c r="S21" s="30">
        <v>993843</v>
      </c>
      <c r="W21" s="4"/>
      <c r="X21" s="32">
        <v>14</v>
      </c>
    </row>
    <row r="22" spans="1:25" x14ac:dyDescent="0.15">
      <c r="A22" s="32">
        <v>15</v>
      </c>
      <c r="B22" s="26">
        <v>35896</v>
      </c>
      <c r="C22" s="76">
        <v>0</v>
      </c>
      <c r="D22" s="76">
        <v>8</v>
      </c>
      <c r="E22" s="76">
        <v>2</v>
      </c>
      <c r="F22" s="76">
        <v>1</v>
      </c>
      <c r="G22" s="76">
        <v>4</v>
      </c>
      <c r="H22" s="76">
        <v>3</v>
      </c>
      <c r="I22" s="13">
        <v>2</v>
      </c>
      <c r="J22" s="33">
        <v>27199135</v>
      </c>
      <c r="K22" s="160" t="s">
        <v>23</v>
      </c>
      <c r="L22" s="18"/>
      <c r="M22" s="18">
        <v>6169614.4000000004</v>
      </c>
      <c r="N22" s="30">
        <v>9</v>
      </c>
      <c r="O22" s="30">
        <v>111</v>
      </c>
      <c r="P22" s="30">
        <v>984</v>
      </c>
      <c r="Q22" s="30">
        <v>9800</v>
      </c>
      <c r="R22" s="30">
        <v>95693</v>
      </c>
      <c r="S22" s="30">
        <v>935855</v>
      </c>
      <c r="W22" s="4"/>
      <c r="X22" s="32">
        <v>15</v>
      </c>
    </row>
    <row r="23" spans="1:25" x14ac:dyDescent="0.15">
      <c r="A23" s="32">
        <v>16</v>
      </c>
      <c r="B23" s="26">
        <v>35903</v>
      </c>
      <c r="C23" s="76">
        <v>1</v>
      </c>
      <c r="D23" s="76">
        <v>3</v>
      </c>
      <c r="E23" s="76">
        <v>1</v>
      </c>
      <c r="F23" s="76">
        <v>3</v>
      </c>
      <c r="G23" s="76">
        <v>0</v>
      </c>
      <c r="H23" s="76">
        <v>6</v>
      </c>
      <c r="I23" s="13">
        <v>8</v>
      </c>
      <c r="J23" s="33">
        <v>28342452.5</v>
      </c>
      <c r="K23" s="160" t="s">
        <v>23</v>
      </c>
      <c r="L23" s="34"/>
      <c r="M23" s="18">
        <v>8184762.7999999998</v>
      </c>
      <c r="N23" s="30">
        <v>10</v>
      </c>
      <c r="O23" s="30">
        <v>114</v>
      </c>
      <c r="P23" s="30">
        <v>1065</v>
      </c>
      <c r="Q23" s="30">
        <v>10481</v>
      </c>
      <c r="R23" s="30">
        <v>108522</v>
      </c>
      <c r="S23" s="30">
        <v>1062127</v>
      </c>
      <c r="W23" s="4"/>
      <c r="X23" s="32">
        <v>16</v>
      </c>
    </row>
    <row r="24" spans="1:25" x14ac:dyDescent="0.15">
      <c r="A24" s="32">
        <v>17</v>
      </c>
      <c r="B24" s="26" t="s">
        <v>331</v>
      </c>
      <c r="C24" s="76">
        <v>0</v>
      </c>
      <c r="D24" s="76">
        <v>0</v>
      </c>
      <c r="E24" s="76">
        <v>9</v>
      </c>
      <c r="F24" s="76">
        <v>5</v>
      </c>
      <c r="G24" s="76">
        <v>3</v>
      </c>
      <c r="H24" s="76">
        <v>5</v>
      </c>
      <c r="I24" s="13">
        <v>2</v>
      </c>
      <c r="J24" s="33">
        <v>30185777.5</v>
      </c>
      <c r="K24" s="160">
        <v>2</v>
      </c>
      <c r="L24" s="18">
        <v>5077777</v>
      </c>
      <c r="M24" s="18">
        <v>175417.60000000001</v>
      </c>
      <c r="N24" s="30">
        <v>18</v>
      </c>
      <c r="O24" s="30">
        <v>120</v>
      </c>
      <c r="P24" s="30">
        <v>1063</v>
      </c>
      <c r="Q24" s="30">
        <v>11080</v>
      </c>
      <c r="R24" s="30">
        <v>107120</v>
      </c>
      <c r="S24" s="30">
        <v>1061902</v>
      </c>
      <c r="W24" s="4"/>
      <c r="X24" s="32">
        <v>17</v>
      </c>
      <c r="Y24" s="5">
        <f t="shared" ref="Y24:Y32" si="0">K24*L24</f>
        <v>10155554</v>
      </c>
    </row>
    <row r="25" spans="1:25" x14ac:dyDescent="0.15">
      <c r="A25" s="32">
        <v>18</v>
      </c>
      <c r="B25" s="26" t="s">
        <v>332</v>
      </c>
      <c r="C25" s="76">
        <v>5</v>
      </c>
      <c r="D25" s="76">
        <v>0</v>
      </c>
      <c r="E25" s="76">
        <v>0</v>
      </c>
      <c r="F25" s="76">
        <v>2</v>
      </c>
      <c r="G25" s="76">
        <v>1</v>
      </c>
      <c r="H25" s="76">
        <v>2</v>
      </c>
      <c r="I25" s="13">
        <v>7</v>
      </c>
      <c r="J25" s="33">
        <v>26610970</v>
      </c>
      <c r="K25" s="160">
        <v>1</v>
      </c>
      <c r="L25" s="34">
        <v>1977777</v>
      </c>
      <c r="M25" s="18">
        <v>89680.6</v>
      </c>
      <c r="N25" s="30">
        <v>5</v>
      </c>
      <c r="O25" s="30">
        <v>86</v>
      </c>
      <c r="P25" s="30">
        <v>1044</v>
      </c>
      <c r="Q25" s="30">
        <v>10648</v>
      </c>
      <c r="R25" s="30">
        <v>106722</v>
      </c>
      <c r="S25" s="30">
        <v>1042612</v>
      </c>
      <c r="W25" s="4"/>
      <c r="X25" s="32">
        <v>18</v>
      </c>
      <c r="Y25" s="5">
        <f t="shared" si="0"/>
        <v>1977777</v>
      </c>
    </row>
    <row r="26" spans="1:25" x14ac:dyDescent="0.15">
      <c r="A26" s="32">
        <v>19</v>
      </c>
      <c r="B26" s="26">
        <v>35924</v>
      </c>
      <c r="C26" s="76">
        <v>4</v>
      </c>
      <c r="D26" s="76">
        <v>3</v>
      </c>
      <c r="E26" s="76">
        <v>4</v>
      </c>
      <c r="F26" s="76">
        <v>7</v>
      </c>
      <c r="G26" s="76">
        <v>5</v>
      </c>
      <c r="H26" s="76">
        <v>3</v>
      </c>
      <c r="I26" s="13">
        <v>2</v>
      </c>
      <c r="J26" s="33">
        <v>31458367.5</v>
      </c>
      <c r="K26" s="160">
        <v>3</v>
      </c>
      <c r="L26" s="34">
        <v>677777</v>
      </c>
      <c r="M26" s="18">
        <v>293039.5</v>
      </c>
      <c r="N26" s="30">
        <v>14</v>
      </c>
      <c r="O26" s="30">
        <v>90</v>
      </c>
      <c r="P26" s="30">
        <v>1174</v>
      </c>
      <c r="Q26" s="30">
        <v>11586</v>
      </c>
      <c r="R26" s="30">
        <v>114723</v>
      </c>
      <c r="S26" s="30">
        <v>1119875</v>
      </c>
      <c r="W26" s="4"/>
      <c r="X26" s="32">
        <v>19</v>
      </c>
      <c r="Y26" s="5">
        <f t="shared" si="0"/>
        <v>2033331</v>
      </c>
    </row>
    <row r="27" spans="1:25" x14ac:dyDescent="0.15">
      <c r="A27" s="32">
        <v>20</v>
      </c>
      <c r="B27" s="26">
        <v>35931</v>
      </c>
      <c r="C27" s="76">
        <v>8</v>
      </c>
      <c r="D27" s="76">
        <v>0</v>
      </c>
      <c r="E27" s="76">
        <v>1</v>
      </c>
      <c r="F27" s="76">
        <v>6</v>
      </c>
      <c r="G27" s="76">
        <v>9</v>
      </c>
      <c r="H27" s="76">
        <v>9</v>
      </c>
      <c r="I27" s="13">
        <v>0</v>
      </c>
      <c r="J27" s="33">
        <v>27115122.5</v>
      </c>
      <c r="K27" s="160">
        <v>1</v>
      </c>
      <c r="L27" s="34">
        <v>2177777</v>
      </c>
      <c r="M27" s="18">
        <v>43147.7</v>
      </c>
      <c r="N27" s="30">
        <v>8</v>
      </c>
      <c r="O27" s="30">
        <v>66</v>
      </c>
      <c r="P27" s="30">
        <v>791</v>
      </c>
      <c r="Q27" s="30">
        <v>8015</v>
      </c>
      <c r="R27" s="30">
        <v>80776</v>
      </c>
      <c r="S27" s="30">
        <v>823781</v>
      </c>
      <c r="W27" s="4"/>
      <c r="X27" s="32">
        <v>20</v>
      </c>
      <c r="Y27" s="5">
        <f t="shared" si="0"/>
        <v>2177777</v>
      </c>
    </row>
    <row r="28" spans="1:25" x14ac:dyDescent="0.15">
      <c r="A28" s="32">
        <v>21</v>
      </c>
      <c r="B28" s="26" t="s">
        <v>333</v>
      </c>
      <c r="C28" s="76">
        <v>1</v>
      </c>
      <c r="D28" s="76">
        <v>7</v>
      </c>
      <c r="E28" s="76">
        <v>0</v>
      </c>
      <c r="F28" s="76">
        <v>9</v>
      </c>
      <c r="G28" s="76">
        <v>3</v>
      </c>
      <c r="H28" s="76">
        <v>7</v>
      </c>
      <c r="I28" s="13">
        <v>7</v>
      </c>
      <c r="J28" s="33">
        <v>27166665</v>
      </c>
      <c r="K28" s="160">
        <v>2</v>
      </c>
      <c r="L28" s="34">
        <v>977777</v>
      </c>
      <c r="M28" s="18">
        <v>19143.599999999999</v>
      </c>
      <c r="N28" s="30">
        <v>7</v>
      </c>
      <c r="O28" s="30">
        <v>113</v>
      </c>
      <c r="P28" s="30">
        <v>1123</v>
      </c>
      <c r="Q28" s="30">
        <v>11440</v>
      </c>
      <c r="R28" s="30">
        <v>115719</v>
      </c>
      <c r="S28" s="30">
        <v>1070047</v>
      </c>
      <c r="W28" s="4"/>
      <c r="X28" s="32">
        <v>21</v>
      </c>
      <c r="Y28" s="5">
        <f t="shared" si="0"/>
        <v>1955554</v>
      </c>
    </row>
    <row r="29" spans="1:25" x14ac:dyDescent="0.15">
      <c r="A29" s="32">
        <v>22</v>
      </c>
      <c r="B29" s="26" t="s">
        <v>334</v>
      </c>
      <c r="C29" s="76">
        <v>9</v>
      </c>
      <c r="D29" s="76">
        <v>6</v>
      </c>
      <c r="E29" s="76">
        <v>9</v>
      </c>
      <c r="F29" s="76">
        <v>4</v>
      </c>
      <c r="G29" s="76">
        <v>6</v>
      </c>
      <c r="H29" s="76">
        <v>3</v>
      </c>
      <c r="I29" s="13">
        <v>8</v>
      </c>
      <c r="J29" s="33">
        <v>29472037.5</v>
      </c>
      <c r="K29" s="160">
        <v>2</v>
      </c>
      <c r="L29" s="18">
        <v>977777</v>
      </c>
      <c r="M29" s="18">
        <v>159051.5</v>
      </c>
      <c r="N29" s="30">
        <v>8</v>
      </c>
      <c r="O29" s="30">
        <v>110</v>
      </c>
      <c r="P29" s="30">
        <v>1168</v>
      </c>
      <c r="Q29" s="30">
        <v>11099</v>
      </c>
      <c r="R29" s="30">
        <v>111561</v>
      </c>
      <c r="S29" s="30">
        <v>1106916</v>
      </c>
      <c r="W29" s="4"/>
      <c r="X29" s="32">
        <v>22</v>
      </c>
      <c r="Y29" s="5">
        <f t="shared" si="0"/>
        <v>1955554</v>
      </c>
    </row>
    <row r="30" spans="1:25" x14ac:dyDescent="0.15">
      <c r="A30" s="32">
        <v>23</v>
      </c>
      <c r="B30" s="26" t="s">
        <v>335</v>
      </c>
      <c r="C30" s="76">
        <v>5</v>
      </c>
      <c r="D30" s="76">
        <v>1</v>
      </c>
      <c r="E30" s="76">
        <v>5</v>
      </c>
      <c r="F30" s="76">
        <v>2</v>
      </c>
      <c r="G30" s="76">
        <v>8</v>
      </c>
      <c r="H30" s="76">
        <v>7</v>
      </c>
      <c r="I30" s="13">
        <v>0</v>
      </c>
      <c r="J30" s="33">
        <v>26413057.5</v>
      </c>
      <c r="K30" s="160">
        <v>1</v>
      </c>
      <c r="L30" s="18">
        <v>1977777</v>
      </c>
      <c r="M30" s="18">
        <v>59242.9</v>
      </c>
      <c r="N30" s="30">
        <v>9</v>
      </c>
      <c r="O30" s="30">
        <v>76</v>
      </c>
      <c r="P30" s="30">
        <v>771</v>
      </c>
      <c r="Q30" s="30">
        <v>8217</v>
      </c>
      <c r="R30" s="30">
        <v>81241</v>
      </c>
      <c r="S30" s="30">
        <v>805543</v>
      </c>
      <c r="W30" s="4"/>
      <c r="X30" s="32">
        <v>23</v>
      </c>
      <c r="Y30" s="5">
        <f t="shared" si="0"/>
        <v>1977777</v>
      </c>
    </row>
    <row r="31" spans="1:25" x14ac:dyDescent="0.15">
      <c r="A31" s="32">
        <v>24</v>
      </c>
      <c r="B31" s="26" t="s">
        <v>336</v>
      </c>
      <c r="C31" s="76">
        <v>7</v>
      </c>
      <c r="D31" s="76">
        <v>9</v>
      </c>
      <c r="E31" s="76">
        <v>9</v>
      </c>
      <c r="F31" s="76">
        <v>7</v>
      </c>
      <c r="G31" s="76">
        <v>1</v>
      </c>
      <c r="H31" s="76">
        <v>6</v>
      </c>
      <c r="I31" s="13">
        <v>6</v>
      </c>
      <c r="J31" s="33">
        <v>26585412.5</v>
      </c>
      <c r="K31" s="160">
        <v>1</v>
      </c>
      <c r="L31" s="34">
        <v>1877777</v>
      </c>
      <c r="M31" s="18">
        <v>71688.7</v>
      </c>
      <c r="N31" s="30">
        <v>8</v>
      </c>
      <c r="O31" s="30">
        <v>103</v>
      </c>
      <c r="P31" s="30">
        <v>1036</v>
      </c>
      <c r="Q31" s="30">
        <v>10221</v>
      </c>
      <c r="R31" s="30">
        <v>104009</v>
      </c>
      <c r="S31" s="30">
        <v>997010</v>
      </c>
      <c r="W31" s="4"/>
      <c r="X31" s="32">
        <v>24</v>
      </c>
      <c r="Y31" s="5">
        <f t="shared" si="0"/>
        <v>1877777</v>
      </c>
    </row>
    <row r="32" spans="1:25" x14ac:dyDescent="0.15">
      <c r="A32" s="32">
        <v>25</v>
      </c>
      <c r="B32" s="26" t="s">
        <v>337</v>
      </c>
      <c r="C32" s="76">
        <v>2</v>
      </c>
      <c r="D32" s="76">
        <v>4</v>
      </c>
      <c r="E32" s="76">
        <v>1</v>
      </c>
      <c r="F32" s="76">
        <v>4</v>
      </c>
      <c r="G32" s="76">
        <v>1</v>
      </c>
      <c r="H32" s="76">
        <v>2</v>
      </c>
      <c r="I32" s="13">
        <v>6</v>
      </c>
      <c r="J32" s="33">
        <v>27591332.5</v>
      </c>
      <c r="K32" s="160">
        <v>1</v>
      </c>
      <c r="L32" s="18">
        <v>1977777</v>
      </c>
      <c r="M32" s="18">
        <v>55655.4</v>
      </c>
      <c r="N32" s="30">
        <v>9</v>
      </c>
      <c r="O32" s="30">
        <v>115</v>
      </c>
      <c r="P32" s="30">
        <v>1073</v>
      </c>
      <c r="Q32" s="30">
        <v>10282</v>
      </c>
      <c r="R32" s="30">
        <v>104049</v>
      </c>
      <c r="S32" s="30">
        <v>1038443</v>
      </c>
      <c r="W32" s="4"/>
      <c r="X32" s="32">
        <v>25</v>
      </c>
      <c r="Y32" s="5">
        <f t="shared" si="0"/>
        <v>1977777</v>
      </c>
    </row>
    <row r="33" spans="1:25" x14ac:dyDescent="0.15">
      <c r="A33" s="32">
        <v>26</v>
      </c>
      <c r="B33" s="26" t="s">
        <v>338</v>
      </c>
      <c r="C33" s="76">
        <v>7</v>
      </c>
      <c r="D33" s="76">
        <v>5</v>
      </c>
      <c r="E33" s="76">
        <v>9</v>
      </c>
      <c r="F33" s="76">
        <v>0</v>
      </c>
      <c r="G33" s="76">
        <v>8</v>
      </c>
      <c r="H33" s="76">
        <v>7</v>
      </c>
      <c r="I33" s="13">
        <v>4</v>
      </c>
      <c r="J33" s="33">
        <v>26194152.5</v>
      </c>
      <c r="K33" s="160" t="s">
        <v>23</v>
      </c>
      <c r="L33" s="34"/>
      <c r="M33" s="18">
        <v>1918059.6</v>
      </c>
      <c r="N33" s="30">
        <v>9</v>
      </c>
      <c r="O33" s="30">
        <v>101</v>
      </c>
      <c r="P33" s="30">
        <v>935</v>
      </c>
      <c r="Q33" s="30">
        <v>9251</v>
      </c>
      <c r="R33" s="30">
        <v>92016</v>
      </c>
      <c r="S33" s="30">
        <v>925669</v>
      </c>
      <c r="W33" s="4"/>
      <c r="X33" s="32">
        <v>26</v>
      </c>
    </row>
    <row r="34" spans="1:25" x14ac:dyDescent="0.15">
      <c r="A34" s="32">
        <v>27</v>
      </c>
      <c r="B34" s="26" t="s">
        <v>339</v>
      </c>
      <c r="C34" s="76">
        <v>7</v>
      </c>
      <c r="D34" s="76">
        <v>2</v>
      </c>
      <c r="E34" s="76">
        <v>1</v>
      </c>
      <c r="F34" s="76">
        <v>0</v>
      </c>
      <c r="G34" s="76">
        <v>3</v>
      </c>
      <c r="H34" s="76">
        <v>2</v>
      </c>
      <c r="I34" s="13">
        <v>8</v>
      </c>
      <c r="J34" s="33">
        <v>26818365</v>
      </c>
      <c r="K34" s="160">
        <v>1</v>
      </c>
      <c r="L34" s="18">
        <v>3777777</v>
      </c>
      <c r="M34" s="18">
        <v>47068.4</v>
      </c>
      <c r="N34" s="30">
        <v>10</v>
      </c>
      <c r="O34" s="30">
        <v>90</v>
      </c>
      <c r="P34" s="30">
        <v>1016</v>
      </c>
      <c r="Q34" s="30">
        <v>10415</v>
      </c>
      <c r="R34" s="30">
        <v>102845</v>
      </c>
      <c r="S34" s="30">
        <v>1019671</v>
      </c>
      <c r="W34" s="4"/>
      <c r="X34" s="32">
        <v>27</v>
      </c>
      <c r="Y34" s="5">
        <f>K34*L34</f>
        <v>3777777</v>
      </c>
    </row>
    <row r="35" spans="1:25" x14ac:dyDescent="0.15">
      <c r="A35" s="32">
        <v>28</v>
      </c>
      <c r="B35" s="26" t="s">
        <v>340</v>
      </c>
      <c r="C35" s="76">
        <v>4</v>
      </c>
      <c r="D35" s="76">
        <v>8</v>
      </c>
      <c r="E35" s="76">
        <v>4</v>
      </c>
      <c r="F35" s="76">
        <v>7</v>
      </c>
      <c r="G35" s="76">
        <v>0</v>
      </c>
      <c r="H35" s="76">
        <v>1</v>
      </c>
      <c r="I35" s="13">
        <v>8</v>
      </c>
      <c r="J35" s="33">
        <v>27806702.5</v>
      </c>
      <c r="K35" s="160">
        <v>2</v>
      </c>
      <c r="L35" s="18">
        <v>977777</v>
      </c>
      <c r="M35" s="18">
        <v>68570.899999999994</v>
      </c>
      <c r="N35" s="30">
        <v>5</v>
      </c>
      <c r="O35" s="30">
        <v>96</v>
      </c>
      <c r="P35" s="30">
        <v>1027</v>
      </c>
      <c r="Q35" s="30">
        <v>10111</v>
      </c>
      <c r="R35" s="30">
        <v>103409</v>
      </c>
      <c r="S35" s="30">
        <v>1056929</v>
      </c>
      <c r="W35" s="4"/>
      <c r="X35" s="32">
        <v>28</v>
      </c>
      <c r="Y35" s="5">
        <f>K35*L35</f>
        <v>1955554</v>
      </c>
    </row>
    <row r="36" spans="1:25" x14ac:dyDescent="0.15">
      <c r="A36" s="32">
        <v>29</v>
      </c>
      <c r="B36" s="26" t="s">
        <v>341</v>
      </c>
      <c r="C36" s="76">
        <v>4</v>
      </c>
      <c r="D36" s="76">
        <v>7</v>
      </c>
      <c r="E36" s="76">
        <v>4</v>
      </c>
      <c r="F36" s="76">
        <v>1</v>
      </c>
      <c r="G36" s="76">
        <v>6</v>
      </c>
      <c r="H36" s="76">
        <v>7</v>
      </c>
      <c r="I36" s="13">
        <v>5</v>
      </c>
      <c r="J36" s="33">
        <v>28533755</v>
      </c>
      <c r="K36" s="160">
        <v>1</v>
      </c>
      <c r="L36" s="18">
        <v>2077777</v>
      </c>
      <c r="M36" s="18">
        <v>19543.900000000001</v>
      </c>
      <c r="N36" s="30">
        <v>6</v>
      </c>
      <c r="O36" s="30">
        <v>132</v>
      </c>
      <c r="P36" s="30">
        <v>1114</v>
      </c>
      <c r="Q36" s="30">
        <v>11060</v>
      </c>
      <c r="R36" s="30">
        <v>109242</v>
      </c>
      <c r="S36" s="30">
        <v>1068691</v>
      </c>
      <c r="W36" s="4"/>
      <c r="X36" s="32">
        <v>29</v>
      </c>
      <c r="Y36" s="5">
        <f>K36*L36</f>
        <v>2077777</v>
      </c>
    </row>
    <row r="37" spans="1:25" x14ac:dyDescent="0.15">
      <c r="A37" s="32">
        <v>30</v>
      </c>
      <c r="B37" s="26" t="s">
        <v>342</v>
      </c>
      <c r="C37" s="76">
        <v>3</v>
      </c>
      <c r="D37" s="76">
        <v>9</v>
      </c>
      <c r="E37" s="76">
        <v>3</v>
      </c>
      <c r="F37" s="76">
        <v>2</v>
      </c>
      <c r="G37" s="76">
        <v>0</v>
      </c>
      <c r="H37" s="76">
        <v>2</v>
      </c>
      <c r="I37" s="13">
        <v>9</v>
      </c>
      <c r="J37" s="33">
        <v>30742280</v>
      </c>
      <c r="K37" s="160" t="s">
        <v>23</v>
      </c>
      <c r="L37" s="18"/>
      <c r="M37" s="18">
        <v>2205320</v>
      </c>
      <c r="N37" s="30">
        <v>12</v>
      </c>
      <c r="O37" s="30">
        <v>100</v>
      </c>
      <c r="P37" s="30">
        <v>1039</v>
      </c>
      <c r="Q37" s="30">
        <v>10814</v>
      </c>
      <c r="R37" s="30">
        <v>111259</v>
      </c>
      <c r="S37" s="30">
        <v>1101216</v>
      </c>
      <c r="W37" s="4"/>
      <c r="X37" s="32">
        <v>30</v>
      </c>
    </row>
    <row r="38" spans="1:25" x14ac:dyDescent="0.15">
      <c r="A38" s="32">
        <v>31</v>
      </c>
      <c r="B38" s="26" t="s">
        <v>343</v>
      </c>
      <c r="C38" s="76">
        <v>0</v>
      </c>
      <c r="D38" s="76">
        <v>9</v>
      </c>
      <c r="E38" s="76">
        <v>8</v>
      </c>
      <c r="F38" s="76">
        <v>6</v>
      </c>
      <c r="G38" s="76">
        <v>2</v>
      </c>
      <c r="H38" s="76">
        <v>7</v>
      </c>
      <c r="I38" s="13">
        <v>4</v>
      </c>
      <c r="J38" s="33">
        <v>39289787.5</v>
      </c>
      <c r="K38" s="160">
        <v>1</v>
      </c>
      <c r="L38" s="34">
        <v>4977777</v>
      </c>
      <c r="M38" s="18">
        <v>21046.9</v>
      </c>
      <c r="N38" s="30">
        <v>12</v>
      </c>
      <c r="O38" s="30">
        <v>148</v>
      </c>
      <c r="P38" s="30">
        <v>1406</v>
      </c>
      <c r="Q38" s="30">
        <v>14038</v>
      </c>
      <c r="R38" s="30">
        <v>139015</v>
      </c>
      <c r="S38" s="30">
        <v>1392328</v>
      </c>
      <c r="W38" s="4"/>
      <c r="X38" s="32">
        <v>31</v>
      </c>
      <c r="Y38" s="5">
        <f t="shared" ref="Y38:Y45" si="1">K38*L38</f>
        <v>4977777</v>
      </c>
    </row>
    <row r="39" spans="1:25" x14ac:dyDescent="0.15">
      <c r="A39" s="32">
        <v>32</v>
      </c>
      <c r="B39" s="26" t="s">
        <v>344</v>
      </c>
      <c r="C39" s="76">
        <v>9</v>
      </c>
      <c r="D39" s="76">
        <v>4</v>
      </c>
      <c r="E39" s="76">
        <v>2</v>
      </c>
      <c r="F39" s="76">
        <v>4</v>
      </c>
      <c r="G39" s="76">
        <v>8</v>
      </c>
      <c r="H39" s="76">
        <v>1</v>
      </c>
      <c r="I39" s="13">
        <v>4</v>
      </c>
      <c r="J39" s="33">
        <v>52754145</v>
      </c>
      <c r="K39" s="160">
        <v>4</v>
      </c>
      <c r="L39" s="34">
        <v>877777</v>
      </c>
      <c r="M39" s="18">
        <v>260758.6</v>
      </c>
      <c r="N39" s="30">
        <v>20</v>
      </c>
      <c r="O39" s="30">
        <v>176</v>
      </c>
      <c r="P39" s="30">
        <v>1816</v>
      </c>
      <c r="Q39" s="30">
        <v>18772</v>
      </c>
      <c r="R39" s="30">
        <v>184775</v>
      </c>
      <c r="S39" s="30">
        <v>1880367</v>
      </c>
      <c r="W39" s="4"/>
      <c r="X39" s="32">
        <v>32</v>
      </c>
      <c r="Y39" s="5">
        <f t="shared" si="1"/>
        <v>3511108</v>
      </c>
    </row>
    <row r="40" spans="1:25" x14ac:dyDescent="0.15">
      <c r="A40" s="32">
        <v>33</v>
      </c>
      <c r="B40" s="26">
        <v>36022</v>
      </c>
      <c r="C40" s="76">
        <v>1</v>
      </c>
      <c r="D40" s="76">
        <v>9</v>
      </c>
      <c r="E40" s="76">
        <v>1</v>
      </c>
      <c r="F40" s="76">
        <v>9</v>
      </c>
      <c r="G40" s="76">
        <v>9</v>
      </c>
      <c r="H40" s="76">
        <v>9</v>
      </c>
      <c r="I40" s="13">
        <v>3</v>
      </c>
      <c r="J40" s="33">
        <v>30124472.5</v>
      </c>
      <c r="K40" s="160">
        <v>1</v>
      </c>
      <c r="L40" s="18">
        <v>2377777</v>
      </c>
      <c r="M40" s="18">
        <v>24831.599999999999</v>
      </c>
      <c r="N40" s="30">
        <v>8</v>
      </c>
      <c r="O40" s="30">
        <v>86</v>
      </c>
      <c r="P40" s="30">
        <v>948</v>
      </c>
      <c r="Q40" s="30">
        <v>10328</v>
      </c>
      <c r="R40" s="30">
        <v>107265</v>
      </c>
      <c r="S40" s="30">
        <v>1088987</v>
      </c>
      <c r="W40" s="4"/>
      <c r="X40" s="32">
        <v>33</v>
      </c>
      <c r="Y40" s="5">
        <f t="shared" si="1"/>
        <v>2377777</v>
      </c>
    </row>
    <row r="41" spans="1:25" x14ac:dyDescent="0.15">
      <c r="A41" s="32">
        <v>34</v>
      </c>
      <c r="B41" s="26" t="s">
        <v>345</v>
      </c>
      <c r="C41" s="76">
        <v>7</v>
      </c>
      <c r="D41" s="76">
        <v>9</v>
      </c>
      <c r="E41" s="76">
        <v>1</v>
      </c>
      <c r="F41" s="76">
        <v>7</v>
      </c>
      <c r="G41" s="76">
        <v>1</v>
      </c>
      <c r="H41" s="76">
        <v>8</v>
      </c>
      <c r="I41" s="13">
        <v>8</v>
      </c>
      <c r="J41" s="33">
        <v>28930877.5</v>
      </c>
      <c r="K41" s="160">
        <v>1</v>
      </c>
      <c r="L41" s="18">
        <v>2077777</v>
      </c>
      <c r="M41" s="18">
        <v>4040</v>
      </c>
      <c r="N41" s="30">
        <v>11</v>
      </c>
      <c r="O41" s="30">
        <v>103</v>
      </c>
      <c r="P41" s="30">
        <v>1067</v>
      </c>
      <c r="Q41" s="30">
        <v>11151</v>
      </c>
      <c r="R41" s="30">
        <v>113306</v>
      </c>
      <c r="S41" s="30">
        <v>1132261</v>
      </c>
      <c r="W41" s="4"/>
      <c r="X41" s="32">
        <v>34</v>
      </c>
      <c r="Y41" s="5">
        <f t="shared" si="1"/>
        <v>2077777</v>
      </c>
    </row>
    <row r="42" spans="1:25" x14ac:dyDescent="0.15">
      <c r="A42" s="32">
        <v>35</v>
      </c>
      <c r="B42" s="26" t="s">
        <v>346</v>
      </c>
      <c r="C42" s="76">
        <v>2</v>
      </c>
      <c r="D42" s="76">
        <v>5</v>
      </c>
      <c r="E42" s="76">
        <v>1</v>
      </c>
      <c r="F42" s="76">
        <v>7</v>
      </c>
      <c r="G42" s="76">
        <v>6</v>
      </c>
      <c r="H42" s="76">
        <v>4</v>
      </c>
      <c r="I42" s="13">
        <v>4</v>
      </c>
      <c r="J42" s="33">
        <v>29224605</v>
      </c>
      <c r="K42" s="160">
        <v>3</v>
      </c>
      <c r="L42" s="18">
        <v>677777</v>
      </c>
      <c r="M42" s="18">
        <v>48578.400000000001</v>
      </c>
      <c r="N42" s="30">
        <v>18</v>
      </c>
      <c r="O42" s="30">
        <v>105</v>
      </c>
      <c r="P42" s="30">
        <v>1082</v>
      </c>
      <c r="Q42" s="30">
        <v>10466</v>
      </c>
      <c r="R42" s="30">
        <v>106835</v>
      </c>
      <c r="S42" s="30">
        <v>1044580</v>
      </c>
      <c r="W42" s="4"/>
      <c r="X42" s="32">
        <v>35</v>
      </c>
      <c r="Y42" s="5">
        <f t="shared" si="1"/>
        <v>2033331</v>
      </c>
    </row>
    <row r="43" spans="1:25" x14ac:dyDescent="0.15">
      <c r="A43" s="32">
        <v>36</v>
      </c>
      <c r="B43" s="26">
        <v>36043</v>
      </c>
      <c r="C43" s="76">
        <v>2</v>
      </c>
      <c r="D43" s="76">
        <v>8</v>
      </c>
      <c r="E43" s="76">
        <v>7</v>
      </c>
      <c r="F43" s="76">
        <v>1</v>
      </c>
      <c r="G43" s="76">
        <v>3</v>
      </c>
      <c r="H43" s="76">
        <v>8</v>
      </c>
      <c r="I43" s="13">
        <v>0</v>
      </c>
      <c r="J43" s="33">
        <v>32684617.5</v>
      </c>
      <c r="K43" s="160">
        <v>1</v>
      </c>
      <c r="L43" s="18">
        <v>2277777</v>
      </c>
      <c r="M43" s="18">
        <v>94677.7</v>
      </c>
      <c r="N43" s="30">
        <v>8</v>
      </c>
      <c r="O43" s="30">
        <v>103</v>
      </c>
      <c r="P43" s="30">
        <v>1033</v>
      </c>
      <c r="Q43" s="30">
        <v>10086</v>
      </c>
      <c r="R43" s="30">
        <v>99865</v>
      </c>
      <c r="S43" s="30">
        <v>1017432</v>
      </c>
      <c r="W43" s="4"/>
      <c r="X43" s="32">
        <v>36</v>
      </c>
      <c r="Y43" s="5">
        <f t="shared" si="1"/>
        <v>2277777</v>
      </c>
    </row>
    <row r="44" spans="1:25" x14ac:dyDescent="0.15">
      <c r="A44" s="32">
        <v>37</v>
      </c>
      <c r="B44" s="26" t="s">
        <v>347</v>
      </c>
      <c r="C44" s="76">
        <v>8</v>
      </c>
      <c r="D44" s="76">
        <v>8</v>
      </c>
      <c r="E44" s="76">
        <v>5</v>
      </c>
      <c r="F44" s="76">
        <v>0</v>
      </c>
      <c r="G44" s="76">
        <v>8</v>
      </c>
      <c r="H44" s="76">
        <v>3</v>
      </c>
      <c r="I44" s="13">
        <v>0</v>
      </c>
      <c r="J44" s="33">
        <v>29020602.5</v>
      </c>
      <c r="K44" s="160">
        <v>1</v>
      </c>
      <c r="L44" s="34">
        <v>2077777</v>
      </c>
      <c r="M44" s="18">
        <v>80265.5</v>
      </c>
      <c r="N44" s="30">
        <v>5</v>
      </c>
      <c r="O44" s="30">
        <v>78</v>
      </c>
      <c r="P44" s="30">
        <v>910</v>
      </c>
      <c r="Q44" s="30">
        <v>8820</v>
      </c>
      <c r="R44" s="30">
        <v>90100</v>
      </c>
      <c r="S44" s="30">
        <v>897567</v>
      </c>
      <c r="W44" s="4"/>
      <c r="X44" s="32">
        <v>37</v>
      </c>
      <c r="Y44" s="5">
        <f t="shared" si="1"/>
        <v>2077777</v>
      </c>
    </row>
    <row r="45" spans="1:25" x14ac:dyDescent="0.15">
      <c r="A45" s="32">
        <v>38</v>
      </c>
      <c r="B45" s="26" t="s">
        <v>348</v>
      </c>
      <c r="C45" s="76">
        <v>6</v>
      </c>
      <c r="D45" s="76">
        <v>1</v>
      </c>
      <c r="E45" s="76">
        <v>8</v>
      </c>
      <c r="F45" s="76">
        <v>1</v>
      </c>
      <c r="G45" s="76">
        <v>3</v>
      </c>
      <c r="H45" s="76">
        <v>4</v>
      </c>
      <c r="I45" s="13">
        <v>5</v>
      </c>
      <c r="J45" s="33">
        <v>29310435</v>
      </c>
      <c r="K45" s="160">
        <v>3</v>
      </c>
      <c r="L45" s="34">
        <v>677777</v>
      </c>
      <c r="M45" s="18">
        <v>130906.4</v>
      </c>
      <c r="N45" s="30">
        <v>8</v>
      </c>
      <c r="O45" s="30">
        <v>111</v>
      </c>
      <c r="P45" s="30">
        <v>1154</v>
      </c>
      <c r="Q45" s="30">
        <v>11283</v>
      </c>
      <c r="R45" s="30">
        <v>111558</v>
      </c>
      <c r="S45" s="30">
        <v>1087175</v>
      </c>
      <c r="W45" s="4"/>
      <c r="X45" s="32">
        <v>38</v>
      </c>
      <c r="Y45" s="5">
        <f t="shared" si="1"/>
        <v>2033331</v>
      </c>
    </row>
    <row r="46" spans="1:25" x14ac:dyDescent="0.15">
      <c r="A46" s="32">
        <v>39</v>
      </c>
      <c r="B46" s="26" t="s">
        <v>349</v>
      </c>
      <c r="C46" s="76">
        <v>8</v>
      </c>
      <c r="D46" s="76">
        <v>1</v>
      </c>
      <c r="E46" s="76">
        <v>3</v>
      </c>
      <c r="F46" s="76">
        <v>1</v>
      </c>
      <c r="G46" s="76">
        <v>3</v>
      </c>
      <c r="H46" s="76">
        <v>3</v>
      </c>
      <c r="I46" s="13">
        <v>8</v>
      </c>
      <c r="J46" s="33">
        <v>30462215</v>
      </c>
      <c r="K46" s="160" t="s">
        <v>23</v>
      </c>
      <c r="L46" s="35"/>
      <c r="M46" s="18">
        <v>2296769.9</v>
      </c>
      <c r="N46" s="30">
        <v>6</v>
      </c>
      <c r="O46" s="30">
        <v>92</v>
      </c>
      <c r="P46" s="30">
        <v>1202</v>
      </c>
      <c r="Q46" s="30">
        <v>11805</v>
      </c>
      <c r="R46" s="30">
        <v>122101</v>
      </c>
      <c r="S46" s="30">
        <v>1195936</v>
      </c>
      <c r="W46" s="4"/>
      <c r="X46" s="32">
        <v>39</v>
      </c>
    </row>
    <row r="47" spans="1:25" x14ac:dyDescent="0.15">
      <c r="A47" s="32">
        <v>40</v>
      </c>
      <c r="B47" s="26" t="s">
        <v>350</v>
      </c>
      <c r="C47" s="76">
        <v>7</v>
      </c>
      <c r="D47" s="76">
        <v>0</v>
      </c>
      <c r="E47" s="76">
        <v>6</v>
      </c>
      <c r="F47" s="76">
        <v>5</v>
      </c>
      <c r="G47" s="76">
        <v>4</v>
      </c>
      <c r="H47" s="76">
        <v>0</v>
      </c>
      <c r="I47" s="13">
        <v>9</v>
      </c>
      <c r="J47" s="33">
        <v>27492135</v>
      </c>
      <c r="K47" s="160" t="s">
        <v>23</v>
      </c>
      <c r="L47" s="18"/>
      <c r="M47" s="18">
        <v>4251460.7</v>
      </c>
      <c r="N47" s="30">
        <v>10</v>
      </c>
      <c r="O47" s="30">
        <v>84</v>
      </c>
      <c r="P47" s="30">
        <v>819</v>
      </c>
      <c r="Q47" s="30">
        <v>8875</v>
      </c>
      <c r="R47" s="30">
        <v>87012</v>
      </c>
      <c r="S47" s="30">
        <v>994965</v>
      </c>
      <c r="W47" s="4"/>
      <c r="X47" s="32">
        <v>40</v>
      </c>
    </row>
    <row r="48" spans="1:25" x14ac:dyDescent="0.15">
      <c r="A48" s="32">
        <v>41</v>
      </c>
      <c r="B48" s="26" t="s">
        <v>351</v>
      </c>
      <c r="C48" s="76">
        <v>1</v>
      </c>
      <c r="D48" s="76">
        <v>5</v>
      </c>
      <c r="E48" s="76">
        <v>3</v>
      </c>
      <c r="F48" s="76">
        <v>2</v>
      </c>
      <c r="G48" s="76">
        <v>1</v>
      </c>
      <c r="H48" s="76">
        <v>0</v>
      </c>
      <c r="I48" s="13">
        <v>9</v>
      </c>
      <c r="J48" s="33">
        <v>28779605</v>
      </c>
      <c r="K48" s="160">
        <v>1</v>
      </c>
      <c r="L48" s="34">
        <v>6277777</v>
      </c>
      <c r="M48" s="18">
        <v>19913.599999999999</v>
      </c>
      <c r="N48" s="30">
        <v>14</v>
      </c>
      <c r="O48" s="30">
        <v>96</v>
      </c>
      <c r="P48" s="30">
        <v>929</v>
      </c>
      <c r="Q48" s="30">
        <v>9233</v>
      </c>
      <c r="R48" s="30">
        <v>90812</v>
      </c>
      <c r="S48" s="30">
        <v>1032789</v>
      </c>
      <c r="W48" s="4"/>
      <c r="X48" s="32">
        <v>41</v>
      </c>
      <c r="Y48" s="5">
        <f t="shared" ref="Y48:Y54" si="2">K48*L48</f>
        <v>6277777</v>
      </c>
    </row>
    <row r="49" spans="1:25" x14ac:dyDescent="0.15">
      <c r="A49" s="32">
        <v>42</v>
      </c>
      <c r="B49" s="26" t="s">
        <v>352</v>
      </c>
      <c r="C49" s="76">
        <v>2</v>
      </c>
      <c r="D49" s="76">
        <v>7</v>
      </c>
      <c r="E49" s="76">
        <v>7</v>
      </c>
      <c r="F49" s="76">
        <v>9</v>
      </c>
      <c r="G49" s="76">
        <v>4</v>
      </c>
      <c r="H49" s="76">
        <v>0</v>
      </c>
      <c r="I49" s="13">
        <v>6</v>
      </c>
      <c r="J49" s="33">
        <v>28452167.5</v>
      </c>
      <c r="K49" s="160">
        <v>2</v>
      </c>
      <c r="L49" s="18">
        <v>977777</v>
      </c>
      <c r="M49" s="18">
        <v>87315.8</v>
      </c>
      <c r="N49" s="30">
        <v>5</v>
      </c>
      <c r="O49" s="30">
        <v>98</v>
      </c>
      <c r="P49" s="30">
        <v>973</v>
      </c>
      <c r="Q49" s="30">
        <v>9670</v>
      </c>
      <c r="R49" s="30">
        <v>97300</v>
      </c>
      <c r="S49" s="30">
        <v>1104763</v>
      </c>
      <c r="W49" s="4"/>
      <c r="X49" s="32">
        <v>42</v>
      </c>
      <c r="Y49" s="5">
        <f t="shared" si="2"/>
        <v>1955554</v>
      </c>
    </row>
    <row r="50" spans="1:25" x14ac:dyDescent="0.15">
      <c r="A50" s="32">
        <v>43</v>
      </c>
      <c r="B50" s="26" t="s">
        <v>353</v>
      </c>
      <c r="C50" s="76">
        <v>0</v>
      </c>
      <c r="D50" s="76">
        <v>3</v>
      </c>
      <c r="E50" s="76">
        <v>7</v>
      </c>
      <c r="F50" s="76">
        <v>4</v>
      </c>
      <c r="G50" s="76">
        <v>3</v>
      </c>
      <c r="H50" s="76">
        <v>1</v>
      </c>
      <c r="I50" s="13">
        <v>6</v>
      </c>
      <c r="J50" s="33">
        <v>28011005</v>
      </c>
      <c r="K50" s="160">
        <v>1</v>
      </c>
      <c r="L50" s="34">
        <v>2077777</v>
      </c>
      <c r="M50" s="18">
        <v>1121.3</v>
      </c>
      <c r="N50" s="30">
        <v>10</v>
      </c>
      <c r="O50" s="30">
        <v>113</v>
      </c>
      <c r="P50" s="30">
        <v>1088</v>
      </c>
      <c r="Q50" s="30">
        <v>10529</v>
      </c>
      <c r="R50" s="30">
        <v>104389</v>
      </c>
      <c r="S50" s="30">
        <v>1073770</v>
      </c>
      <c r="X50" s="32">
        <v>43</v>
      </c>
      <c r="Y50" s="5">
        <f t="shared" si="2"/>
        <v>2077777</v>
      </c>
    </row>
    <row r="51" spans="1:25" x14ac:dyDescent="0.15">
      <c r="A51" s="32">
        <v>44</v>
      </c>
      <c r="B51" s="26" t="s">
        <v>354</v>
      </c>
      <c r="C51" s="76">
        <v>3</v>
      </c>
      <c r="D51" s="76">
        <v>5</v>
      </c>
      <c r="E51" s="76">
        <v>3</v>
      </c>
      <c r="F51" s="76">
        <v>8</v>
      </c>
      <c r="G51" s="76">
        <v>3</v>
      </c>
      <c r="H51" s="76">
        <v>7</v>
      </c>
      <c r="I51" s="13">
        <v>3</v>
      </c>
      <c r="J51" s="33">
        <v>28138500</v>
      </c>
      <c r="K51" s="160">
        <v>1</v>
      </c>
      <c r="L51" s="18">
        <v>1977777</v>
      </c>
      <c r="M51" s="18">
        <v>23991.7</v>
      </c>
      <c r="N51" s="30">
        <v>7</v>
      </c>
      <c r="O51" s="30">
        <v>109</v>
      </c>
      <c r="P51" s="30">
        <v>1011</v>
      </c>
      <c r="Q51" s="30">
        <v>10125</v>
      </c>
      <c r="R51" s="30">
        <v>100074</v>
      </c>
      <c r="S51" s="30">
        <v>1009769</v>
      </c>
      <c r="X51" s="32">
        <v>44</v>
      </c>
      <c r="Y51" s="5">
        <f t="shared" si="2"/>
        <v>1977777</v>
      </c>
    </row>
    <row r="52" spans="1:25" x14ac:dyDescent="0.15">
      <c r="A52" s="32">
        <v>45</v>
      </c>
      <c r="B52" s="26" t="s">
        <v>355</v>
      </c>
      <c r="C52" s="76">
        <v>9</v>
      </c>
      <c r="D52" s="76">
        <v>4</v>
      </c>
      <c r="E52" s="76">
        <v>7</v>
      </c>
      <c r="F52" s="76">
        <v>0</v>
      </c>
      <c r="G52" s="76">
        <v>3</v>
      </c>
      <c r="H52" s="76">
        <v>7</v>
      </c>
      <c r="I52" s="13">
        <v>5</v>
      </c>
      <c r="J52" s="33">
        <v>28823957.5</v>
      </c>
      <c r="K52" s="160">
        <v>2</v>
      </c>
      <c r="L52" s="18">
        <v>977777</v>
      </c>
      <c r="M52" s="18">
        <v>117821.1</v>
      </c>
      <c r="N52" s="30">
        <v>15</v>
      </c>
      <c r="O52" s="30">
        <v>130</v>
      </c>
      <c r="P52" s="30">
        <v>1122</v>
      </c>
      <c r="Q52" s="30">
        <v>11210</v>
      </c>
      <c r="R52" s="30">
        <v>111490</v>
      </c>
      <c r="S52" s="30">
        <v>1076160</v>
      </c>
      <c r="X52" s="32">
        <v>45</v>
      </c>
      <c r="Y52" s="5">
        <f t="shared" si="2"/>
        <v>1955554</v>
      </c>
    </row>
    <row r="53" spans="1:25" x14ac:dyDescent="0.15">
      <c r="A53" s="32">
        <v>46</v>
      </c>
      <c r="B53" s="26" t="s">
        <v>356</v>
      </c>
      <c r="C53" s="76">
        <v>8</v>
      </c>
      <c r="D53" s="76">
        <v>9</v>
      </c>
      <c r="E53" s="76">
        <v>2</v>
      </c>
      <c r="F53" s="76">
        <v>7</v>
      </c>
      <c r="G53" s="76">
        <v>1</v>
      </c>
      <c r="H53" s="76">
        <v>2</v>
      </c>
      <c r="I53" s="13">
        <v>9</v>
      </c>
      <c r="J53" s="33">
        <v>29040795</v>
      </c>
      <c r="K53" s="160">
        <v>1</v>
      </c>
      <c r="L53" s="18">
        <v>2177777</v>
      </c>
      <c r="M53" s="18">
        <v>4844.6000000000004</v>
      </c>
      <c r="N53" s="30">
        <v>11</v>
      </c>
      <c r="O53" s="30">
        <v>121</v>
      </c>
      <c r="P53" s="30">
        <v>1103</v>
      </c>
      <c r="Q53" s="30">
        <v>10883</v>
      </c>
      <c r="R53" s="30">
        <v>106951</v>
      </c>
      <c r="S53" s="30">
        <v>1063632</v>
      </c>
      <c r="X53" s="32">
        <v>46</v>
      </c>
      <c r="Y53" s="5">
        <f t="shared" si="2"/>
        <v>2177777</v>
      </c>
    </row>
    <row r="54" spans="1:25" x14ac:dyDescent="0.15">
      <c r="A54" s="32">
        <v>47</v>
      </c>
      <c r="B54" s="26" t="s">
        <v>357</v>
      </c>
      <c r="C54" s="76">
        <v>7</v>
      </c>
      <c r="D54" s="76">
        <v>6</v>
      </c>
      <c r="E54" s="76">
        <v>8</v>
      </c>
      <c r="F54" s="76">
        <v>5</v>
      </c>
      <c r="G54" s="76">
        <v>0</v>
      </c>
      <c r="H54" s="76">
        <v>3</v>
      </c>
      <c r="I54" s="13">
        <v>5</v>
      </c>
      <c r="J54" s="33">
        <v>28996645</v>
      </c>
      <c r="K54" s="160">
        <v>3</v>
      </c>
      <c r="L54" s="18">
        <v>677777</v>
      </c>
      <c r="M54" s="18">
        <v>33175.1</v>
      </c>
      <c r="N54" s="30">
        <v>12</v>
      </c>
      <c r="O54" s="30">
        <v>106</v>
      </c>
      <c r="P54" s="30">
        <v>1083</v>
      </c>
      <c r="Q54" s="30">
        <v>10468</v>
      </c>
      <c r="R54" s="30">
        <v>111303</v>
      </c>
      <c r="S54" s="30">
        <v>1092511</v>
      </c>
      <c r="X54" s="32">
        <v>47</v>
      </c>
      <c r="Y54" s="5">
        <f t="shared" si="2"/>
        <v>2033331</v>
      </c>
    </row>
    <row r="55" spans="1:25" x14ac:dyDescent="0.15">
      <c r="A55" s="32">
        <v>48</v>
      </c>
      <c r="B55" s="26" t="s">
        <v>358</v>
      </c>
      <c r="C55" s="76">
        <v>2</v>
      </c>
      <c r="D55" s="76">
        <v>9</v>
      </c>
      <c r="E55" s="76">
        <v>3</v>
      </c>
      <c r="F55" s="76">
        <v>4</v>
      </c>
      <c r="G55" s="76">
        <v>8</v>
      </c>
      <c r="H55" s="76">
        <v>6</v>
      </c>
      <c r="I55" s="13">
        <v>3</v>
      </c>
      <c r="J55" s="33">
        <v>28366367.5</v>
      </c>
      <c r="K55" s="160" t="s">
        <v>23</v>
      </c>
      <c r="L55" s="18"/>
      <c r="M55" s="18">
        <v>2050023.8</v>
      </c>
      <c r="N55" s="30">
        <v>10</v>
      </c>
      <c r="O55" s="30">
        <v>109</v>
      </c>
      <c r="P55" s="30">
        <v>1053</v>
      </c>
      <c r="Q55" s="30">
        <v>10105</v>
      </c>
      <c r="R55" s="30">
        <v>101247</v>
      </c>
      <c r="S55" s="30">
        <v>1014338</v>
      </c>
      <c r="X55" s="32">
        <v>48</v>
      </c>
    </row>
    <row r="56" spans="1:25" x14ac:dyDescent="0.15">
      <c r="A56" s="32">
        <v>49</v>
      </c>
      <c r="B56" s="26">
        <v>36134</v>
      </c>
      <c r="C56" s="76">
        <v>1</v>
      </c>
      <c r="D56" s="76">
        <v>7</v>
      </c>
      <c r="E56" s="76">
        <v>9</v>
      </c>
      <c r="F56" s="76">
        <v>9</v>
      </c>
      <c r="G56" s="76">
        <v>3</v>
      </c>
      <c r="H56" s="76">
        <v>5</v>
      </c>
      <c r="I56" s="13">
        <v>1</v>
      </c>
      <c r="J56" s="33">
        <v>33939327.5</v>
      </c>
      <c r="K56" s="160">
        <v>1</v>
      </c>
      <c r="L56" s="18">
        <v>4377777</v>
      </c>
      <c r="M56" s="18">
        <v>85333</v>
      </c>
      <c r="N56" s="30">
        <v>16</v>
      </c>
      <c r="O56" s="30">
        <v>122</v>
      </c>
      <c r="P56" s="30">
        <v>1137</v>
      </c>
      <c r="Q56" s="30">
        <v>10815</v>
      </c>
      <c r="R56" s="30">
        <v>107771</v>
      </c>
      <c r="S56" s="30">
        <v>1062693</v>
      </c>
      <c r="X56" s="32">
        <v>49</v>
      </c>
      <c r="Y56" s="5">
        <f>K56*L56</f>
        <v>4377777</v>
      </c>
    </row>
    <row r="57" spans="1:25" x14ac:dyDescent="0.15">
      <c r="A57" s="32">
        <v>50</v>
      </c>
      <c r="B57" s="26">
        <v>36141</v>
      </c>
      <c r="C57" s="76">
        <v>0</v>
      </c>
      <c r="D57" s="76">
        <v>6</v>
      </c>
      <c r="E57" s="76">
        <v>8</v>
      </c>
      <c r="F57" s="76">
        <v>9</v>
      </c>
      <c r="G57" s="76">
        <v>1</v>
      </c>
      <c r="H57" s="76">
        <v>5</v>
      </c>
      <c r="I57" s="13">
        <v>9</v>
      </c>
      <c r="J57" s="33">
        <v>29238662.5</v>
      </c>
      <c r="K57" s="160">
        <v>2</v>
      </c>
      <c r="L57" s="34">
        <v>1077777</v>
      </c>
      <c r="M57" s="18">
        <v>8647.9</v>
      </c>
      <c r="N57" s="30">
        <v>11</v>
      </c>
      <c r="O57" s="30">
        <v>110</v>
      </c>
      <c r="P57" s="30">
        <v>1068</v>
      </c>
      <c r="Q57" s="30">
        <v>10942</v>
      </c>
      <c r="R57" s="30">
        <v>109015</v>
      </c>
      <c r="S57" s="30">
        <v>1082743</v>
      </c>
      <c r="X57" s="32">
        <v>50</v>
      </c>
      <c r="Y57" s="5">
        <f>K57*L57</f>
        <v>2155554</v>
      </c>
    </row>
    <row r="58" spans="1:25" x14ac:dyDescent="0.15">
      <c r="A58" s="32">
        <v>51</v>
      </c>
      <c r="B58" s="26">
        <v>36148</v>
      </c>
      <c r="C58" s="76">
        <v>5</v>
      </c>
      <c r="D58" s="76">
        <v>1</v>
      </c>
      <c r="E58" s="76">
        <v>0</v>
      </c>
      <c r="F58" s="76">
        <v>0</v>
      </c>
      <c r="G58" s="76">
        <v>6</v>
      </c>
      <c r="H58" s="76">
        <v>0</v>
      </c>
      <c r="I58" s="13">
        <v>9</v>
      </c>
      <c r="J58" s="33">
        <v>30123192.5</v>
      </c>
      <c r="K58" s="160">
        <v>1</v>
      </c>
      <c r="L58" s="34">
        <v>2077777</v>
      </c>
      <c r="M58" s="18">
        <v>72629.899999999994</v>
      </c>
      <c r="N58" s="30">
        <v>4</v>
      </c>
      <c r="O58" s="30">
        <v>86</v>
      </c>
      <c r="P58" s="30">
        <v>1002</v>
      </c>
      <c r="Q58" s="30">
        <v>10032</v>
      </c>
      <c r="R58" s="30">
        <v>100818</v>
      </c>
      <c r="S58" s="30">
        <v>1130502</v>
      </c>
      <c r="X58" s="32">
        <v>51</v>
      </c>
      <c r="Y58" s="5">
        <f>K58*L58</f>
        <v>2077777</v>
      </c>
    </row>
    <row r="59" spans="1:25" x14ac:dyDescent="0.15">
      <c r="A59" s="32">
        <v>52</v>
      </c>
      <c r="B59" s="26">
        <v>36155</v>
      </c>
      <c r="C59" s="76">
        <v>4</v>
      </c>
      <c r="D59" s="76">
        <v>6</v>
      </c>
      <c r="E59" s="76">
        <v>6</v>
      </c>
      <c r="F59" s="76">
        <v>6</v>
      </c>
      <c r="G59" s="76">
        <v>8</v>
      </c>
      <c r="H59" s="76">
        <v>2</v>
      </c>
      <c r="I59" s="13">
        <v>1</v>
      </c>
      <c r="J59" s="33">
        <v>28839455</v>
      </c>
      <c r="K59" s="160">
        <v>1</v>
      </c>
      <c r="L59" s="34">
        <v>2077777</v>
      </c>
      <c r="M59" s="18">
        <v>45338.2</v>
      </c>
      <c r="N59" s="30">
        <v>15</v>
      </c>
      <c r="O59" s="30">
        <v>107</v>
      </c>
      <c r="P59" s="30">
        <v>952</v>
      </c>
      <c r="Q59" s="30">
        <v>9239</v>
      </c>
      <c r="R59" s="30">
        <v>92297</v>
      </c>
      <c r="S59" s="30">
        <v>889716</v>
      </c>
      <c r="X59" s="32">
        <v>52</v>
      </c>
      <c r="Y59" s="5">
        <f>K59*L59</f>
        <v>2077777</v>
      </c>
    </row>
    <row r="60" spans="1:25" ht="10.5" customHeight="1" x14ac:dyDescent="0.15">
      <c r="A60" s="36">
        <v>53</v>
      </c>
      <c r="B60" s="26">
        <v>36162</v>
      </c>
      <c r="C60" s="38">
        <v>7</v>
      </c>
      <c r="D60" s="38">
        <v>0</v>
      </c>
      <c r="E60" s="38">
        <v>0</v>
      </c>
      <c r="F60" s="38">
        <v>8</v>
      </c>
      <c r="G60" s="38">
        <v>6</v>
      </c>
      <c r="H60" s="38">
        <v>8</v>
      </c>
      <c r="I60" s="39">
        <v>4</v>
      </c>
      <c r="J60" s="40">
        <v>29497937.5</v>
      </c>
      <c r="K60" s="41">
        <v>1</v>
      </c>
      <c r="L60" s="42">
        <v>2077777</v>
      </c>
      <c r="M60" s="43">
        <v>64864.6</v>
      </c>
      <c r="N60" s="44">
        <v>5</v>
      </c>
      <c r="O60" s="44">
        <v>120</v>
      </c>
      <c r="P60" s="44">
        <v>1069</v>
      </c>
      <c r="Q60" s="44">
        <v>10479</v>
      </c>
      <c r="R60" s="44">
        <v>104744</v>
      </c>
      <c r="S60" s="44">
        <v>1052585</v>
      </c>
      <c r="X60" s="36">
        <v>53</v>
      </c>
      <c r="Y60" s="5">
        <f>K60*L60</f>
        <v>2077777</v>
      </c>
    </row>
    <row r="61" spans="1:25" x14ac:dyDescent="0.15">
      <c r="A61" s="130"/>
      <c r="B61" s="97"/>
      <c r="C61" s="97"/>
      <c r="D61" s="97"/>
      <c r="E61" s="97"/>
      <c r="F61" s="97"/>
      <c r="G61" s="97"/>
      <c r="H61" s="97" t="s">
        <v>24</v>
      </c>
      <c r="I61" s="97"/>
      <c r="J61" s="97"/>
      <c r="K61" s="259">
        <f>SUM(K8:K60)</f>
        <v>65</v>
      </c>
      <c r="L61" s="132"/>
      <c r="M61" s="133"/>
      <c r="N61" s="259">
        <f t="shared" ref="N61:S61" si="3">SUM(N8:N60)</f>
        <v>570</v>
      </c>
      <c r="O61" s="260">
        <f t="shared" si="3"/>
        <v>5611</v>
      </c>
      <c r="P61" s="260">
        <f t="shared" si="3"/>
        <v>56119</v>
      </c>
      <c r="Q61" s="261">
        <f t="shared" si="3"/>
        <v>560498</v>
      </c>
      <c r="R61" s="133">
        <f t="shared" si="3"/>
        <v>5614700</v>
      </c>
      <c r="S61" s="137">
        <f t="shared" si="3"/>
        <v>56415452</v>
      </c>
      <c r="X61" s="45"/>
    </row>
    <row r="62" spans="1:25" x14ac:dyDescent="0.15">
      <c r="W62" s="5"/>
    </row>
    <row r="65" spans="12:12" x14ac:dyDescent="0.15">
      <c r="L65"/>
    </row>
    <row r="66" spans="12:12" x14ac:dyDescent="0.15">
      <c r="L66"/>
    </row>
    <row r="67" spans="12:12" x14ac:dyDescent="0.15">
      <c r="L67"/>
    </row>
    <row r="68" spans="12:12" x14ac:dyDescent="0.15">
      <c r="L68"/>
    </row>
    <row r="69" spans="12:12" x14ac:dyDescent="0.15">
      <c r="L69"/>
    </row>
    <row r="70" spans="12:12" x14ac:dyDescent="0.15">
      <c r="L70"/>
    </row>
    <row r="71" spans="12:12" x14ac:dyDescent="0.15">
      <c r="L71"/>
    </row>
    <row r="72" spans="12:12" x14ac:dyDescent="0.15">
      <c r="L72"/>
    </row>
    <row r="73" spans="12:12" x14ac:dyDescent="0.15">
      <c r="L73"/>
    </row>
    <row r="74" spans="12:12" x14ac:dyDescent="0.15">
      <c r="L74"/>
    </row>
    <row r="75" spans="12:12" x14ac:dyDescent="0.15">
      <c r="L75"/>
    </row>
    <row r="76" spans="12:12" x14ac:dyDescent="0.15">
      <c r="L76"/>
    </row>
    <row r="77" spans="12:12" x14ac:dyDescent="0.15">
      <c r="L77"/>
    </row>
    <row r="78" spans="12:12" x14ac:dyDescent="0.15">
      <c r="L78"/>
    </row>
    <row r="79" spans="12:12" x14ac:dyDescent="0.15">
      <c r="L79"/>
    </row>
    <row r="80" spans="12:12" x14ac:dyDescent="0.15">
      <c r="L80"/>
    </row>
    <row r="81" spans="12:12" x14ac:dyDescent="0.15">
      <c r="L81"/>
    </row>
    <row r="82" spans="12:12" x14ac:dyDescent="0.15">
      <c r="L82"/>
    </row>
    <row r="83" spans="12:12" x14ac:dyDescent="0.15">
      <c r="L83"/>
    </row>
    <row r="84" spans="12:12" x14ac:dyDescent="0.15">
      <c r="L84"/>
    </row>
    <row r="85" spans="12:12" x14ac:dyDescent="0.15">
      <c r="L85"/>
    </row>
    <row r="86" spans="12:12" x14ac:dyDescent="0.15">
      <c r="L86"/>
    </row>
    <row r="87" spans="12:12" x14ac:dyDescent="0.15">
      <c r="L87"/>
    </row>
    <row r="88" spans="12:12" x14ac:dyDescent="0.15">
      <c r="L88"/>
    </row>
    <row r="89" spans="12:12" x14ac:dyDescent="0.15">
      <c r="L89"/>
    </row>
    <row r="90" spans="12:12" x14ac:dyDescent="0.15">
      <c r="L90"/>
    </row>
    <row r="91" spans="12:12" x14ac:dyDescent="0.15">
      <c r="L91"/>
    </row>
    <row r="92" spans="12:12" x14ac:dyDescent="0.15">
      <c r="L92"/>
    </row>
    <row r="93" spans="12:12" x14ac:dyDescent="0.15">
      <c r="L93"/>
    </row>
    <row r="94" spans="12:12" x14ac:dyDescent="0.15">
      <c r="L94"/>
    </row>
    <row r="95" spans="12:12" x14ac:dyDescent="0.15">
      <c r="L95"/>
    </row>
    <row r="96" spans="12:12" x14ac:dyDescent="0.15">
      <c r="L96"/>
    </row>
    <row r="97" spans="12:12" x14ac:dyDescent="0.15">
      <c r="L97"/>
    </row>
    <row r="98" spans="12:12" x14ac:dyDescent="0.15">
      <c r="L98"/>
    </row>
    <row r="99" spans="12:12" x14ac:dyDescent="0.15">
      <c r="L99"/>
    </row>
    <row r="100" spans="12:12" x14ac:dyDescent="0.15">
      <c r="L100"/>
    </row>
    <row r="101" spans="12:12" x14ac:dyDescent="0.15">
      <c r="L101"/>
    </row>
    <row r="102" spans="12:12" x14ac:dyDescent="0.15">
      <c r="L102"/>
    </row>
    <row r="103" spans="12:12" x14ac:dyDescent="0.15">
      <c r="L103"/>
    </row>
    <row r="104" spans="12:12" x14ac:dyDescent="0.15">
      <c r="L104"/>
    </row>
    <row r="105" spans="12:12" x14ac:dyDescent="0.15">
      <c r="L105"/>
    </row>
    <row r="106" spans="12:12" x14ac:dyDescent="0.15">
      <c r="L106"/>
    </row>
    <row r="107" spans="12:12" x14ac:dyDescent="0.15">
      <c r="L107"/>
    </row>
    <row r="108" spans="12:12" x14ac:dyDescent="0.15">
      <c r="L108"/>
    </row>
    <row r="109" spans="12:12" x14ac:dyDescent="0.15">
      <c r="L109"/>
    </row>
    <row r="110" spans="12:12" x14ac:dyDescent="0.15">
      <c r="L110"/>
    </row>
    <row r="111" spans="12:12" x14ac:dyDescent="0.15">
      <c r="L111"/>
    </row>
    <row r="112" spans="12:12" x14ac:dyDescent="0.15">
      <c r="L112"/>
    </row>
    <row r="113" spans="12:12" x14ac:dyDescent="0.15">
      <c r="L113"/>
    </row>
    <row r="114" spans="12:12" x14ac:dyDescent="0.15">
      <c r="L114"/>
    </row>
    <row r="115" spans="12:12" x14ac:dyDescent="0.15">
      <c r="L115"/>
    </row>
    <row r="116" spans="12:12" x14ac:dyDescent="0.15">
      <c r="L116"/>
    </row>
    <row r="117" spans="12:12" x14ac:dyDescent="0.15">
      <c r="L117"/>
    </row>
    <row r="118" spans="12:12" x14ac:dyDescent="0.15">
      <c r="L118"/>
    </row>
    <row r="119" spans="12:12" x14ac:dyDescent="0.15">
      <c r="L119"/>
    </row>
    <row r="120" spans="12:12" x14ac:dyDescent="0.15">
      <c r="L120"/>
    </row>
    <row r="121" spans="12:12" x14ac:dyDescent="0.15">
      <c r="L121"/>
    </row>
    <row r="122" spans="12:12" x14ac:dyDescent="0.15">
      <c r="L122"/>
    </row>
    <row r="123" spans="12:12" x14ac:dyDescent="0.15">
      <c r="L123"/>
    </row>
    <row r="124" spans="12:12" x14ac:dyDescent="0.15">
      <c r="L124"/>
    </row>
    <row r="125" spans="12:12" x14ac:dyDescent="0.15">
      <c r="L125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1" orientation="landscape" horizontalDpi="4294967292" verticalDpi="4294967292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W124"/>
  <sheetViews>
    <sheetView workbookViewId="0"/>
  </sheetViews>
  <sheetFormatPr baseColWidth="10" defaultRowHeight="10.5" x14ac:dyDescent="0.15"/>
  <cols>
    <col min="1" max="1" width="7.5" customWidth="1"/>
    <col min="2" max="2" width="9.5" customWidth="1"/>
    <col min="3" max="9" width="7.6640625" customWidth="1"/>
    <col min="10" max="10" width="19" customWidth="1"/>
    <col min="11" max="11" width="7.83203125" customWidth="1"/>
    <col min="12" max="12" width="17.1640625" style="2" customWidth="1"/>
    <col min="13" max="13" width="17.1640625" customWidth="1"/>
    <col min="14" max="19" width="15.6640625" customWidth="1"/>
  </cols>
  <sheetData>
    <row r="2" spans="1:23" ht="12.75" x14ac:dyDescent="0.2">
      <c r="A2" s="1" t="s">
        <v>0</v>
      </c>
      <c r="S2" s="3" t="s">
        <v>359</v>
      </c>
      <c r="U2" s="4"/>
    </row>
    <row r="3" spans="1:23" ht="12.75" x14ac:dyDescent="0.2">
      <c r="A3" s="6" t="s">
        <v>2</v>
      </c>
      <c r="P3" s="3"/>
      <c r="U3" s="4"/>
    </row>
    <row r="4" spans="1:23" x14ac:dyDescent="0.15">
      <c r="A4" s="7"/>
      <c r="B4" s="8"/>
      <c r="C4" s="9"/>
      <c r="D4" s="9"/>
      <c r="E4" s="9"/>
      <c r="F4" s="9"/>
      <c r="G4" s="9"/>
      <c r="H4" s="9"/>
      <c r="I4" s="10"/>
      <c r="J4" s="11"/>
      <c r="K4" s="9"/>
      <c r="L4" s="12"/>
      <c r="M4" s="11"/>
      <c r="N4" s="8"/>
      <c r="O4" s="8"/>
      <c r="P4" s="8"/>
      <c r="Q4" s="8"/>
      <c r="R4" s="8"/>
      <c r="S4" s="8"/>
      <c r="W4" s="4"/>
    </row>
    <row r="5" spans="1:23" x14ac:dyDescent="0.15">
      <c r="A5" s="13" t="s">
        <v>3</v>
      </c>
      <c r="B5" s="14">
        <v>1999</v>
      </c>
      <c r="C5" s="109" t="s">
        <v>4</v>
      </c>
      <c r="D5" s="110"/>
      <c r="E5" s="110"/>
      <c r="F5" s="110"/>
      <c r="G5" s="110"/>
      <c r="H5" s="110"/>
      <c r="I5" s="17" t="s">
        <v>5</v>
      </c>
      <c r="J5" s="14" t="s">
        <v>6</v>
      </c>
      <c r="K5" s="92" t="s">
        <v>7</v>
      </c>
      <c r="L5" s="18"/>
      <c r="M5" s="14" t="s">
        <v>21</v>
      </c>
      <c r="N5" s="14" t="s">
        <v>8</v>
      </c>
      <c r="O5" s="14" t="s">
        <v>9</v>
      </c>
      <c r="P5" s="14" t="s">
        <v>10</v>
      </c>
      <c r="Q5" s="14" t="s">
        <v>11</v>
      </c>
      <c r="R5" s="14" t="s">
        <v>12</v>
      </c>
      <c r="S5" s="14" t="s">
        <v>49</v>
      </c>
      <c r="W5" s="4"/>
    </row>
    <row r="6" spans="1:23" x14ac:dyDescent="0.15">
      <c r="A6" s="13"/>
      <c r="B6" s="14"/>
      <c r="C6" s="76"/>
      <c r="D6" s="76"/>
      <c r="E6" s="76"/>
      <c r="F6" s="76"/>
      <c r="G6" s="76"/>
      <c r="H6" s="76"/>
      <c r="I6" s="17" t="s">
        <v>13</v>
      </c>
      <c r="J6" s="14" t="s">
        <v>14</v>
      </c>
      <c r="K6" s="92" t="s">
        <v>50</v>
      </c>
      <c r="L6" s="18"/>
      <c r="M6" s="14" t="s">
        <v>14</v>
      </c>
      <c r="N6" s="20" t="s">
        <v>51</v>
      </c>
      <c r="O6" s="20" t="s">
        <v>52</v>
      </c>
      <c r="P6" s="20" t="s">
        <v>53</v>
      </c>
      <c r="Q6" s="20" t="s">
        <v>54</v>
      </c>
      <c r="R6" s="20" t="s">
        <v>55</v>
      </c>
      <c r="S6" s="14" t="s">
        <v>56</v>
      </c>
      <c r="W6" s="4"/>
    </row>
    <row r="7" spans="1:23" x14ac:dyDescent="0.15">
      <c r="A7" s="13"/>
      <c r="B7" s="21"/>
      <c r="C7" s="76"/>
      <c r="D7" s="76"/>
      <c r="E7" s="76"/>
      <c r="F7" s="76"/>
      <c r="G7" s="76"/>
      <c r="H7" s="76"/>
      <c r="I7" s="13"/>
      <c r="J7" s="14"/>
      <c r="K7" s="22" t="s">
        <v>15</v>
      </c>
      <c r="L7" s="23" t="s">
        <v>14</v>
      </c>
      <c r="M7" s="14"/>
      <c r="N7" s="24" t="s">
        <v>15</v>
      </c>
      <c r="O7" s="24" t="s">
        <v>15</v>
      </c>
      <c r="P7" s="24" t="s">
        <v>15</v>
      </c>
      <c r="Q7" s="24" t="s">
        <v>15</v>
      </c>
      <c r="R7" s="24" t="s">
        <v>15</v>
      </c>
      <c r="S7" s="21" t="s">
        <v>15</v>
      </c>
      <c r="W7" s="4"/>
    </row>
    <row r="8" spans="1:23" x14ac:dyDescent="0.15">
      <c r="A8" s="25">
        <v>1</v>
      </c>
      <c r="B8" s="26">
        <v>36169</v>
      </c>
      <c r="C8" s="27">
        <v>0</v>
      </c>
      <c r="D8" s="27">
        <v>8</v>
      </c>
      <c r="E8" s="27">
        <v>2</v>
      </c>
      <c r="F8" s="27">
        <v>9</v>
      </c>
      <c r="G8" s="27">
        <v>4</v>
      </c>
      <c r="H8" s="27">
        <v>9</v>
      </c>
      <c r="I8" s="7">
        <v>9</v>
      </c>
      <c r="J8" s="28">
        <v>28573750</v>
      </c>
      <c r="K8" s="160">
        <v>2</v>
      </c>
      <c r="L8" s="29">
        <v>977777</v>
      </c>
      <c r="M8" s="12">
        <v>140904.20000000001</v>
      </c>
      <c r="N8" s="30">
        <v>17</v>
      </c>
      <c r="O8" s="30">
        <v>117</v>
      </c>
      <c r="P8" s="30">
        <v>1139</v>
      </c>
      <c r="Q8" s="30">
        <v>11414</v>
      </c>
      <c r="R8" s="30">
        <v>114186</v>
      </c>
      <c r="S8" s="30">
        <v>1079898</v>
      </c>
      <c r="W8" s="4"/>
    </row>
    <row r="9" spans="1:23" x14ac:dyDescent="0.15">
      <c r="A9" s="32">
        <v>2</v>
      </c>
      <c r="B9" s="26">
        <v>36176</v>
      </c>
      <c r="C9" s="76">
        <v>8</v>
      </c>
      <c r="D9" s="76">
        <v>3</v>
      </c>
      <c r="E9" s="76">
        <v>8</v>
      </c>
      <c r="F9" s="76">
        <v>9</v>
      </c>
      <c r="G9" s="76">
        <v>8</v>
      </c>
      <c r="H9" s="76">
        <v>4</v>
      </c>
      <c r="I9" s="13">
        <v>0</v>
      </c>
      <c r="J9" s="33">
        <v>29114977.5</v>
      </c>
      <c r="K9" s="160" t="s">
        <v>23</v>
      </c>
      <c r="L9" s="35"/>
      <c r="M9" s="34">
        <v>2210979.1</v>
      </c>
      <c r="N9" s="30">
        <v>14</v>
      </c>
      <c r="O9" s="30">
        <v>85</v>
      </c>
      <c r="P9" s="30">
        <v>879</v>
      </c>
      <c r="Q9" s="30">
        <v>8933</v>
      </c>
      <c r="R9" s="30">
        <v>89922</v>
      </c>
      <c r="S9" s="30">
        <v>899732</v>
      </c>
      <c r="W9" s="4"/>
    </row>
    <row r="10" spans="1:23" x14ac:dyDescent="0.15">
      <c r="A10" s="32">
        <v>3</v>
      </c>
      <c r="B10" s="26">
        <v>36183</v>
      </c>
      <c r="C10" s="76">
        <v>3</v>
      </c>
      <c r="D10" s="76">
        <v>9</v>
      </c>
      <c r="E10" s="76">
        <v>4</v>
      </c>
      <c r="F10" s="76">
        <v>6</v>
      </c>
      <c r="G10" s="76">
        <v>1</v>
      </c>
      <c r="H10" s="76">
        <v>9</v>
      </c>
      <c r="I10" s="13">
        <v>3</v>
      </c>
      <c r="J10" s="33">
        <v>30988862.5</v>
      </c>
      <c r="K10" s="160">
        <v>4</v>
      </c>
      <c r="L10" s="18">
        <v>1077777</v>
      </c>
      <c r="M10" s="18">
        <v>103179.2</v>
      </c>
      <c r="N10" s="30">
        <v>11</v>
      </c>
      <c r="O10" s="30">
        <v>94</v>
      </c>
      <c r="P10" s="30">
        <v>1059</v>
      </c>
      <c r="Q10" s="30">
        <v>10838</v>
      </c>
      <c r="R10" s="30">
        <v>109611</v>
      </c>
      <c r="S10" s="30">
        <v>1112588</v>
      </c>
      <c r="W10" s="4"/>
    </row>
    <row r="11" spans="1:23" x14ac:dyDescent="0.15">
      <c r="A11" s="32">
        <v>4</v>
      </c>
      <c r="B11" s="26">
        <v>36190</v>
      </c>
      <c r="C11" s="76">
        <v>9</v>
      </c>
      <c r="D11" s="76">
        <v>3</v>
      </c>
      <c r="E11" s="76">
        <v>5</v>
      </c>
      <c r="F11" s="76">
        <v>4</v>
      </c>
      <c r="G11" s="76">
        <v>5</v>
      </c>
      <c r="H11" s="76">
        <v>6</v>
      </c>
      <c r="I11" s="13">
        <v>2</v>
      </c>
      <c r="J11" s="33">
        <v>29198225</v>
      </c>
      <c r="K11" s="160">
        <v>2</v>
      </c>
      <c r="L11" s="18">
        <v>1077777</v>
      </c>
      <c r="M11" s="18">
        <v>23619</v>
      </c>
      <c r="N11" s="30">
        <v>9</v>
      </c>
      <c r="O11" s="30">
        <v>109</v>
      </c>
      <c r="P11" s="30">
        <v>1044</v>
      </c>
      <c r="Q11" s="30">
        <v>10071</v>
      </c>
      <c r="R11" s="30">
        <v>99146</v>
      </c>
      <c r="S11" s="30">
        <v>982612</v>
      </c>
      <c r="W11" s="4"/>
    </row>
    <row r="12" spans="1:23" x14ac:dyDescent="0.15">
      <c r="A12" s="32">
        <v>5</v>
      </c>
      <c r="B12" s="26">
        <v>36197</v>
      </c>
      <c r="C12" s="76">
        <v>8</v>
      </c>
      <c r="D12" s="76">
        <v>2</v>
      </c>
      <c r="E12" s="76">
        <v>3</v>
      </c>
      <c r="F12" s="76">
        <v>3</v>
      </c>
      <c r="G12" s="76">
        <v>2</v>
      </c>
      <c r="H12" s="76">
        <v>6</v>
      </c>
      <c r="I12" s="13">
        <v>8</v>
      </c>
      <c r="J12" s="33">
        <v>28981012.5</v>
      </c>
      <c r="K12" s="160">
        <v>3</v>
      </c>
      <c r="L12" s="18">
        <v>677777</v>
      </c>
      <c r="M12" s="18">
        <v>50838</v>
      </c>
      <c r="N12" s="30">
        <v>18</v>
      </c>
      <c r="O12" s="30">
        <v>131</v>
      </c>
      <c r="P12" s="30">
        <v>1166</v>
      </c>
      <c r="Q12" s="30">
        <v>11225</v>
      </c>
      <c r="R12" s="30">
        <v>113408</v>
      </c>
      <c r="S12" s="30">
        <v>1112522</v>
      </c>
      <c r="W12" s="4"/>
    </row>
    <row r="13" spans="1:23" x14ac:dyDescent="0.15">
      <c r="A13" s="32">
        <v>6</v>
      </c>
      <c r="B13" s="26">
        <v>36204</v>
      </c>
      <c r="C13" s="76">
        <v>6</v>
      </c>
      <c r="D13" s="76">
        <v>4</v>
      </c>
      <c r="E13" s="76">
        <v>8</v>
      </c>
      <c r="F13" s="76">
        <v>5</v>
      </c>
      <c r="G13" s="76">
        <v>7</v>
      </c>
      <c r="H13" s="76">
        <v>7</v>
      </c>
      <c r="I13" s="13">
        <v>5</v>
      </c>
      <c r="J13" s="33">
        <v>29972510</v>
      </c>
      <c r="K13" s="160">
        <v>2</v>
      </c>
      <c r="L13" s="34">
        <v>1077777</v>
      </c>
      <c r="M13" s="18">
        <v>26329.5</v>
      </c>
      <c r="N13" s="30">
        <v>11</v>
      </c>
      <c r="O13" s="30">
        <v>107</v>
      </c>
      <c r="P13" s="30">
        <v>1166</v>
      </c>
      <c r="Q13" s="30">
        <v>11379</v>
      </c>
      <c r="R13" s="30">
        <v>119282</v>
      </c>
      <c r="S13" s="30">
        <v>1135051</v>
      </c>
      <c r="W13" s="4"/>
    </row>
    <row r="14" spans="1:23" x14ac:dyDescent="0.15">
      <c r="A14" s="32">
        <v>7</v>
      </c>
      <c r="B14" s="26">
        <v>36211</v>
      </c>
      <c r="C14" s="76">
        <v>5</v>
      </c>
      <c r="D14" s="76">
        <v>0</v>
      </c>
      <c r="E14" s="76">
        <v>4</v>
      </c>
      <c r="F14" s="76">
        <v>0</v>
      </c>
      <c r="G14" s="76">
        <v>5</v>
      </c>
      <c r="H14" s="76">
        <v>5</v>
      </c>
      <c r="I14" s="13">
        <v>3</v>
      </c>
      <c r="J14" s="33">
        <v>28514627.5</v>
      </c>
      <c r="K14" s="160">
        <v>2</v>
      </c>
      <c r="L14" s="18">
        <v>977777</v>
      </c>
      <c r="M14" s="18">
        <v>98165.5</v>
      </c>
      <c r="N14" s="30">
        <v>10</v>
      </c>
      <c r="O14" s="30">
        <v>93</v>
      </c>
      <c r="P14" s="30">
        <v>987</v>
      </c>
      <c r="Q14" s="30">
        <v>10106</v>
      </c>
      <c r="R14" s="30">
        <v>102389</v>
      </c>
      <c r="S14" s="30">
        <v>1027268</v>
      </c>
      <c r="W14" s="4"/>
    </row>
    <row r="15" spans="1:23" x14ac:dyDescent="0.15">
      <c r="A15" s="32">
        <v>8</v>
      </c>
      <c r="B15" s="26">
        <v>36218</v>
      </c>
      <c r="C15" s="76">
        <v>6</v>
      </c>
      <c r="D15" s="76">
        <v>1</v>
      </c>
      <c r="E15" s="76">
        <v>0</v>
      </c>
      <c r="F15" s="76">
        <v>2</v>
      </c>
      <c r="G15" s="76">
        <v>6</v>
      </c>
      <c r="H15" s="76">
        <v>1</v>
      </c>
      <c r="I15" s="13">
        <v>3</v>
      </c>
      <c r="J15" s="33">
        <v>28684555</v>
      </c>
      <c r="K15" s="160">
        <v>2</v>
      </c>
      <c r="L15" s="34">
        <v>977777</v>
      </c>
      <c r="M15" s="18">
        <v>182083.4</v>
      </c>
      <c r="N15" s="30">
        <v>7</v>
      </c>
      <c r="O15" s="30">
        <v>107</v>
      </c>
      <c r="P15" s="30">
        <v>1192</v>
      </c>
      <c r="Q15" s="30">
        <v>11770</v>
      </c>
      <c r="R15" s="30">
        <v>117013</v>
      </c>
      <c r="S15" s="30">
        <v>1015568</v>
      </c>
      <c r="W15" s="4"/>
    </row>
    <row r="16" spans="1:23" x14ac:dyDescent="0.15">
      <c r="A16" s="32">
        <v>9</v>
      </c>
      <c r="B16" s="26">
        <v>36225</v>
      </c>
      <c r="C16" s="76">
        <v>8</v>
      </c>
      <c r="D16" s="76">
        <v>5</v>
      </c>
      <c r="E16" s="76">
        <v>1</v>
      </c>
      <c r="F16" s="76">
        <v>7</v>
      </c>
      <c r="G16" s="76">
        <v>6</v>
      </c>
      <c r="H16" s="76">
        <v>5</v>
      </c>
      <c r="I16" s="13">
        <v>1</v>
      </c>
      <c r="J16" s="33">
        <v>30181422.5</v>
      </c>
      <c r="K16" s="160">
        <v>1</v>
      </c>
      <c r="L16" s="34">
        <v>2277777</v>
      </c>
      <c r="M16" s="18">
        <v>50205.5</v>
      </c>
      <c r="N16" s="30">
        <v>10</v>
      </c>
      <c r="O16" s="30">
        <v>109</v>
      </c>
      <c r="P16" s="30">
        <v>955</v>
      </c>
      <c r="Q16" s="30">
        <v>9543</v>
      </c>
      <c r="R16" s="30">
        <v>96236</v>
      </c>
      <c r="S16" s="30">
        <v>947740</v>
      </c>
      <c r="W16" s="4"/>
    </row>
    <row r="17" spans="1:23" x14ac:dyDescent="0.15">
      <c r="A17" s="32">
        <v>10</v>
      </c>
      <c r="B17" s="26">
        <v>36232</v>
      </c>
      <c r="C17" s="76">
        <v>0</v>
      </c>
      <c r="D17" s="76">
        <v>1</v>
      </c>
      <c r="E17" s="76">
        <v>1</v>
      </c>
      <c r="F17" s="76">
        <v>4</v>
      </c>
      <c r="G17" s="76">
        <v>2</v>
      </c>
      <c r="H17" s="76">
        <v>6</v>
      </c>
      <c r="I17" s="13">
        <v>1</v>
      </c>
      <c r="J17" s="33">
        <v>32467152.5</v>
      </c>
      <c r="K17" s="160">
        <v>1</v>
      </c>
      <c r="L17" s="34">
        <v>2277777</v>
      </c>
      <c r="M17" s="18">
        <v>80843</v>
      </c>
      <c r="N17" s="30">
        <v>12</v>
      </c>
      <c r="O17" s="30">
        <v>98</v>
      </c>
      <c r="P17" s="30">
        <v>1022</v>
      </c>
      <c r="Q17" s="30">
        <v>10311</v>
      </c>
      <c r="R17" s="30">
        <v>101874</v>
      </c>
      <c r="S17" s="30">
        <v>1027104</v>
      </c>
      <c r="W17" s="4"/>
    </row>
    <row r="18" spans="1:23" x14ac:dyDescent="0.15">
      <c r="A18" s="32">
        <v>11</v>
      </c>
      <c r="B18" s="26">
        <v>36239</v>
      </c>
      <c r="C18" s="76">
        <v>5</v>
      </c>
      <c r="D18" s="76">
        <v>3</v>
      </c>
      <c r="E18" s="76">
        <v>1</v>
      </c>
      <c r="F18" s="76">
        <v>0</v>
      </c>
      <c r="G18" s="76">
        <v>7</v>
      </c>
      <c r="H18" s="76">
        <v>3</v>
      </c>
      <c r="I18" s="13">
        <v>8</v>
      </c>
      <c r="J18" s="33">
        <v>28813220</v>
      </c>
      <c r="K18" s="160">
        <v>3</v>
      </c>
      <c r="L18" s="34">
        <v>677777</v>
      </c>
      <c r="M18" s="18">
        <v>96131.9</v>
      </c>
      <c r="N18" s="30">
        <v>8</v>
      </c>
      <c r="O18" s="30">
        <v>101</v>
      </c>
      <c r="P18" s="30">
        <v>1128</v>
      </c>
      <c r="Q18" s="30">
        <v>11434</v>
      </c>
      <c r="R18" s="30">
        <v>112888</v>
      </c>
      <c r="S18" s="30">
        <v>1101991</v>
      </c>
      <c r="W18" s="4"/>
    </row>
    <row r="19" spans="1:23" x14ac:dyDescent="0.15">
      <c r="A19" s="32">
        <v>12</v>
      </c>
      <c r="B19" s="26">
        <v>36246</v>
      </c>
      <c r="C19" s="76">
        <v>2</v>
      </c>
      <c r="D19" s="76">
        <v>4</v>
      </c>
      <c r="E19" s="76">
        <v>3</v>
      </c>
      <c r="F19" s="76">
        <v>4</v>
      </c>
      <c r="G19" s="76">
        <v>8</v>
      </c>
      <c r="H19" s="76">
        <v>4</v>
      </c>
      <c r="I19" s="13">
        <v>5</v>
      </c>
      <c r="J19" s="33">
        <v>28078615</v>
      </c>
      <c r="K19" s="160">
        <v>3</v>
      </c>
      <c r="L19" s="34">
        <v>677777</v>
      </c>
      <c r="M19" s="18">
        <v>59190.400000000001</v>
      </c>
      <c r="N19" s="30">
        <v>11</v>
      </c>
      <c r="O19" s="30">
        <v>103</v>
      </c>
      <c r="P19" s="30">
        <v>1102</v>
      </c>
      <c r="Q19" s="30">
        <v>11222</v>
      </c>
      <c r="R19" s="30">
        <v>110306</v>
      </c>
      <c r="S19" s="30">
        <v>1069793</v>
      </c>
      <c r="W19" s="4"/>
    </row>
    <row r="20" spans="1:23" x14ac:dyDescent="0.15">
      <c r="A20" s="32">
        <v>13</v>
      </c>
      <c r="B20" s="26">
        <v>36253</v>
      </c>
      <c r="C20" s="76">
        <v>7</v>
      </c>
      <c r="D20" s="76">
        <v>0</v>
      </c>
      <c r="E20" s="76">
        <v>8</v>
      </c>
      <c r="F20" s="76">
        <v>6</v>
      </c>
      <c r="G20" s="76">
        <v>9</v>
      </c>
      <c r="H20" s="76">
        <v>1</v>
      </c>
      <c r="I20" s="13">
        <v>3</v>
      </c>
      <c r="J20" s="33">
        <v>27945267.5</v>
      </c>
      <c r="K20" s="160">
        <v>2</v>
      </c>
      <c r="L20" s="18">
        <v>977777</v>
      </c>
      <c r="M20" s="18">
        <v>90544.9</v>
      </c>
      <c r="N20" s="30">
        <v>9</v>
      </c>
      <c r="O20" s="30">
        <v>119</v>
      </c>
      <c r="P20" s="30">
        <v>1180</v>
      </c>
      <c r="Q20" s="30">
        <v>11642</v>
      </c>
      <c r="R20" s="30">
        <v>118097</v>
      </c>
      <c r="S20" s="30">
        <v>1010903</v>
      </c>
      <c r="W20" s="4"/>
    </row>
    <row r="21" spans="1:23" x14ac:dyDescent="0.15">
      <c r="A21" s="32">
        <v>14</v>
      </c>
      <c r="B21" s="26">
        <v>36260</v>
      </c>
      <c r="C21" s="76">
        <v>9</v>
      </c>
      <c r="D21" s="76">
        <v>3</v>
      </c>
      <c r="E21" s="76">
        <v>4</v>
      </c>
      <c r="F21" s="76">
        <v>6</v>
      </c>
      <c r="G21" s="76">
        <v>0</v>
      </c>
      <c r="H21" s="76">
        <v>4</v>
      </c>
      <c r="I21" s="13">
        <v>3</v>
      </c>
      <c r="J21" s="33">
        <v>28849657.5</v>
      </c>
      <c r="K21" s="160">
        <v>1</v>
      </c>
      <c r="L21" s="34">
        <v>2077777</v>
      </c>
      <c r="M21" s="18">
        <v>63978.5</v>
      </c>
      <c r="N21" s="30">
        <v>6</v>
      </c>
      <c r="O21" s="30">
        <v>98</v>
      </c>
      <c r="P21" s="30">
        <v>1011</v>
      </c>
      <c r="Q21" s="30">
        <v>10126</v>
      </c>
      <c r="R21" s="30">
        <v>106474</v>
      </c>
      <c r="S21" s="30">
        <v>1059429</v>
      </c>
      <c r="W21" s="4"/>
    </row>
    <row r="22" spans="1:23" x14ac:dyDescent="0.15">
      <c r="A22" s="32">
        <v>15</v>
      </c>
      <c r="B22" s="26">
        <v>36267</v>
      </c>
      <c r="C22" s="76">
        <v>0</v>
      </c>
      <c r="D22" s="76">
        <v>6</v>
      </c>
      <c r="E22" s="76">
        <v>5</v>
      </c>
      <c r="F22" s="76">
        <v>1</v>
      </c>
      <c r="G22" s="76">
        <v>4</v>
      </c>
      <c r="H22" s="76">
        <v>5</v>
      </c>
      <c r="I22" s="13">
        <v>7</v>
      </c>
      <c r="J22" s="33">
        <v>28549715</v>
      </c>
      <c r="K22" s="160" t="s">
        <v>23</v>
      </c>
      <c r="L22" s="18"/>
      <c r="M22" s="18">
        <v>2093863.2</v>
      </c>
      <c r="N22" s="30">
        <v>7</v>
      </c>
      <c r="O22" s="30">
        <v>117</v>
      </c>
      <c r="P22" s="30">
        <v>1099</v>
      </c>
      <c r="Q22" s="30">
        <v>11127</v>
      </c>
      <c r="R22" s="30">
        <v>110496</v>
      </c>
      <c r="S22" s="30">
        <v>1102544</v>
      </c>
      <c r="W22" s="4"/>
    </row>
    <row r="23" spans="1:23" x14ac:dyDescent="0.15">
      <c r="A23" s="32">
        <v>16</v>
      </c>
      <c r="B23" s="26">
        <v>36274</v>
      </c>
      <c r="C23" s="76">
        <v>1</v>
      </c>
      <c r="D23" s="76">
        <v>2</v>
      </c>
      <c r="E23" s="76">
        <v>6</v>
      </c>
      <c r="F23" s="76">
        <v>4</v>
      </c>
      <c r="G23" s="76">
        <v>8</v>
      </c>
      <c r="H23" s="76">
        <v>4</v>
      </c>
      <c r="I23" s="13">
        <v>8</v>
      </c>
      <c r="J23" s="33">
        <v>29752277.5</v>
      </c>
      <c r="K23" s="160" t="s">
        <v>23</v>
      </c>
      <c r="L23" s="34"/>
      <c r="M23" s="18">
        <v>4209250.0999999996</v>
      </c>
      <c r="N23" s="30">
        <v>12</v>
      </c>
      <c r="O23" s="30">
        <v>116</v>
      </c>
      <c r="P23" s="30">
        <v>1170</v>
      </c>
      <c r="Q23" s="30">
        <v>11751</v>
      </c>
      <c r="R23" s="30">
        <v>117806</v>
      </c>
      <c r="S23" s="30">
        <v>1140365</v>
      </c>
      <c r="W23" s="4"/>
    </row>
    <row r="24" spans="1:23" x14ac:dyDescent="0.15">
      <c r="A24" s="32">
        <v>17</v>
      </c>
      <c r="B24" s="26">
        <v>36281</v>
      </c>
      <c r="C24" s="76">
        <v>5</v>
      </c>
      <c r="D24" s="76">
        <v>3</v>
      </c>
      <c r="E24" s="76">
        <v>3</v>
      </c>
      <c r="F24" s="76">
        <v>9</v>
      </c>
      <c r="G24" s="76">
        <v>5</v>
      </c>
      <c r="H24" s="76">
        <v>1</v>
      </c>
      <c r="I24" s="13">
        <v>9</v>
      </c>
      <c r="J24" s="33">
        <v>27042160</v>
      </c>
      <c r="K24" s="160" t="s">
        <v>23</v>
      </c>
      <c r="L24" s="18"/>
      <c r="M24" s="18">
        <v>6131947.7000000002</v>
      </c>
      <c r="N24" s="30">
        <v>9</v>
      </c>
      <c r="O24" s="30">
        <v>85</v>
      </c>
      <c r="P24" s="30">
        <v>975</v>
      </c>
      <c r="Q24" s="30">
        <v>10031</v>
      </c>
      <c r="R24" s="30">
        <v>98599</v>
      </c>
      <c r="S24" s="30">
        <v>1013862</v>
      </c>
      <c r="W24" s="4"/>
    </row>
    <row r="25" spans="1:23" x14ac:dyDescent="0.15">
      <c r="A25" s="32">
        <v>18</v>
      </c>
      <c r="B25" s="26">
        <v>36288</v>
      </c>
      <c r="C25" s="76">
        <v>6</v>
      </c>
      <c r="D25" s="76">
        <v>6</v>
      </c>
      <c r="E25" s="76">
        <v>0</v>
      </c>
      <c r="F25" s="76">
        <v>2</v>
      </c>
      <c r="G25" s="76">
        <v>8</v>
      </c>
      <c r="H25" s="76">
        <v>8</v>
      </c>
      <c r="I25" s="13">
        <v>6</v>
      </c>
      <c r="J25" s="33">
        <v>28206155</v>
      </c>
      <c r="K25" s="160">
        <v>1</v>
      </c>
      <c r="L25" s="34">
        <v>8077777</v>
      </c>
      <c r="M25" s="18">
        <v>59628.3</v>
      </c>
      <c r="N25" s="30">
        <v>7</v>
      </c>
      <c r="O25" s="30">
        <v>91</v>
      </c>
      <c r="P25" s="30">
        <v>1023</v>
      </c>
      <c r="Q25" s="30">
        <v>10166</v>
      </c>
      <c r="R25" s="30">
        <v>106760</v>
      </c>
      <c r="S25" s="30">
        <v>1073573</v>
      </c>
      <c r="W25" s="4"/>
    </row>
    <row r="26" spans="1:23" x14ac:dyDescent="0.15">
      <c r="A26" s="32">
        <v>19</v>
      </c>
      <c r="B26" s="26">
        <v>36295</v>
      </c>
      <c r="C26" s="76">
        <v>5</v>
      </c>
      <c r="D26" s="76">
        <v>8</v>
      </c>
      <c r="E26" s="76">
        <v>4</v>
      </c>
      <c r="F26" s="76">
        <v>9</v>
      </c>
      <c r="G26" s="76">
        <v>9</v>
      </c>
      <c r="H26" s="76">
        <v>9</v>
      </c>
      <c r="I26" s="13">
        <v>3</v>
      </c>
      <c r="J26" s="33">
        <v>27168127.5</v>
      </c>
      <c r="K26" s="160">
        <v>1</v>
      </c>
      <c r="L26" s="34">
        <v>1977777</v>
      </c>
      <c r="M26" s="18">
        <v>13505.2</v>
      </c>
      <c r="N26" s="30">
        <v>13</v>
      </c>
      <c r="O26" s="30">
        <v>87</v>
      </c>
      <c r="P26" s="30">
        <v>914</v>
      </c>
      <c r="Q26" s="30">
        <v>9706</v>
      </c>
      <c r="R26" s="30">
        <v>99708</v>
      </c>
      <c r="S26" s="30">
        <v>1011791</v>
      </c>
      <c r="W26" s="4"/>
    </row>
    <row r="27" spans="1:23" x14ac:dyDescent="0.15">
      <c r="A27" s="32">
        <v>20</v>
      </c>
      <c r="B27" s="26">
        <v>36302</v>
      </c>
      <c r="C27" s="76">
        <v>0</v>
      </c>
      <c r="D27" s="76">
        <v>0</v>
      </c>
      <c r="E27" s="76">
        <v>6</v>
      </c>
      <c r="F27" s="76">
        <v>4</v>
      </c>
      <c r="G27" s="76">
        <v>6</v>
      </c>
      <c r="H27" s="76">
        <v>5</v>
      </c>
      <c r="I27" s="13">
        <v>9</v>
      </c>
      <c r="J27" s="33">
        <v>27966032.5</v>
      </c>
      <c r="K27" s="160" t="s">
        <v>23</v>
      </c>
      <c r="L27" s="34"/>
      <c r="M27" s="18">
        <v>2001890.1</v>
      </c>
      <c r="N27" s="30">
        <v>11</v>
      </c>
      <c r="O27" s="30">
        <v>116</v>
      </c>
      <c r="P27" s="30">
        <v>1010</v>
      </c>
      <c r="Q27" s="30">
        <v>10441</v>
      </c>
      <c r="R27" s="30">
        <v>105427</v>
      </c>
      <c r="S27" s="30">
        <v>1041585</v>
      </c>
      <c r="W27" s="4"/>
    </row>
    <row r="28" spans="1:23" x14ac:dyDescent="0.15">
      <c r="A28" s="32">
        <v>21</v>
      </c>
      <c r="B28" s="26">
        <v>36309</v>
      </c>
      <c r="C28" s="76">
        <v>3</v>
      </c>
      <c r="D28" s="76">
        <v>0</v>
      </c>
      <c r="E28" s="76">
        <v>0</v>
      </c>
      <c r="F28" s="76">
        <v>3</v>
      </c>
      <c r="G28" s="76">
        <v>1</v>
      </c>
      <c r="H28" s="76">
        <v>1</v>
      </c>
      <c r="I28" s="13">
        <v>5</v>
      </c>
      <c r="J28" s="33">
        <v>26977102.5</v>
      </c>
      <c r="K28" s="160" t="s">
        <v>23</v>
      </c>
      <c r="L28" s="34"/>
      <c r="M28" s="18">
        <v>3919962.1</v>
      </c>
      <c r="N28" s="30">
        <v>9</v>
      </c>
      <c r="O28" s="30">
        <v>89</v>
      </c>
      <c r="P28" s="30">
        <v>959</v>
      </c>
      <c r="Q28" s="30">
        <v>9742</v>
      </c>
      <c r="R28" s="30">
        <v>100457</v>
      </c>
      <c r="S28" s="30">
        <v>1030067</v>
      </c>
      <c r="W28" s="4"/>
    </row>
    <row r="29" spans="1:23" x14ac:dyDescent="0.15">
      <c r="A29" s="32">
        <v>22</v>
      </c>
      <c r="B29" s="26">
        <v>36316</v>
      </c>
      <c r="C29" s="76">
        <v>6</v>
      </c>
      <c r="D29" s="76">
        <v>0</v>
      </c>
      <c r="E29" s="76">
        <v>0</v>
      </c>
      <c r="F29" s="76">
        <v>2</v>
      </c>
      <c r="G29" s="76">
        <v>5</v>
      </c>
      <c r="H29" s="76">
        <v>7</v>
      </c>
      <c r="I29" s="13">
        <v>9</v>
      </c>
      <c r="J29" s="33">
        <v>29125985</v>
      </c>
      <c r="K29" s="160">
        <v>1</v>
      </c>
      <c r="L29" s="18">
        <v>5977777</v>
      </c>
      <c r="M29" s="18">
        <v>13042.6</v>
      </c>
      <c r="N29" s="30">
        <v>4</v>
      </c>
      <c r="O29" s="30">
        <v>108</v>
      </c>
      <c r="P29" s="30">
        <v>1128</v>
      </c>
      <c r="Q29" s="30">
        <v>11016</v>
      </c>
      <c r="R29" s="30">
        <v>108354</v>
      </c>
      <c r="S29" s="30">
        <v>1096122</v>
      </c>
      <c r="W29" s="4"/>
    </row>
    <row r="30" spans="1:23" x14ac:dyDescent="0.15">
      <c r="A30" s="32">
        <v>23</v>
      </c>
      <c r="B30" s="26">
        <v>36323</v>
      </c>
      <c r="C30" s="76">
        <v>6</v>
      </c>
      <c r="D30" s="76">
        <v>2</v>
      </c>
      <c r="E30" s="76">
        <v>2</v>
      </c>
      <c r="F30" s="76">
        <v>5</v>
      </c>
      <c r="G30" s="76">
        <v>7</v>
      </c>
      <c r="H30" s="76">
        <v>2</v>
      </c>
      <c r="I30" s="13">
        <v>6</v>
      </c>
      <c r="J30" s="33">
        <v>27440310</v>
      </c>
      <c r="K30" s="160" t="s">
        <v>23</v>
      </c>
      <c r="L30" s="18"/>
      <c r="M30" s="18">
        <v>1964048.6</v>
      </c>
      <c r="N30" s="30">
        <v>7</v>
      </c>
      <c r="O30" s="30">
        <v>111</v>
      </c>
      <c r="P30" s="30">
        <v>1000</v>
      </c>
      <c r="Q30" s="30">
        <v>10536</v>
      </c>
      <c r="R30" s="30">
        <v>105179</v>
      </c>
      <c r="S30" s="30">
        <v>1043560</v>
      </c>
      <c r="W30" s="4"/>
    </row>
    <row r="31" spans="1:23" x14ac:dyDescent="0.15">
      <c r="A31" s="32">
        <v>24</v>
      </c>
      <c r="B31" s="26">
        <v>36330</v>
      </c>
      <c r="C31" s="76">
        <v>4</v>
      </c>
      <c r="D31" s="76">
        <v>8</v>
      </c>
      <c r="E31" s="76">
        <v>7</v>
      </c>
      <c r="F31" s="76">
        <v>1</v>
      </c>
      <c r="G31" s="76">
        <v>3</v>
      </c>
      <c r="H31" s="76">
        <v>6</v>
      </c>
      <c r="I31" s="13">
        <v>8</v>
      </c>
      <c r="J31" s="33">
        <v>27067760</v>
      </c>
      <c r="K31" s="160">
        <v>2</v>
      </c>
      <c r="L31" s="34">
        <v>1877777</v>
      </c>
      <c r="M31" s="18">
        <v>133012.29999999999</v>
      </c>
      <c r="N31" s="30">
        <v>9</v>
      </c>
      <c r="O31" s="30">
        <v>101</v>
      </c>
      <c r="P31" s="30">
        <v>1168</v>
      </c>
      <c r="Q31" s="30">
        <v>10904</v>
      </c>
      <c r="R31" s="30">
        <v>108458</v>
      </c>
      <c r="S31" s="30">
        <v>1049236</v>
      </c>
      <c r="W31" s="4"/>
    </row>
    <row r="32" spans="1:23" x14ac:dyDescent="0.15">
      <c r="A32" s="32">
        <v>25</v>
      </c>
      <c r="B32" s="26">
        <v>36337</v>
      </c>
      <c r="C32" s="76">
        <v>6</v>
      </c>
      <c r="D32" s="76">
        <v>2</v>
      </c>
      <c r="E32" s="76">
        <v>1</v>
      </c>
      <c r="F32" s="76">
        <v>5</v>
      </c>
      <c r="G32" s="76">
        <v>8</v>
      </c>
      <c r="H32" s="76">
        <v>1</v>
      </c>
      <c r="I32" s="13">
        <v>1</v>
      </c>
      <c r="J32" s="33">
        <v>27238742.5</v>
      </c>
      <c r="K32" s="160" t="s">
        <v>23</v>
      </c>
      <c r="L32" s="18"/>
      <c r="M32" s="18">
        <v>2069686.9</v>
      </c>
      <c r="N32" s="30">
        <v>13</v>
      </c>
      <c r="O32" s="30">
        <v>82</v>
      </c>
      <c r="P32" s="30">
        <v>860</v>
      </c>
      <c r="Q32" s="30">
        <v>8612</v>
      </c>
      <c r="R32" s="30">
        <v>87500</v>
      </c>
      <c r="S32" s="30">
        <v>855231</v>
      </c>
      <c r="W32" s="4"/>
    </row>
    <row r="33" spans="1:23" x14ac:dyDescent="0.15">
      <c r="A33" s="32">
        <v>26</v>
      </c>
      <c r="B33" s="26">
        <v>36344</v>
      </c>
      <c r="C33" s="76">
        <v>1</v>
      </c>
      <c r="D33" s="76">
        <v>5</v>
      </c>
      <c r="E33" s="76">
        <v>3</v>
      </c>
      <c r="F33" s="76">
        <v>9</v>
      </c>
      <c r="G33" s="76">
        <v>6</v>
      </c>
      <c r="H33" s="76">
        <v>3</v>
      </c>
      <c r="I33" s="13">
        <v>9</v>
      </c>
      <c r="J33" s="33">
        <v>27155627.5</v>
      </c>
      <c r="K33" s="160">
        <v>2</v>
      </c>
      <c r="L33" s="34">
        <v>1977777</v>
      </c>
      <c r="M33" s="18">
        <v>44898</v>
      </c>
      <c r="N33" s="30">
        <v>9</v>
      </c>
      <c r="O33" s="30">
        <v>103</v>
      </c>
      <c r="P33" s="30">
        <v>1031</v>
      </c>
      <c r="Q33" s="30">
        <v>10582</v>
      </c>
      <c r="R33" s="30">
        <v>105879</v>
      </c>
      <c r="S33" s="30">
        <v>1038988</v>
      </c>
      <c r="W33" s="4"/>
    </row>
    <row r="34" spans="1:23" x14ac:dyDescent="0.15">
      <c r="A34" s="32">
        <v>27</v>
      </c>
      <c r="B34" s="26">
        <v>36351</v>
      </c>
      <c r="C34" s="76">
        <v>0</v>
      </c>
      <c r="D34" s="76">
        <v>5</v>
      </c>
      <c r="E34" s="76">
        <v>7</v>
      </c>
      <c r="F34" s="76">
        <v>6</v>
      </c>
      <c r="G34" s="76">
        <v>5</v>
      </c>
      <c r="H34" s="76">
        <v>6</v>
      </c>
      <c r="I34" s="13">
        <v>4</v>
      </c>
      <c r="J34" s="33">
        <v>27813992.5</v>
      </c>
      <c r="K34" s="160" t="s">
        <v>23</v>
      </c>
      <c r="L34" s="18"/>
      <c r="M34" s="18">
        <v>2022472.9</v>
      </c>
      <c r="N34" s="30">
        <v>9</v>
      </c>
      <c r="O34" s="30">
        <v>106</v>
      </c>
      <c r="P34" s="30">
        <v>1032</v>
      </c>
      <c r="Q34" s="30">
        <v>10281</v>
      </c>
      <c r="R34" s="30">
        <v>98991</v>
      </c>
      <c r="S34" s="30">
        <v>965652</v>
      </c>
      <c r="W34" s="4"/>
    </row>
    <row r="35" spans="1:23" x14ac:dyDescent="0.15">
      <c r="A35" s="32">
        <v>28</v>
      </c>
      <c r="B35" s="26">
        <v>36358</v>
      </c>
      <c r="C35" s="76">
        <v>3</v>
      </c>
      <c r="D35" s="76">
        <v>4</v>
      </c>
      <c r="E35" s="76">
        <v>1</v>
      </c>
      <c r="F35" s="76">
        <v>0</v>
      </c>
      <c r="G35" s="76">
        <v>1</v>
      </c>
      <c r="H35" s="76">
        <v>1</v>
      </c>
      <c r="I35" s="13">
        <v>7</v>
      </c>
      <c r="J35" s="33">
        <v>29152722.5</v>
      </c>
      <c r="K35" s="160">
        <v>2</v>
      </c>
      <c r="L35" s="18">
        <v>1977777</v>
      </c>
      <c r="M35" s="18">
        <v>139677.5</v>
      </c>
      <c r="N35" s="30">
        <v>6</v>
      </c>
      <c r="O35" s="30">
        <v>128</v>
      </c>
      <c r="P35" s="30">
        <v>1084</v>
      </c>
      <c r="Q35" s="30">
        <v>10991</v>
      </c>
      <c r="R35" s="30">
        <v>115020</v>
      </c>
      <c r="S35" s="30">
        <v>1135529</v>
      </c>
      <c r="W35" s="4"/>
    </row>
    <row r="36" spans="1:23" x14ac:dyDescent="0.15">
      <c r="A36" s="32">
        <v>29</v>
      </c>
      <c r="B36" s="26">
        <v>36365</v>
      </c>
      <c r="C36" s="76">
        <v>8</v>
      </c>
      <c r="D36" s="76">
        <v>6</v>
      </c>
      <c r="E36" s="76">
        <v>2</v>
      </c>
      <c r="F36" s="76">
        <v>0</v>
      </c>
      <c r="G36" s="76">
        <v>9</v>
      </c>
      <c r="H36" s="76">
        <v>1</v>
      </c>
      <c r="I36" s="13">
        <v>1</v>
      </c>
      <c r="J36" s="33">
        <v>33777417.5</v>
      </c>
      <c r="K36" s="160">
        <v>2</v>
      </c>
      <c r="L36" s="18">
        <v>1177777</v>
      </c>
      <c r="M36" s="18">
        <v>185697.9</v>
      </c>
      <c r="N36" s="30">
        <v>13</v>
      </c>
      <c r="O36" s="30">
        <v>115</v>
      </c>
      <c r="P36" s="30">
        <v>1148</v>
      </c>
      <c r="Q36" s="30">
        <v>11123</v>
      </c>
      <c r="R36" s="30">
        <v>109998</v>
      </c>
      <c r="S36" s="30">
        <v>1078463</v>
      </c>
      <c r="W36" s="4"/>
    </row>
    <row r="37" spans="1:23" x14ac:dyDescent="0.15">
      <c r="A37" s="32">
        <v>30</v>
      </c>
      <c r="B37" s="26">
        <v>36372</v>
      </c>
      <c r="C37" s="76">
        <v>5</v>
      </c>
      <c r="D37" s="76">
        <v>7</v>
      </c>
      <c r="E37" s="76">
        <v>5</v>
      </c>
      <c r="F37" s="76">
        <v>9</v>
      </c>
      <c r="G37" s="76">
        <v>4</v>
      </c>
      <c r="H37" s="76">
        <v>6</v>
      </c>
      <c r="I37" s="13">
        <v>2</v>
      </c>
      <c r="J37" s="33">
        <v>27980775</v>
      </c>
      <c r="K37" s="160" t="s">
        <v>23</v>
      </c>
      <c r="L37" s="18"/>
      <c r="M37" s="18">
        <v>2175131</v>
      </c>
      <c r="N37" s="30">
        <v>10</v>
      </c>
      <c r="O37" s="30">
        <v>109</v>
      </c>
      <c r="P37" s="30">
        <v>963</v>
      </c>
      <c r="Q37" s="30">
        <v>9310</v>
      </c>
      <c r="R37" s="30">
        <v>93204</v>
      </c>
      <c r="S37" s="30">
        <v>930349</v>
      </c>
      <c r="W37" s="4"/>
    </row>
    <row r="38" spans="1:23" x14ac:dyDescent="0.15">
      <c r="A38" s="32">
        <v>31</v>
      </c>
      <c r="B38" s="26">
        <v>36379</v>
      </c>
      <c r="C38" s="76">
        <v>4</v>
      </c>
      <c r="D38" s="76">
        <v>2</v>
      </c>
      <c r="E38" s="76">
        <v>4</v>
      </c>
      <c r="F38" s="76">
        <v>3</v>
      </c>
      <c r="G38" s="76">
        <v>2</v>
      </c>
      <c r="H38" s="76">
        <v>1</v>
      </c>
      <c r="I38" s="13">
        <v>8</v>
      </c>
      <c r="J38" s="33">
        <v>27470242.5</v>
      </c>
      <c r="K38" s="160">
        <v>1</v>
      </c>
      <c r="L38" s="34">
        <v>4077777</v>
      </c>
      <c r="M38" s="18">
        <v>50488.2</v>
      </c>
      <c r="N38" s="30">
        <v>15</v>
      </c>
      <c r="O38" s="30">
        <v>102</v>
      </c>
      <c r="P38" s="30">
        <v>1053</v>
      </c>
      <c r="Q38" s="30">
        <v>10669</v>
      </c>
      <c r="R38" s="30">
        <v>105901</v>
      </c>
      <c r="S38" s="30">
        <v>1078598</v>
      </c>
      <c r="W38" s="4"/>
    </row>
    <row r="39" spans="1:23" x14ac:dyDescent="0.15">
      <c r="A39" s="32">
        <v>32</v>
      </c>
      <c r="B39" s="26">
        <v>36386</v>
      </c>
      <c r="C39" s="76">
        <v>3</v>
      </c>
      <c r="D39" s="76">
        <v>4</v>
      </c>
      <c r="E39" s="76">
        <v>0</v>
      </c>
      <c r="F39" s="76">
        <v>9</v>
      </c>
      <c r="G39" s="76">
        <v>8</v>
      </c>
      <c r="H39" s="76">
        <v>0</v>
      </c>
      <c r="I39" s="13">
        <v>8</v>
      </c>
      <c r="J39" s="33">
        <v>28955712.5</v>
      </c>
      <c r="K39" s="160" t="s">
        <v>23</v>
      </c>
      <c r="L39" s="34"/>
      <c r="M39" s="18">
        <v>2109239.4</v>
      </c>
      <c r="N39" s="30">
        <v>8</v>
      </c>
      <c r="O39" s="30">
        <v>96</v>
      </c>
      <c r="P39" s="30">
        <v>1003</v>
      </c>
      <c r="Q39" s="30">
        <v>10272</v>
      </c>
      <c r="R39" s="30">
        <v>99219</v>
      </c>
      <c r="S39" s="30">
        <v>1143698</v>
      </c>
      <c r="W39" s="4"/>
    </row>
    <row r="40" spans="1:23" x14ac:dyDescent="0.15">
      <c r="A40" s="32">
        <v>33</v>
      </c>
      <c r="B40" s="26">
        <v>36393</v>
      </c>
      <c r="C40" s="76">
        <v>4</v>
      </c>
      <c r="D40" s="76">
        <v>9</v>
      </c>
      <c r="E40" s="76">
        <v>5</v>
      </c>
      <c r="F40" s="76">
        <v>9</v>
      </c>
      <c r="G40" s="76">
        <v>4</v>
      </c>
      <c r="H40" s="76">
        <v>9</v>
      </c>
      <c r="I40" s="13">
        <v>6</v>
      </c>
      <c r="J40" s="33">
        <v>29005965</v>
      </c>
      <c r="K40" s="160">
        <v>3</v>
      </c>
      <c r="L40" s="18">
        <v>1377777</v>
      </c>
      <c r="M40" s="18">
        <v>38232.5</v>
      </c>
      <c r="N40" s="30">
        <v>10</v>
      </c>
      <c r="O40" s="30">
        <v>123</v>
      </c>
      <c r="P40" s="30">
        <v>1050</v>
      </c>
      <c r="Q40" s="30">
        <v>11148</v>
      </c>
      <c r="R40" s="30">
        <v>110654</v>
      </c>
      <c r="S40" s="30">
        <v>1094995</v>
      </c>
      <c r="W40" s="4"/>
    </row>
    <row r="41" spans="1:23" x14ac:dyDescent="0.15">
      <c r="A41" s="32">
        <v>34</v>
      </c>
      <c r="B41" s="26">
        <v>36400</v>
      </c>
      <c r="C41" s="76">
        <v>8</v>
      </c>
      <c r="D41" s="76">
        <v>0</v>
      </c>
      <c r="E41" s="76">
        <v>8</v>
      </c>
      <c r="F41" s="76">
        <v>1</v>
      </c>
      <c r="G41" s="76">
        <v>6</v>
      </c>
      <c r="H41" s="76">
        <v>5</v>
      </c>
      <c r="I41" s="13">
        <v>1</v>
      </c>
      <c r="J41" s="33">
        <v>31740592.5</v>
      </c>
      <c r="K41" s="160">
        <v>2</v>
      </c>
      <c r="L41" s="18">
        <v>1077777</v>
      </c>
      <c r="M41" s="18">
        <v>139434.6</v>
      </c>
      <c r="N41" s="30">
        <v>12</v>
      </c>
      <c r="O41" s="30">
        <v>115</v>
      </c>
      <c r="P41" s="30">
        <v>988</v>
      </c>
      <c r="Q41" s="30">
        <v>10400</v>
      </c>
      <c r="R41" s="30">
        <v>102588</v>
      </c>
      <c r="S41" s="30">
        <v>1011853</v>
      </c>
      <c r="W41" s="4"/>
    </row>
    <row r="42" spans="1:23" x14ac:dyDescent="0.15">
      <c r="A42" s="32">
        <v>35</v>
      </c>
      <c r="B42" s="26">
        <v>36407</v>
      </c>
      <c r="C42" s="76">
        <v>3</v>
      </c>
      <c r="D42" s="76">
        <v>1</v>
      </c>
      <c r="E42" s="76">
        <v>7</v>
      </c>
      <c r="F42" s="76">
        <v>7</v>
      </c>
      <c r="G42" s="76">
        <v>9</v>
      </c>
      <c r="H42" s="76">
        <v>7</v>
      </c>
      <c r="I42" s="13">
        <v>2</v>
      </c>
      <c r="J42" s="33">
        <v>42985472.5</v>
      </c>
      <c r="K42" s="160">
        <v>2</v>
      </c>
      <c r="L42" s="18">
        <v>1577777</v>
      </c>
      <c r="M42" s="18">
        <v>40147.699999999997</v>
      </c>
      <c r="N42" s="30">
        <v>15</v>
      </c>
      <c r="O42" s="30">
        <v>144</v>
      </c>
      <c r="P42" s="30">
        <v>1505</v>
      </c>
      <c r="Q42" s="30">
        <v>15122</v>
      </c>
      <c r="R42" s="30">
        <v>146028</v>
      </c>
      <c r="S42" s="30">
        <v>1451681</v>
      </c>
      <c r="W42" s="4"/>
    </row>
    <row r="43" spans="1:23" x14ac:dyDescent="0.15">
      <c r="A43" s="32">
        <v>36</v>
      </c>
      <c r="B43" s="26">
        <v>36414</v>
      </c>
      <c r="C43" s="76">
        <v>1</v>
      </c>
      <c r="D43" s="76">
        <v>1</v>
      </c>
      <c r="E43" s="76">
        <v>9</v>
      </c>
      <c r="F43" s="76">
        <v>6</v>
      </c>
      <c r="G43" s="76">
        <v>7</v>
      </c>
      <c r="H43" s="76">
        <v>2</v>
      </c>
      <c r="I43" s="13">
        <v>7</v>
      </c>
      <c r="J43" s="33">
        <v>29933312.5</v>
      </c>
      <c r="K43" s="160">
        <v>3</v>
      </c>
      <c r="L43" s="18">
        <v>677777</v>
      </c>
      <c r="M43" s="18">
        <v>135075.20000000001</v>
      </c>
      <c r="N43" s="30">
        <v>19</v>
      </c>
      <c r="O43" s="30">
        <v>118</v>
      </c>
      <c r="P43" s="30">
        <v>1174</v>
      </c>
      <c r="Q43" s="30">
        <v>11888</v>
      </c>
      <c r="R43" s="30">
        <v>117308</v>
      </c>
      <c r="S43" s="30">
        <v>1146584</v>
      </c>
      <c r="W43" s="4"/>
    </row>
    <row r="44" spans="1:23" x14ac:dyDescent="0.15">
      <c r="A44" s="32">
        <v>37</v>
      </c>
      <c r="B44" s="26">
        <v>36421</v>
      </c>
      <c r="C44" s="76">
        <v>0</v>
      </c>
      <c r="D44" s="76">
        <v>4</v>
      </c>
      <c r="E44" s="76">
        <v>1</v>
      </c>
      <c r="F44" s="76">
        <v>7</v>
      </c>
      <c r="G44" s="76">
        <v>5</v>
      </c>
      <c r="H44" s="76">
        <v>5</v>
      </c>
      <c r="I44" s="13">
        <v>3</v>
      </c>
      <c r="J44" s="33">
        <v>29207942.5</v>
      </c>
      <c r="K44" s="160">
        <v>3</v>
      </c>
      <c r="L44" s="34">
        <v>677777</v>
      </c>
      <c r="M44" s="18">
        <v>178428.9</v>
      </c>
      <c r="N44" s="30">
        <v>16</v>
      </c>
      <c r="O44" s="30">
        <v>85</v>
      </c>
      <c r="P44" s="30">
        <v>1109</v>
      </c>
      <c r="Q44" s="30">
        <v>10531</v>
      </c>
      <c r="R44" s="30">
        <v>107133</v>
      </c>
      <c r="S44" s="30">
        <v>1072911</v>
      </c>
      <c r="W44" s="4"/>
    </row>
    <row r="45" spans="1:23" x14ac:dyDescent="0.15">
      <c r="A45" s="32">
        <v>38</v>
      </c>
      <c r="B45" s="26">
        <v>36428</v>
      </c>
      <c r="C45" s="76">
        <v>6</v>
      </c>
      <c r="D45" s="76">
        <v>3</v>
      </c>
      <c r="E45" s="76">
        <v>9</v>
      </c>
      <c r="F45" s="76">
        <v>3</v>
      </c>
      <c r="G45" s="76">
        <v>4</v>
      </c>
      <c r="H45" s="76">
        <v>1</v>
      </c>
      <c r="I45" s="13">
        <v>7</v>
      </c>
      <c r="J45" s="33">
        <v>28422785</v>
      </c>
      <c r="K45" s="160" t="s">
        <v>23</v>
      </c>
      <c r="L45" s="34"/>
      <c r="M45" s="18">
        <v>2199288.9</v>
      </c>
      <c r="N45" s="30">
        <v>13</v>
      </c>
      <c r="O45" s="30">
        <v>118</v>
      </c>
      <c r="P45" s="30">
        <v>1119</v>
      </c>
      <c r="Q45" s="30">
        <v>11216</v>
      </c>
      <c r="R45" s="30">
        <v>111112</v>
      </c>
      <c r="S45" s="30">
        <v>1099036</v>
      </c>
      <c r="W45" s="4"/>
    </row>
    <row r="46" spans="1:23" x14ac:dyDescent="0.15">
      <c r="A46" s="32">
        <v>39</v>
      </c>
      <c r="B46" s="26">
        <v>36435</v>
      </c>
      <c r="C46" s="76">
        <v>1</v>
      </c>
      <c r="D46" s="76">
        <v>9</v>
      </c>
      <c r="E46" s="76">
        <v>8</v>
      </c>
      <c r="F46" s="76">
        <v>2</v>
      </c>
      <c r="G46" s="76">
        <v>5</v>
      </c>
      <c r="H46" s="76">
        <v>8</v>
      </c>
      <c r="I46" s="13">
        <v>3</v>
      </c>
      <c r="J46" s="33">
        <v>28866547.5</v>
      </c>
      <c r="K46" s="160">
        <v>2</v>
      </c>
      <c r="L46" s="34">
        <v>2077777</v>
      </c>
      <c r="M46" s="18">
        <v>96146.4</v>
      </c>
      <c r="N46" s="30">
        <v>11</v>
      </c>
      <c r="O46" s="30">
        <v>118</v>
      </c>
      <c r="P46" s="30">
        <v>1068</v>
      </c>
      <c r="Q46" s="30">
        <v>10525</v>
      </c>
      <c r="R46" s="30">
        <v>103245</v>
      </c>
      <c r="S46" s="30">
        <v>1063763</v>
      </c>
      <c r="W46" s="4"/>
    </row>
    <row r="47" spans="1:23" x14ac:dyDescent="0.15">
      <c r="A47" s="32">
        <v>40</v>
      </c>
      <c r="B47" s="26">
        <v>36442</v>
      </c>
      <c r="C47" s="76">
        <v>3</v>
      </c>
      <c r="D47" s="76">
        <v>3</v>
      </c>
      <c r="E47" s="76">
        <v>8</v>
      </c>
      <c r="F47" s="76">
        <v>0</v>
      </c>
      <c r="G47" s="76">
        <v>6</v>
      </c>
      <c r="H47" s="76">
        <v>7</v>
      </c>
      <c r="I47" s="13">
        <v>1</v>
      </c>
      <c r="J47" s="33">
        <v>28097835</v>
      </c>
      <c r="K47" s="160">
        <v>2</v>
      </c>
      <c r="L47" s="18">
        <v>977777</v>
      </c>
      <c r="M47" s="18">
        <v>138348.5</v>
      </c>
      <c r="N47" s="30">
        <v>8</v>
      </c>
      <c r="O47" s="30">
        <v>89</v>
      </c>
      <c r="P47" s="30">
        <v>800</v>
      </c>
      <c r="Q47" s="30">
        <v>8792</v>
      </c>
      <c r="R47" s="30">
        <v>87555</v>
      </c>
      <c r="S47" s="30">
        <v>882542</v>
      </c>
      <c r="W47" s="4"/>
    </row>
    <row r="48" spans="1:23" x14ac:dyDescent="0.15">
      <c r="A48" s="32">
        <v>41</v>
      </c>
      <c r="B48" s="26">
        <v>36449</v>
      </c>
      <c r="C48" s="76">
        <v>4</v>
      </c>
      <c r="D48" s="76">
        <v>6</v>
      </c>
      <c r="E48" s="76">
        <v>8</v>
      </c>
      <c r="F48" s="76">
        <v>9</v>
      </c>
      <c r="G48" s="76">
        <v>5</v>
      </c>
      <c r="H48" s="76">
        <v>7</v>
      </c>
      <c r="I48" s="13">
        <v>7</v>
      </c>
      <c r="J48" s="33">
        <v>28213450</v>
      </c>
      <c r="K48" s="160">
        <v>1</v>
      </c>
      <c r="L48" s="34">
        <v>2077777</v>
      </c>
      <c r="M48" s="18">
        <v>66547.8</v>
      </c>
      <c r="N48" s="30">
        <v>13</v>
      </c>
      <c r="O48" s="30">
        <v>130</v>
      </c>
      <c r="P48" s="30">
        <v>1209</v>
      </c>
      <c r="Q48" s="30">
        <v>12058</v>
      </c>
      <c r="R48" s="30">
        <v>122870</v>
      </c>
      <c r="S48" s="30">
        <v>1090282</v>
      </c>
      <c r="W48" s="4"/>
    </row>
    <row r="49" spans="1:23" x14ac:dyDescent="0.15">
      <c r="A49" s="32">
        <v>42</v>
      </c>
      <c r="B49" s="26">
        <v>36456</v>
      </c>
      <c r="C49" s="76">
        <v>8</v>
      </c>
      <c r="D49" s="76">
        <v>8</v>
      </c>
      <c r="E49" s="76">
        <v>3</v>
      </c>
      <c r="F49" s="76">
        <v>8</v>
      </c>
      <c r="G49" s="76">
        <v>8</v>
      </c>
      <c r="H49" s="76">
        <v>9</v>
      </c>
      <c r="I49" s="13">
        <v>3</v>
      </c>
      <c r="J49" s="33">
        <v>27679050</v>
      </c>
      <c r="K49" s="160" t="s">
        <v>23</v>
      </c>
      <c r="L49" s="18"/>
      <c r="M49" s="18">
        <v>2034528.3</v>
      </c>
      <c r="N49" s="30">
        <v>6</v>
      </c>
      <c r="O49" s="30">
        <v>114</v>
      </c>
      <c r="P49" s="30">
        <v>1031</v>
      </c>
      <c r="Q49" s="30">
        <v>10308</v>
      </c>
      <c r="R49" s="30">
        <v>101198</v>
      </c>
      <c r="S49" s="30">
        <v>1028418</v>
      </c>
      <c r="W49" s="4"/>
    </row>
    <row r="50" spans="1:23" x14ac:dyDescent="0.15">
      <c r="A50" s="32">
        <v>43</v>
      </c>
      <c r="B50" s="26">
        <v>36463</v>
      </c>
      <c r="C50" s="76">
        <v>2</v>
      </c>
      <c r="D50" s="76">
        <v>2</v>
      </c>
      <c r="E50" s="76">
        <v>4</v>
      </c>
      <c r="F50" s="76">
        <v>3</v>
      </c>
      <c r="G50" s="76">
        <v>9</v>
      </c>
      <c r="H50" s="76">
        <v>5</v>
      </c>
      <c r="I50" s="13">
        <v>8</v>
      </c>
      <c r="J50" s="33">
        <v>28262480</v>
      </c>
      <c r="K50" s="160">
        <v>2</v>
      </c>
      <c r="L50" s="34">
        <v>1977777</v>
      </c>
      <c r="M50" s="18">
        <v>88436.6</v>
      </c>
      <c r="N50" s="30">
        <v>14</v>
      </c>
      <c r="O50" s="30">
        <v>138</v>
      </c>
      <c r="P50" s="30">
        <v>1127</v>
      </c>
      <c r="Q50" s="30">
        <v>11497</v>
      </c>
      <c r="R50" s="30">
        <v>113932</v>
      </c>
      <c r="S50" s="30">
        <v>1135600</v>
      </c>
    </row>
    <row r="51" spans="1:23" x14ac:dyDescent="0.15">
      <c r="A51" s="32">
        <v>44</v>
      </c>
      <c r="B51" s="26">
        <v>36470</v>
      </c>
      <c r="C51" s="76">
        <v>3</v>
      </c>
      <c r="D51" s="76">
        <v>1</v>
      </c>
      <c r="E51" s="76">
        <v>3</v>
      </c>
      <c r="F51" s="76">
        <v>9</v>
      </c>
      <c r="G51" s="76">
        <v>7</v>
      </c>
      <c r="H51" s="76">
        <v>6</v>
      </c>
      <c r="I51" s="13">
        <v>8</v>
      </c>
      <c r="J51" s="33">
        <v>31160447.5</v>
      </c>
      <c r="K51" s="160">
        <v>1</v>
      </c>
      <c r="L51" s="18">
        <v>2277777</v>
      </c>
      <c r="M51" s="18">
        <v>26167.4</v>
      </c>
      <c r="N51" s="30">
        <v>9</v>
      </c>
      <c r="O51" s="30">
        <v>118</v>
      </c>
      <c r="P51" s="30">
        <v>1314</v>
      </c>
      <c r="Q51" s="30">
        <v>12601</v>
      </c>
      <c r="R51" s="30">
        <v>127299</v>
      </c>
      <c r="S51" s="30">
        <v>1235561</v>
      </c>
    </row>
    <row r="52" spans="1:23" x14ac:dyDescent="0.15">
      <c r="A52" s="32">
        <v>45</v>
      </c>
      <c r="B52" s="26">
        <v>36477</v>
      </c>
      <c r="C52" s="76">
        <v>9</v>
      </c>
      <c r="D52" s="76">
        <v>7</v>
      </c>
      <c r="E52" s="76">
        <v>4</v>
      </c>
      <c r="F52" s="76">
        <v>6</v>
      </c>
      <c r="G52" s="76">
        <v>8</v>
      </c>
      <c r="H52" s="76">
        <v>2</v>
      </c>
      <c r="I52" s="13">
        <v>2</v>
      </c>
      <c r="J52" s="33">
        <v>28485552.5</v>
      </c>
      <c r="K52" s="160" t="s">
        <v>23</v>
      </c>
      <c r="L52" s="18"/>
      <c r="M52" s="18">
        <v>2051490.2</v>
      </c>
      <c r="N52" s="30">
        <v>9</v>
      </c>
      <c r="O52" s="30">
        <v>97</v>
      </c>
      <c r="P52" s="30">
        <v>930</v>
      </c>
      <c r="Q52" s="30">
        <v>9637</v>
      </c>
      <c r="R52" s="30">
        <v>94330</v>
      </c>
      <c r="S52" s="30">
        <v>949236</v>
      </c>
    </row>
    <row r="53" spans="1:23" x14ac:dyDescent="0.15">
      <c r="A53" s="32">
        <v>46</v>
      </c>
      <c r="B53" s="26">
        <v>36484</v>
      </c>
      <c r="C53" s="76">
        <v>4</v>
      </c>
      <c r="D53" s="76">
        <v>9</v>
      </c>
      <c r="E53" s="76">
        <v>6</v>
      </c>
      <c r="F53" s="76">
        <v>6</v>
      </c>
      <c r="G53" s="76">
        <v>0</v>
      </c>
      <c r="H53" s="76">
        <v>3</v>
      </c>
      <c r="I53" s="13">
        <v>3</v>
      </c>
      <c r="J53" s="33">
        <v>28400605</v>
      </c>
      <c r="K53" s="160">
        <v>2</v>
      </c>
      <c r="L53" s="18">
        <v>1977777</v>
      </c>
      <c r="M53" s="18">
        <v>115219.2</v>
      </c>
      <c r="N53" s="30">
        <v>10</v>
      </c>
      <c r="O53" s="30">
        <v>101</v>
      </c>
      <c r="P53" s="30">
        <v>1002</v>
      </c>
      <c r="Q53" s="30">
        <v>10220</v>
      </c>
      <c r="R53" s="30">
        <v>105068</v>
      </c>
      <c r="S53" s="30">
        <v>1058362</v>
      </c>
    </row>
    <row r="54" spans="1:23" x14ac:dyDescent="0.15">
      <c r="A54" s="32">
        <v>47</v>
      </c>
      <c r="B54" s="26">
        <v>36491</v>
      </c>
      <c r="C54" s="76">
        <v>7</v>
      </c>
      <c r="D54" s="76">
        <v>2</v>
      </c>
      <c r="E54" s="76">
        <v>4</v>
      </c>
      <c r="F54" s="76">
        <v>8</v>
      </c>
      <c r="G54" s="76">
        <v>3</v>
      </c>
      <c r="H54" s="76">
        <v>2</v>
      </c>
      <c r="I54" s="13">
        <v>0</v>
      </c>
      <c r="J54" s="33">
        <v>29740327.5</v>
      </c>
      <c r="K54" s="160" t="s">
        <v>23</v>
      </c>
      <c r="L54" s="18"/>
      <c r="M54" s="18">
        <v>2229756.5</v>
      </c>
      <c r="N54" s="30">
        <v>12</v>
      </c>
      <c r="O54" s="30">
        <v>88</v>
      </c>
      <c r="P54" s="30">
        <v>917</v>
      </c>
      <c r="Q54" s="30">
        <v>8868</v>
      </c>
      <c r="R54" s="30">
        <v>87943</v>
      </c>
      <c r="S54" s="30">
        <v>892428</v>
      </c>
    </row>
    <row r="55" spans="1:23" x14ac:dyDescent="0.15">
      <c r="A55" s="32">
        <v>48</v>
      </c>
      <c r="B55" s="26">
        <v>36498</v>
      </c>
      <c r="C55" s="76">
        <v>7</v>
      </c>
      <c r="D55" s="76">
        <v>6</v>
      </c>
      <c r="E55" s="76">
        <v>0</v>
      </c>
      <c r="F55" s="76">
        <v>9</v>
      </c>
      <c r="G55" s="76">
        <v>5</v>
      </c>
      <c r="H55" s="76">
        <v>4</v>
      </c>
      <c r="I55" s="13">
        <v>8</v>
      </c>
      <c r="J55" s="33">
        <v>34118080</v>
      </c>
      <c r="K55" s="160">
        <v>4</v>
      </c>
      <c r="L55" s="18">
        <v>1077777</v>
      </c>
      <c r="M55" s="18">
        <v>344444</v>
      </c>
      <c r="N55" s="30">
        <v>8</v>
      </c>
      <c r="O55" s="30">
        <v>145</v>
      </c>
      <c r="P55" s="30">
        <v>1443</v>
      </c>
      <c r="Q55" s="30">
        <v>14379</v>
      </c>
      <c r="R55" s="30">
        <v>141750</v>
      </c>
      <c r="S55" s="30">
        <v>1357299</v>
      </c>
    </row>
    <row r="56" spans="1:23" x14ac:dyDescent="0.15">
      <c r="A56" s="32">
        <v>49</v>
      </c>
      <c r="B56" s="26">
        <v>36505</v>
      </c>
      <c r="C56" s="76">
        <v>8</v>
      </c>
      <c r="D56" s="76">
        <v>8</v>
      </c>
      <c r="E56" s="76">
        <v>5</v>
      </c>
      <c r="F56" s="76">
        <v>0</v>
      </c>
      <c r="G56" s="76">
        <v>3</v>
      </c>
      <c r="H56" s="76">
        <v>5</v>
      </c>
      <c r="I56" s="13">
        <v>2</v>
      </c>
      <c r="J56" s="33">
        <v>43798582.5</v>
      </c>
      <c r="K56" s="160">
        <v>2</v>
      </c>
      <c r="L56" s="18">
        <v>1677777</v>
      </c>
      <c r="M56" s="18">
        <v>102969.2</v>
      </c>
      <c r="N56" s="30">
        <v>17</v>
      </c>
      <c r="O56" s="30">
        <v>154</v>
      </c>
      <c r="P56" s="30">
        <v>1557</v>
      </c>
      <c r="Q56" s="30">
        <v>15421</v>
      </c>
      <c r="R56" s="30">
        <v>151397</v>
      </c>
      <c r="S56" s="30">
        <v>1488274</v>
      </c>
    </row>
    <row r="57" spans="1:23" x14ac:dyDescent="0.15">
      <c r="A57" s="32">
        <v>50</v>
      </c>
      <c r="B57" s="26">
        <v>36512</v>
      </c>
      <c r="C57" s="76">
        <v>4</v>
      </c>
      <c r="D57" s="76">
        <v>4</v>
      </c>
      <c r="E57" s="76">
        <v>5</v>
      </c>
      <c r="F57" s="76">
        <v>1</v>
      </c>
      <c r="G57" s="76">
        <v>8</v>
      </c>
      <c r="H57" s="76">
        <v>6</v>
      </c>
      <c r="I57" s="13">
        <v>3</v>
      </c>
      <c r="J57" s="33">
        <v>33346272.5</v>
      </c>
      <c r="K57" s="160">
        <v>1</v>
      </c>
      <c r="L57" s="34">
        <v>2377777</v>
      </c>
      <c r="M57" s="18">
        <v>96112.2</v>
      </c>
      <c r="N57" s="30">
        <v>8</v>
      </c>
      <c r="O57" s="30">
        <v>137</v>
      </c>
      <c r="P57" s="30">
        <v>1306</v>
      </c>
      <c r="Q57" s="30">
        <v>12553</v>
      </c>
      <c r="R57" s="30">
        <v>124936</v>
      </c>
      <c r="S57" s="30">
        <v>1250266</v>
      </c>
    </row>
    <row r="58" spans="1:23" x14ac:dyDescent="0.15">
      <c r="A58" s="32">
        <v>51</v>
      </c>
      <c r="B58" s="26">
        <v>36519</v>
      </c>
      <c r="C58" s="76">
        <v>5</v>
      </c>
      <c r="D58" s="76">
        <v>2</v>
      </c>
      <c r="E58" s="76">
        <v>8</v>
      </c>
      <c r="F58" s="76">
        <v>6</v>
      </c>
      <c r="G58" s="76">
        <v>2</v>
      </c>
      <c r="H58" s="76">
        <v>8</v>
      </c>
      <c r="I58" s="13">
        <v>3</v>
      </c>
      <c r="J58" s="33">
        <v>33471080</v>
      </c>
      <c r="K58" s="160">
        <v>1</v>
      </c>
      <c r="L58" s="34">
        <v>2377777</v>
      </c>
      <c r="M58" s="18">
        <v>98129</v>
      </c>
      <c r="N58" s="30">
        <v>13</v>
      </c>
      <c r="O58" s="30">
        <v>130</v>
      </c>
      <c r="P58" s="30">
        <v>1204</v>
      </c>
      <c r="Q58" s="30">
        <v>12615</v>
      </c>
      <c r="R58" s="30">
        <v>123952</v>
      </c>
      <c r="S58" s="30">
        <v>1263926</v>
      </c>
    </row>
    <row r="59" spans="1:23" x14ac:dyDescent="0.15">
      <c r="A59" s="36">
        <v>52</v>
      </c>
      <c r="B59" s="26">
        <v>36526</v>
      </c>
      <c r="C59" s="38">
        <v>8</v>
      </c>
      <c r="D59" s="38">
        <v>2</v>
      </c>
      <c r="E59" s="38">
        <v>9</v>
      </c>
      <c r="F59" s="38">
        <v>5</v>
      </c>
      <c r="G59" s="38">
        <v>0</v>
      </c>
      <c r="H59" s="38">
        <v>0</v>
      </c>
      <c r="I59" s="39">
        <v>8</v>
      </c>
      <c r="J59" s="40">
        <v>34835255</v>
      </c>
      <c r="K59" s="41" t="s">
        <v>23</v>
      </c>
      <c r="L59" s="42"/>
      <c r="M59" s="43">
        <v>2574915.6</v>
      </c>
      <c r="N59" s="44">
        <v>6</v>
      </c>
      <c r="O59" s="44">
        <v>116</v>
      </c>
      <c r="P59" s="44">
        <v>1151</v>
      </c>
      <c r="Q59" s="44">
        <v>11145</v>
      </c>
      <c r="R59" s="44">
        <v>123187</v>
      </c>
      <c r="S59" s="44">
        <v>1399409</v>
      </c>
    </row>
    <row r="60" spans="1:23" x14ac:dyDescent="0.15">
      <c r="A60" s="130"/>
      <c r="B60" s="97"/>
      <c r="C60" s="97"/>
      <c r="D60" s="97"/>
      <c r="E60" s="97"/>
      <c r="F60" s="97"/>
      <c r="G60" s="97"/>
      <c r="H60" s="97" t="s">
        <v>24</v>
      </c>
      <c r="I60" s="97"/>
      <c r="J60" s="97"/>
      <c r="K60" s="259">
        <f>SUM(K8:K59)</f>
        <v>71</v>
      </c>
      <c r="L60" s="132"/>
      <c r="M60" s="133"/>
      <c r="N60" s="259">
        <f t="shared" ref="N60:S60" si="0">SUM(N8:N59)</f>
        <v>553</v>
      </c>
      <c r="O60" s="260">
        <f t="shared" si="0"/>
        <v>5711</v>
      </c>
      <c r="P60" s="260">
        <f t="shared" si="0"/>
        <v>56654</v>
      </c>
      <c r="Q60" s="261">
        <f t="shared" si="0"/>
        <v>568198</v>
      </c>
      <c r="R60" s="133">
        <f t="shared" si="0"/>
        <v>5691273</v>
      </c>
      <c r="S60" s="137">
        <f t="shared" si="0"/>
        <v>56383838</v>
      </c>
    </row>
    <row r="61" spans="1:23" x14ac:dyDescent="0.15">
      <c r="W61" s="5"/>
    </row>
    <row r="64" spans="1:23" x14ac:dyDescent="0.15">
      <c r="L64"/>
    </row>
    <row r="65" spans="12:12" x14ac:dyDescent="0.15">
      <c r="L65"/>
    </row>
    <row r="66" spans="12:12" x14ac:dyDescent="0.15">
      <c r="L66"/>
    </row>
    <row r="67" spans="12:12" x14ac:dyDescent="0.15">
      <c r="L67"/>
    </row>
    <row r="68" spans="12:12" x14ac:dyDescent="0.15">
      <c r="L68"/>
    </row>
    <row r="69" spans="12:12" x14ac:dyDescent="0.15">
      <c r="L69"/>
    </row>
    <row r="70" spans="12:12" x14ac:dyDescent="0.15">
      <c r="L70"/>
    </row>
    <row r="71" spans="12:12" x14ac:dyDescent="0.15">
      <c r="L71"/>
    </row>
    <row r="72" spans="12:12" x14ac:dyDescent="0.15">
      <c r="L72"/>
    </row>
    <row r="73" spans="12:12" x14ac:dyDescent="0.15">
      <c r="L73"/>
    </row>
    <row r="74" spans="12:12" x14ac:dyDescent="0.15">
      <c r="L74"/>
    </row>
    <row r="75" spans="12:12" x14ac:dyDescent="0.15">
      <c r="L75"/>
    </row>
    <row r="76" spans="12:12" x14ac:dyDescent="0.15">
      <c r="L76"/>
    </row>
    <row r="77" spans="12:12" x14ac:dyDescent="0.15">
      <c r="L77"/>
    </row>
    <row r="78" spans="12:12" x14ac:dyDescent="0.15">
      <c r="L78"/>
    </row>
    <row r="79" spans="12:12" x14ac:dyDescent="0.15">
      <c r="L79"/>
    </row>
    <row r="80" spans="12:12" x14ac:dyDescent="0.15">
      <c r="L80"/>
    </row>
    <row r="81" spans="12:12" x14ac:dyDescent="0.15">
      <c r="L81"/>
    </row>
    <row r="82" spans="12:12" x14ac:dyDescent="0.15">
      <c r="L82"/>
    </row>
    <row r="83" spans="12:12" x14ac:dyDescent="0.15">
      <c r="L83"/>
    </row>
    <row r="84" spans="12:12" x14ac:dyDescent="0.15">
      <c r="L84"/>
    </row>
    <row r="85" spans="12:12" x14ac:dyDescent="0.15">
      <c r="L85"/>
    </row>
    <row r="86" spans="12:12" x14ac:dyDescent="0.15">
      <c r="L86"/>
    </row>
    <row r="87" spans="12:12" x14ac:dyDescent="0.15">
      <c r="L87"/>
    </row>
    <row r="88" spans="12:12" x14ac:dyDescent="0.15">
      <c r="L88"/>
    </row>
    <row r="89" spans="12:12" x14ac:dyDescent="0.15">
      <c r="L89"/>
    </row>
    <row r="90" spans="12:12" x14ac:dyDescent="0.15">
      <c r="L90"/>
    </row>
    <row r="91" spans="12:12" x14ac:dyDescent="0.15">
      <c r="L91"/>
    </row>
    <row r="92" spans="12:12" x14ac:dyDescent="0.15">
      <c r="L92"/>
    </row>
    <row r="93" spans="12:12" x14ac:dyDescent="0.15">
      <c r="L93"/>
    </row>
    <row r="94" spans="12:12" x14ac:dyDescent="0.15">
      <c r="L94"/>
    </row>
    <row r="95" spans="12:12" x14ac:dyDescent="0.15">
      <c r="L95"/>
    </row>
    <row r="96" spans="12:12" x14ac:dyDescent="0.15">
      <c r="L96"/>
    </row>
    <row r="97" spans="12:12" x14ac:dyDescent="0.15">
      <c r="L97"/>
    </row>
    <row r="98" spans="12:12" x14ac:dyDescent="0.15">
      <c r="L98"/>
    </row>
    <row r="99" spans="12:12" x14ac:dyDescent="0.15">
      <c r="L99"/>
    </row>
    <row r="100" spans="12:12" x14ac:dyDescent="0.15">
      <c r="L100"/>
    </row>
    <row r="101" spans="12:12" x14ac:dyDescent="0.15">
      <c r="L101"/>
    </row>
    <row r="102" spans="12:12" x14ac:dyDescent="0.15">
      <c r="L102"/>
    </row>
    <row r="103" spans="12:12" x14ac:dyDescent="0.15">
      <c r="L103"/>
    </row>
    <row r="104" spans="12:12" x14ac:dyDescent="0.15">
      <c r="L104"/>
    </row>
    <row r="105" spans="12:12" x14ac:dyDescent="0.15">
      <c r="L105"/>
    </row>
    <row r="106" spans="12:12" x14ac:dyDescent="0.15">
      <c r="L106"/>
    </row>
    <row r="107" spans="12:12" x14ac:dyDescent="0.15">
      <c r="L107"/>
    </row>
    <row r="108" spans="12:12" x14ac:dyDescent="0.15">
      <c r="L108"/>
    </row>
    <row r="109" spans="12:12" x14ac:dyDescent="0.15">
      <c r="L109"/>
    </row>
    <row r="110" spans="12:12" x14ac:dyDescent="0.15">
      <c r="L110"/>
    </row>
    <row r="111" spans="12:12" x14ac:dyDescent="0.15">
      <c r="L111"/>
    </row>
    <row r="112" spans="12:12" x14ac:dyDescent="0.15">
      <c r="L112"/>
    </row>
    <row r="113" spans="12:12" x14ac:dyDescent="0.15">
      <c r="L113"/>
    </row>
    <row r="114" spans="12:12" x14ac:dyDescent="0.15">
      <c r="L114"/>
    </row>
    <row r="115" spans="12:12" x14ac:dyDescent="0.15">
      <c r="L115"/>
    </row>
    <row r="116" spans="12:12" x14ac:dyDescent="0.15">
      <c r="L116"/>
    </row>
    <row r="117" spans="12:12" x14ac:dyDescent="0.15">
      <c r="L117"/>
    </row>
    <row r="118" spans="12:12" x14ac:dyDescent="0.15">
      <c r="L118"/>
    </row>
    <row r="119" spans="12:12" x14ac:dyDescent="0.15">
      <c r="L119"/>
    </row>
    <row r="120" spans="12:12" x14ac:dyDescent="0.15">
      <c r="L120"/>
    </row>
    <row r="121" spans="12:12" x14ac:dyDescent="0.15">
      <c r="L121"/>
    </row>
    <row r="122" spans="12:12" x14ac:dyDescent="0.15">
      <c r="L122"/>
    </row>
    <row r="123" spans="12:12" x14ac:dyDescent="0.15">
      <c r="L123"/>
    </row>
    <row r="124" spans="12:12" x14ac:dyDescent="0.15">
      <c r="L124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81" orientation="landscape" horizontalDpi="4294967292" verticalDpi="4294967292" r:id="rId1"/>
  <headerFooter alignWithMargins="0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128"/>
  <sheetViews>
    <sheetView workbookViewId="0"/>
  </sheetViews>
  <sheetFormatPr baseColWidth="10" defaultRowHeight="10.5" x14ac:dyDescent="0.15"/>
  <cols>
    <col min="1" max="1" width="7.5" customWidth="1"/>
    <col min="2" max="3" width="9.5" customWidth="1"/>
    <col min="4" max="10" width="7.6640625" customWidth="1"/>
    <col min="11" max="11" width="19" customWidth="1"/>
    <col min="12" max="12" width="7.83203125" customWidth="1"/>
    <col min="13" max="13" width="17.1640625" style="2" customWidth="1"/>
    <col min="14" max="14" width="17.1640625" customWidth="1"/>
    <col min="15" max="20" width="15.6640625" customWidth="1"/>
  </cols>
  <sheetData>
    <row r="2" spans="1:25" ht="12.75" x14ac:dyDescent="0.2">
      <c r="A2" s="1" t="s">
        <v>360</v>
      </c>
      <c r="T2" s="3" t="s">
        <v>399</v>
      </c>
      <c r="W2" s="4"/>
    </row>
    <row r="3" spans="1:25" ht="12.75" x14ac:dyDescent="0.2">
      <c r="A3" s="6" t="s">
        <v>2</v>
      </c>
      <c r="Q3" s="3"/>
      <c r="W3" s="4"/>
    </row>
    <row r="4" spans="1:25" x14ac:dyDescent="0.15">
      <c r="A4" s="7"/>
      <c r="B4" s="8"/>
      <c r="C4" s="7"/>
      <c r="D4" s="9"/>
      <c r="E4" s="9"/>
      <c r="F4" s="9"/>
      <c r="G4" s="9"/>
      <c r="H4" s="9"/>
      <c r="I4" s="9"/>
      <c r="J4" s="10"/>
      <c r="K4" s="11"/>
      <c r="L4" s="9"/>
      <c r="M4" s="12"/>
      <c r="N4" s="11"/>
      <c r="O4" s="8"/>
      <c r="P4" s="8"/>
      <c r="Q4" s="8"/>
      <c r="R4" s="8"/>
      <c r="S4" s="8"/>
      <c r="T4" s="8"/>
      <c r="Y4" s="4"/>
    </row>
    <row r="5" spans="1:25" x14ac:dyDescent="0.15">
      <c r="A5" s="13" t="s">
        <v>428</v>
      </c>
      <c r="B5" s="14">
        <v>2000</v>
      </c>
      <c r="C5" s="13" t="s">
        <v>361</v>
      </c>
      <c r="D5" s="15" t="s">
        <v>4</v>
      </c>
      <c r="E5" s="16"/>
      <c r="F5" s="16"/>
      <c r="G5" s="16"/>
      <c r="H5" s="16"/>
      <c r="I5" s="16"/>
      <c r="J5" s="17" t="s">
        <v>5</v>
      </c>
      <c r="K5" s="14" t="s">
        <v>6</v>
      </c>
      <c r="L5" s="6" t="s">
        <v>7</v>
      </c>
      <c r="M5" s="18"/>
      <c r="N5" s="14" t="s">
        <v>21</v>
      </c>
      <c r="O5" s="14" t="s">
        <v>8</v>
      </c>
      <c r="P5" s="14" t="s">
        <v>9</v>
      </c>
      <c r="Q5" s="14" t="s">
        <v>10</v>
      </c>
      <c r="R5" s="14" t="s">
        <v>11</v>
      </c>
      <c r="S5" s="14" t="s">
        <v>12</v>
      </c>
      <c r="T5" s="14" t="s">
        <v>49</v>
      </c>
      <c r="Y5" s="4"/>
    </row>
    <row r="6" spans="1:25" x14ac:dyDescent="0.15">
      <c r="A6" s="13"/>
      <c r="B6" s="14"/>
      <c r="C6" s="13"/>
      <c r="D6" s="19"/>
      <c r="E6" s="19"/>
      <c r="F6" s="19"/>
      <c r="G6" s="19"/>
      <c r="H6" s="19"/>
      <c r="I6" s="19"/>
      <c r="J6" s="17" t="s">
        <v>13</v>
      </c>
      <c r="K6" s="14" t="s">
        <v>14</v>
      </c>
      <c r="L6" s="6" t="s">
        <v>50</v>
      </c>
      <c r="M6" s="18"/>
      <c r="N6" s="14" t="s">
        <v>14</v>
      </c>
      <c r="O6" s="20" t="s">
        <v>51</v>
      </c>
      <c r="P6" s="20" t="s">
        <v>52</v>
      </c>
      <c r="Q6" s="20" t="s">
        <v>53</v>
      </c>
      <c r="R6" s="20" t="s">
        <v>54</v>
      </c>
      <c r="S6" s="20" t="s">
        <v>55</v>
      </c>
      <c r="T6" s="14" t="s">
        <v>56</v>
      </c>
      <c r="Y6" s="4"/>
    </row>
    <row r="7" spans="1:25" x14ac:dyDescent="0.15">
      <c r="A7" s="13"/>
      <c r="B7" s="21"/>
      <c r="C7" s="39"/>
      <c r="D7" s="19"/>
      <c r="E7" s="19"/>
      <c r="F7" s="19"/>
      <c r="G7" s="19"/>
      <c r="H7" s="19"/>
      <c r="I7" s="19"/>
      <c r="J7" s="13"/>
      <c r="K7" s="14"/>
      <c r="L7" s="22" t="s">
        <v>15</v>
      </c>
      <c r="M7" s="23" t="s">
        <v>14</v>
      </c>
      <c r="N7" s="14"/>
      <c r="O7" s="24" t="s">
        <v>15</v>
      </c>
      <c r="P7" s="24" t="s">
        <v>15</v>
      </c>
      <c r="Q7" s="24" t="s">
        <v>15</v>
      </c>
      <c r="R7" s="24" t="s">
        <v>15</v>
      </c>
      <c r="S7" s="24" t="s">
        <v>15</v>
      </c>
      <c r="T7" s="21" t="s">
        <v>15</v>
      </c>
      <c r="Y7" s="4"/>
    </row>
    <row r="8" spans="1:25" x14ac:dyDescent="0.15">
      <c r="A8" s="25">
        <v>1</v>
      </c>
      <c r="B8" s="26">
        <v>36533</v>
      </c>
      <c r="C8" s="104"/>
      <c r="D8" s="27">
        <v>7</v>
      </c>
      <c r="E8" s="27">
        <v>7</v>
      </c>
      <c r="F8" s="27">
        <v>5</v>
      </c>
      <c r="G8" s="27">
        <v>9</v>
      </c>
      <c r="H8" s="27">
        <v>6</v>
      </c>
      <c r="I8" s="27">
        <v>3</v>
      </c>
      <c r="J8" s="7">
        <v>3</v>
      </c>
      <c r="K8" s="185">
        <v>30300577.5</v>
      </c>
      <c r="L8" s="170">
        <v>1</v>
      </c>
      <c r="M8" s="29">
        <v>4677777</v>
      </c>
      <c r="N8" s="12">
        <v>51509.7</v>
      </c>
      <c r="O8" s="30">
        <v>15</v>
      </c>
      <c r="P8" s="30">
        <v>115</v>
      </c>
      <c r="Q8" s="30">
        <v>1140</v>
      </c>
      <c r="R8" s="30">
        <v>11413</v>
      </c>
      <c r="S8" s="30">
        <v>115958</v>
      </c>
      <c r="T8" s="30">
        <v>1169620</v>
      </c>
      <c r="V8" s="31"/>
      <c r="Y8" s="4"/>
    </row>
    <row r="9" spans="1:25" x14ac:dyDescent="0.15">
      <c r="A9" s="32">
        <v>2</v>
      </c>
      <c r="B9" s="26">
        <v>36540</v>
      </c>
      <c r="C9" s="104"/>
      <c r="D9" s="19">
        <v>9</v>
      </c>
      <c r="E9" s="19">
        <v>2</v>
      </c>
      <c r="F9" s="19">
        <v>2</v>
      </c>
      <c r="G9" s="19">
        <v>3</v>
      </c>
      <c r="H9" s="19">
        <v>9</v>
      </c>
      <c r="I9" s="19">
        <v>1</v>
      </c>
      <c r="J9" s="13">
        <v>6</v>
      </c>
      <c r="K9" s="186">
        <v>30085227.5</v>
      </c>
      <c r="L9" s="170" t="s">
        <v>23</v>
      </c>
      <c r="M9" s="34"/>
      <c r="N9" s="18">
        <v>2190569.4</v>
      </c>
      <c r="O9" s="30">
        <v>9</v>
      </c>
      <c r="P9" s="30">
        <v>111</v>
      </c>
      <c r="Q9" s="30">
        <v>1113</v>
      </c>
      <c r="R9" s="30">
        <v>11009</v>
      </c>
      <c r="S9" s="30">
        <v>108772</v>
      </c>
      <c r="T9" s="30">
        <v>1108550</v>
      </c>
      <c r="V9" s="31"/>
      <c r="Y9" s="4"/>
    </row>
    <row r="10" spans="1:25" x14ac:dyDescent="0.15">
      <c r="A10" s="32">
        <v>3</v>
      </c>
      <c r="B10" s="26">
        <v>36547</v>
      </c>
      <c r="C10" s="104"/>
      <c r="D10" s="19">
        <v>0</v>
      </c>
      <c r="E10" s="19">
        <v>6</v>
      </c>
      <c r="F10" s="19">
        <v>4</v>
      </c>
      <c r="G10" s="19">
        <v>6</v>
      </c>
      <c r="H10" s="19">
        <v>6</v>
      </c>
      <c r="I10" s="19">
        <v>2</v>
      </c>
      <c r="J10" s="13">
        <v>7</v>
      </c>
      <c r="K10" s="186">
        <v>31357947.5</v>
      </c>
      <c r="L10" s="170">
        <v>3</v>
      </c>
      <c r="M10" s="18">
        <v>1377777</v>
      </c>
      <c r="N10" s="18">
        <v>286788.5</v>
      </c>
      <c r="O10" s="30">
        <v>9</v>
      </c>
      <c r="P10" s="30">
        <v>120</v>
      </c>
      <c r="Q10" s="30">
        <v>1233</v>
      </c>
      <c r="R10" s="30">
        <v>12530</v>
      </c>
      <c r="S10" s="30">
        <v>125132</v>
      </c>
      <c r="T10" s="30">
        <v>1215046</v>
      </c>
      <c r="V10" s="31"/>
      <c r="Y10" s="4"/>
    </row>
    <row r="11" spans="1:25" x14ac:dyDescent="0.15">
      <c r="A11" s="32">
        <v>4</v>
      </c>
      <c r="B11" s="26">
        <v>36554</v>
      </c>
      <c r="C11" s="104"/>
      <c r="D11" s="19">
        <v>4</v>
      </c>
      <c r="E11" s="19">
        <v>2</v>
      </c>
      <c r="F11" s="19">
        <v>3</v>
      </c>
      <c r="G11" s="19">
        <v>1</v>
      </c>
      <c r="H11" s="19">
        <v>3</v>
      </c>
      <c r="I11" s="19">
        <v>1</v>
      </c>
      <c r="J11" s="13">
        <v>7</v>
      </c>
      <c r="K11" s="186">
        <v>29542560</v>
      </c>
      <c r="L11" s="170">
        <v>2</v>
      </c>
      <c r="M11" s="18">
        <v>1177777</v>
      </c>
      <c r="N11" s="18">
        <v>31710.5</v>
      </c>
      <c r="O11" s="30">
        <v>11</v>
      </c>
      <c r="P11" s="30">
        <v>120</v>
      </c>
      <c r="Q11" s="30">
        <v>1213</v>
      </c>
      <c r="R11" s="30">
        <v>11677</v>
      </c>
      <c r="S11" s="30">
        <v>115682</v>
      </c>
      <c r="T11" s="30">
        <v>1143105</v>
      </c>
      <c r="V11" s="31"/>
      <c r="Y11" s="4"/>
    </row>
    <row r="12" spans="1:25" x14ac:dyDescent="0.15">
      <c r="A12" s="32">
        <v>5</v>
      </c>
      <c r="B12" s="26">
        <v>36561</v>
      </c>
      <c r="C12" s="104"/>
      <c r="D12" s="19">
        <v>4</v>
      </c>
      <c r="E12" s="19">
        <v>4</v>
      </c>
      <c r="F12" s="19">
        <v>7</v>
      </c>
      <c r="G12" s="19">
        <v>4</v>
      </c>
      <c r="H12" s="19">
        <v>4</v>
      </c>
      <c r="I12" s="19">
        <v>0</v>
      </c>
      <c r="J12" s="13">
        <v>9</v>
      </c>
      <c r="K12" s="186">
        <v>29264787.5</v>
      </c>
      <c r="L12" s="170">
        <v>1</v>
      </c>
      <c r="M12" s="18">
        <v>2077777</v>
      </c>
      <c r="N12" s="18">
        <v>34659.9</v>
      </c>
      <c r="O12" s="30">
        <v>15</v>
      </c>
      <c r="P12" s="30">
        <v>94</v>
      </c>
      <c r="Q12" s="30">
        <v>981</v>
      </c>
      <c r="R12" s="30">
        <v>9895</v>
      </c>
      <c r="S12" s="30">
        <v>97611</v>
      </c>
      <c r="T12" s="30">
        <v>1121261</v>
      </c>
      <c r="V12" s="31"/>
      <c r="Y12" s="4"/>
    </row>
    <row r="13" spans="1:25" x14ac:dyDescent="0.15">
      <c r="A13" s="32">
        <v>6</v>
      </c>
      <c r="B13" s="26">
        <v>36568</v>
      </c>
      <c r="C13" s="104"/>
      <c r="D13" s="19">
        <v>0</v>
      </c>
      <c r="E13" s="19">
        <v>7</v>
      </c>
      <c r="F13" s="19">
        <v>8</v>
      </c>
      <c r="G13" s="19">
        <v>8</v>
      </c>
      <c r="H13" s="19">
        <v>9</v>
      </c>
      <c r="I13" s="19">
        <v>5</v>
      </c>
      <c r="J13" s="13">
        <v>2</v>
      </c>
      <c r="K13" s="186">
        <v>28851040</v>
      </c>
      <c r="L13" s="170" t="s">
        <v>23</v>
      </c>
      <c r="M13" s="34"/>
      <c r="N13" s="18">
        <v>2085968.8</v>
      </c>
      <c r="O13" s="30">
        <v>10</v>
      </c>
      <c r="P13" s="30">
        <v>96</v>
      </c>
      <c r="Q13" s="30">
        <v>1015</v>
      </c>
      <c r="R13" s="30">
        <v>10044</v>
      </c>
      <c r="S13" s="30">
        <v>99502</v>
      </c>
      <c r="T13" s="30">
        <v>957966</v>
      </c>
      <c r="V13" s="31"/>
      <c r="Y13" s="4"/>
    </row>
    <row r="14" spans="1:25" x14ac:dyDescent="0.15">
      <c r="A14" s="32">
        <v>7</v>
      </c>
      <c r="B14" s="26">
        <v>36575</v>
      </c>
      <c r="C14" s="104"/>
      <c r="D14" s="19">
        <v>5</v>
      </c>
      <c r="E14" s="19">
        <v>8</v>
      </c>
      <c r="F14" s="19">
        <v>6</v>
      </c>
      <c r="G14" s="19">
        <v>5</v>
      </c>
      <c r="H14" s="19">
        <v>0</v>
      </c>
      <c r="I14" s="19">
        <v>8</v>
      </c>
      <c r="J14" s="13">
        <v>9</v>
      </c>
      <c r="K14" s="186">
        <v>28643080</v>
      </c>
      <c r="L14" s="170" t="s">
        <v>23</v>
      </c>
      <c r="M14" s="18"/>
      <c r="N14" s="18">
        <v>4122491.8</v>
      </c>
      <c r="O14" s="30">
        <v>13</v>
      </c>
      <c r="P14" s="30">
        <v>94</v>
      </c>
      <c r="Q14" s="30">
        <v>1076</v>
      </c>
      <c r="R14" s="30">
        <v>10287</v>
      </c>
      <c r="S14" s="30">
        <v>106527</v>
      </c>
      <c r="T14" s="30">
        <v>1083795</v>
      </c>
      <c r="V14" s="31"/>
      <c r="Y14" s="4"/>
    </row>
    <row r="15" spans="1:25" x14ac:dyDescent="0.15">
      <c r="A15" s="32">
        <v>8</v>
      </c>
      <c r="B15" s="26">
        <v>36582</v>
      </c>
      <c r="C15" s="104"/>
      <c r="D15" s="19">
        <v>1</v>
      </c>
      <c r="E15" s="19">
        <v>0</v>
      </c>
      <c r="F15" s="19">
        <v>4</v>
      </c>
      <c r="G15" s="19">
        <v>4</v>
      </c>
      <c r="H15" s="19">
        <v>1</v>
      </c>
      <c r="I15" s="19">
        <v>5</v>
      </c>
      <c r="J15" s="13">
        <v>3</v>
      </c>
      <c r="K15" s="186">
        <v>29488857.5</v>
      </c>
      <c r="L15" s="170" t="s">
        <v>23</v>
      </c>
      <c r="M15" s="34"/>
      <c r="N15" s="18">
        <v>6219149.5999999996</v>
      </c>
      <c r="O15" s="30">
        <v>17</v>
      </c>
      <c r="P15" s="30">
        <v>109</v>
      </c>
      <c r="Q15" s="30">
        <v>1158</v>
      </c>
      <c r="R15" s="30">
        <v>11622</v>
      </c>
      <c r="S15" s="30">
        <v>115897</v>
      </c>
      <c r="T15" s="30">
        <v>1145475</v>
      </c>
      <c r="V15" s="31"/>
      <c r="Y15" s="4"/>
    </row>
    <row r="16" spans="1:25" x14ac:dyDescent="0.15">
      <c r="A16" s="32">
        <v>9</v>
      </c>
      <c r="B16" s="26">
        <v>36589</v>
      </c>
      <c r="C16" s="104"/>
      <c r="D16" s="19">
        <v>4</v>
      </c>
      <c r="E16" s="19">
        <v>4</v>
      </c>
      <c r="F16" s="19">
        <v>2</v>
      </c>
      <c r="G16" s="19">
        <v>0</v>
      </c>
      <c r="H16" s="19">
        <v>1</v>
      </c>
      <c r="I16" s="19">
        <v>0</v>
      </c>
      <c r="J16" s="13">
        <v>0</v>
      </c>
      <c r="K16" s="186">
        <v>30791937.5</v>
      </c>
      <c r="L16" s="170" t="s">
        <v>23</v>
      </c>
      <c r="M16" s="34"/>
      <c r="N16" s="18">
        <v>8408456.4000000004</v>
      </c>
      <c r="O16" s="30">
        <v>6</v>
      </c>
      <c r="P16" s="30">
        <v>90</v>
      </c>
      <c r="Q16" s="30">
        <v>939</v>
      </c>
      <c r="R16" s="30">
        <v>9675</v>
      </c>
      <c r="S16" s="30">
        <v>98112</v>
      </c>
      <c r="T16" s="30">
        <v>908222</v>
      </c>
      <c r="V16" s="31"/>
      <c r="Y16" s="4"/>
    </row>
    <row r="17" spans="1:25" x14ac:dyDescent="0.15">
      <c r="A17" s="32">
        <v>10</v>
      </c>
      <c r="B17" s="26">
        <v>36596</v>
      </c>
      <c r="C17" s="104"/>
      <c r="D17" s="19">
        <v>3</v>
      </c>
      <c r="E17" s="19">
        <v>6</v>
      </c>
      <c r="F17" s="19">
        <v>1</v>
      </c>
      <c r="G17" s="19">
        <v>0</v>
      </c>
      <c r="H17" s="19">
        <v>3</v>
      </c>
      <c r="I17" s="19">
        <v>7</v>
      </c>
      <c r="J17" s="13">
        <v>1</v>
      </c>
      <c r="K17" s="186">
        <v>32682540</v>
      </c>
      <c r="L17" s="170" t="s">
        <v>23</v>
      </c>
      <c r="M17" s="34"/>
      <c r="N17" s="18">
        <v>10732185</v>
      </c>
      <c r="O17" s="30">
        <v>6</v>
      </c>
      <c r="P17" s="30">
        <v>95</v>
      </c>
      <c r="Q17" s="30">
        <v>975</v>
      </c>
      <c r="R17" s="30">
        <v>10400</v>
      </c>
      <c r="S17" s="30">
        <v>102085</v>
      </c>
      <c r="T17" s="30">
        <v>1033653</v>
      </c>
      <c r="V17" s="31"/>
      <c r="Y17" s="4"/>
    </row>
    <row r="18" spans="1:25" x14ac:dyDescent="0.15">
      <c r="A18" s="32">
        <v>11</v>
      </c>
      <c r="B18" s="26">
        <v>36603</v>
      </c>
      <c r="C18" s="104"/>
      <c r="D18" s="19">
        <v>6</v>
      </c>
      <c r="E18" s="19">
        <v>6</v>
      </c>
      <c r="F18" s="19">
        <v>9</v>
      </c>
      <c r="G18" s="19">
        <v>4</v>
      </c>
      <c r="H18" s="19">
        <v>7</v>
      </c>
      <c r="I18" s="19">
        <v>3</v>
      </c>
      <c r="J18" s="13">
        <v>1</v>
      </c>
      <c r="K18" s="186">
        <v>32279105</v>
      </c>
      <c r="L18" s="170">
        <v>1</v>
      </c>
      <c r="M18" s="34">
        <v>12977777</v>
      </c>
      <c r="N18" s="18">
        <v>49452.4</v>
      </c>
      <c r="O18" s="30">
        <v>7</v>
      </c>
      <c r="P18" s="30">
        <v>91</v>
      </c>
      <c r="Q18" s="30">
        <v>1049</v>
      </c>
      <c r="R18" s="30">
        <v>10271</v>
      </c>
      <c r="S18" s="30">
        <v>102146</v>
      </c>
      <c r="T18" s="30">
        <v>1013480</v>
      </c>
      <c r="V18" s="31"/>
      <c r="Y18" s="4"/>
    </row>
    <row r="19" spans="1:25" x14ac:dyDescent="0.15">
      <c r="A19" s="32">
        <v>12</v>
      </c>
      <c r="B19" s="26">
        <v>36610</v>
      </c>
      <c r="C19" s="104"/>
      <c r="D19" s="19">
        <v>8</v>
      </c>
      <c r="E19" s="19">
        <v>8</v>
      </c>
      <c r="F19" s="19">
        <v>3</v>
      </c>
      <c r="G19" s="19">
        <v>5</v>
      </c>
      <c r="H19" s="19">
        <v>6</v>
      </c>
      <c r="I19" s="19">
        <v>8</v>
      </c>
      <c r="J19" s="13">
        <v>6</v>
      </c>
      <c r="K19" s="186">
        <v>28796347.5</v>
      </c>
      <c r="L19" s="170">
        <v>2</v>
      </c>
      <c r="M19" s="34">
        <v>977777</v>
      </c>
      <c r="N19" s="18">
        <v>141318.70000000001</v>
      </c>
      <c r="O19" s="30">
        <v>11</v>
      </c>
      <c r="P19" s="30">
        <v>100</v>
      </c>
      <c r="Q19" s="30">
        <v>1145</v>
      </c>
      <c r="R19" s="30">
        <v>10517</v>
      </c>
      <c r="S19" s="30">
        <v>103832</v>
      </c>
      <c r="T19" s="30">
        <v>1056646</v>
      </c>
      <c r="V19" s="31"/>
      <c r="Y19" s="4"/>
    </row>
    <row r="20" spans="1:25" x14ac:dyDescent="0.15">
      <c r="A20" s="32">
        <v>13</v>
      </c>
      <c r="B20" s="26">
        <v>36617</v>
      </c>
      <c r="C20" s="104"/>
      <c r="D20" s="19">
        <v>6</v>
      </c>
      <c r="E20" s="19">
        <v>4</v>
      </c>
      <c r="F20" s="19">
        <v>9</v>
      </c>
      <c r="G20" s="19">
        <v>5</v>
      </c>
      <c r="H20" s="19">
        <v>4</v>
      </c>
      <c r="I20" s="19">
        <v>1</v>
      </c>
      <c r="J20" s="13">
        <v>5</v>
      </c>
      <c r="K20" s="186">
        <v>28963775</v>
      </c>
      <c r="L20" s="170" t="s">
        <v>23</v>
      </c>
      <c r="M20" s="18"/>
      <c r="N20" s="18">
        <v>2200643.1</v>
      </c>
      <c r="O20" s="30">
        <v>16</v>
      </c>
      <c r="P20" s="30">
        <v>106</v>
      </c>
      <c r="Q20" s="30">
        <v>1119</v>
      </c>
      <c r="R20" s="30">
        <v>10703</v>
      </c>
      <c r="S20" s="30">
        <v>106170</v>
      </c>
      <c r="T20" s="30">
        <v>1101351</v>
      </c>
      <c r="V20" s="31"/>
      <c r="Y20" s="4"/>
    </row>
    <row r="21" spans="1:25" x14ac:dyDescent="0.15">
      <c r="A21" s="32">
        <v>14</v>
      </c>
      <c r="B21" s="26">
        <v>36624</v>
      </c>
      <c r="C21" s="104"/>
      <c r="D21" s="19">
        <v>3</v>
      </c>
      <c r="E21" s="19">
        <v>5</v>
      </c>
      <c r="F21" s="19">
        <v>9</v>
      </c>
      <c r="G21" s="19">
        <v>3</v>
      </c>
      <c r="H21" s="19">
        <v>5</v>
      </c>
      <c r="I21" s="19">
        <v>2</v>
      </c>
      <c r="J21" s="13">
        <v>3</v>
      </c>
      <c r="K21" s="186">
        <v>29873260</v>
      </c>
      <c r="L21" s="170">
        <v>2</v>
      </c>
      <c r="M21" s="34">
        <v>2077777</v>
      </c>
      <c r="N21" s="18">
        <v>169077.9</v>
      </c>
      <c r="O21" s="30">
        <v>11</v>
      </c>
      <c r="P21" s="30">
        <v>105</v>
      </c>
      <c r="Q21" s="30">
        <v>1154</v>
      </c>
      <c r="R21" s="30">
        <v>11569</v>
      </c>
      <c r="S21" s="30">
        <v>115886</v>
      </c>
      <c r="T21" s="30">
        <v>1157919</v>
      </c>
      <c r="V21" s="31"/>
      <c r="Y21" s="4"/>
    </row>
    <row r="22" spans="1:25" x14ac:dyDescent="0.15">
      <c r="A22" s="32">
        <v>15</v>
      </c>
      <c r="B22" s="26">
        <v>36631</v>
      </c>
      <c r="C22" s="104"/>
      <c r="D22" s="19">
        <v>1</v>
      </c>
      <c r="E22" s="19">
        <v>1</v>
      </c>
      <c r="F22" s="19">
        <v>6</v>
      </c>
      <c r="G22" s="19">
        <v>6</v>
      </c>
      <c r="H22" s="19">
        <v>2</v>
      </c>
      <c r="I22" s="19">
        <v>4</v>
      </c>
      <c r="J22" s="13">
        <v>3</v>
      </c>
      <c r="K22" s="186">
        <v>28413710</v>
      </c>
      <c r="L22" s="170">
        <v>5</v>
      </c>
      <c r="M22" s="18">
        <v>377777</v>
      </c>
      <c r="N22" s="18">
        <v>300407.7</v>
      </c>
      <c r="O22" s="30">
        <v>13</v>
      </c>
      <c r="P22" s="30">
        <v>132</v>
      </c>
      <c r="Q22" s="30">
        <v>1169</v>
      </c>
      <c r="R22" s="30">
        <v>11157</v>
      </c>
      <c r="S22" s="30">
        <v>109527</v>
      </c>
      <c r="T22" s="30">
        <v>1101594</v>
      </c>
      <c r="V22" s="31"/>
      <c r="Y22" s="4"/>
    </row>
    <row r="23" spans="1:25" x14ac:dyDescent="0.15">
      <c r="A23" s="32">
        <v>16</v>
      </c>
      <c r="B23" s="26">
        <v>36638</v>
      </c>
      <c r="C23" s="104"/>
      <c r="D23" s="19">
        <v>6</v>
      </c>
      <c r="E23" s="19">
        <v>0</v>
      </c>
      <c r="F23" s="19">
        <v>0</v>
      </c>
      <c r="G23" s="19">
        <v>4</v>
      </c>
      <c r="H23" s="19">
        <v>5</v>
      </c>
      <c r="I23" s="19">
        <v>6</v>
      </c>
      <c r="J23" s="13">
        <v>0</v>
      </c>
      <c r="K23" s="186">
        <v>27784092.5</v>
      </c>
      <c r="L23" s="170">
        <v>2</v>
      </c>
      <c r="M23" s="34">
        <v>1077777</v>
      </c>
      <c r="N23" s="18">
        <v>120302.7</v>
      </c>
      <c r="O23" s="30">
        <v>12</v>
      </c>
      <c r="P23" s="30">
        <v>89</v>
      </c>
      <c r="Q23" s="30">
        <v>812</v>
      </c>
      <c r="R23" s="30">
        <v>8298</v>
      </c>
      <c r="S23" s="30">
        <v>81481</v>
      </c>
      <c r="T23" s="30">
        <v>815774</v>
      </c>
      <c r="V23" s="31"/>
      <c r="Y23" s="4"/>
    </row>
    <row r="24" spans="1:25" x14ac:dyDescent="0.15">
      <c r="A24" s="32">
        <v>17</v>
      </c>
      <c r="B24" s="26">
        <v>36645</v>
      </c>
      <c r="C24" s="104"/>
      <c r="D24" s="19">
        <v>7</v>
      </c>
      <c r="E24" s="19">
        <v>2</v>
      </c>
      <c r="F24" s="19">
        <v>4</v>
      </c>
      <c r="G24" s="19">
        <v>5</v>
      </c>
      <c r="H24" s="19">
        <v>4</v>
      </c>
      <c r="I24" s="19">
        <v>3</v>
      </c>
      <c r="J24" s="13">
        <v>9</v>
      </c>
      <c r="K24" s="186">
        <v>27650617.5</v>
      </c>
      <c r="L24" s="170">
        <v>1</v>
      </c>
      <c r="M24" s="18">
        <v>2077777</v>
      </c>
      <c r="N24" s="18">
        <v>8484.6</v>
      </c>
      <c r="O24" s="30">
        <v>12</v>
      </c>
      <c r="P24" s="30">
        <v>123</v>
      </c>
      <c r="Q24" s="30">
        <v>1099</v>
      </c>
      <c r="R24" s="30">
        <v>10680</v>
      </c>
      <c r="S24" s="30">
        <v>106589</v>
      </c>
      <c r="T24" s="30">
        <v>1048701</v>
      </c>
      <c r="V24" s="31"/>
      <c r="Y24" s="4"/>
    </row>
    <row r="25" spans="1:25" x14ac:dyDescent="0.15">
      <c r="A25" s="32">
        <v>18</v>
      </c>
      <c r="B25" s="26">
        <v>36652</v>
      </c>
      <c r="C25" s="104"/>
      <c r="D25" s="19">
        <v>1</v>
      </c>
      <c r="E25" s="19">
        <v>7</v>
      </c>
      <c r="F25" s="19">
        <v>7</v>
      </c>
      <c r="G25" s="19">
        <v>7</v>
      </c>
      <c r="H25" s="19">
        <v>1</v>
      </c>
      <c r="I25" s="19">
        <v>6</v>
      </c>
      <c r="J25" s="13">
        <v>5</v>
      </c>
      <c r="K25" s="186">
        <v>28439245</v>
      </c>
      <c r="L25" s="170" t="s">
        <v>23</v>
      </c>
      <c r="M25" s="34"/>
      <c r="N25" s="18">
        <v>2030514.9</v>
      </c>
      <c r="O25" s="30">
        <v>13</v>
      </c>
      <c r="P25" s="30">
        <v>109</v>
      </c>
      <c r="Q25" s="30">
        <v>1055</v>
      </c>
      <c r="R25" s="30">
        <v>10676</v>
      </c>
      <c r="S25" s="30">
        <v>109444</v>
      </c>
      <c r="T25" s="30">
        <v>1072020</v>
      </c>
      <c r="V25" s="31"/>
      <c r="Y25" s="4"/>
    </row>
    <row r="26" spans="1:25" x14ac:dyDescent="0.15">
      <c r="A26" s="32">
        <v>19</v>
      </c>
      <c r="B26" s="26">
        <v>36659</v>
      </c>
      <c r="C26" s="104"/>
      <c r="D26" s="19">
        <v>9</v>
      </c>
      <c r="E26" s="19">
        <v>4</v>
      </c>
      <c r="F26" s="19">
        <v>6</v>
      </c>
      <c r="G26" s="19">
        <v>7</v>
      </c>
      <c r="H26" s="19">
        <v>4</v>
      </c>
      <c r="I26" s="19">
        <v>4</v>
      </c>
      <c r="J26" s="13">
        <v>0</v>
      </c>
      <c r="K26" s="186">
        <v>27308602.5</v>
      </c>
      <c r="L26" s="170" t="s">
        <v>23</v>
      </c>
      <c r="M26" s="34"/>
      <c r="N26" s="18">
        <v>3972156.5</v>
      </c>
      <c r="O26" s="30">
        <v>5</v>
      </c>
      <c r="P26" s="30">
        <v>90</v>
      </c>
      <c r="Q26" s="30">
        <v>806</v>
      </c>
      <c r="R26" s="30">
        <v>8032</v>
      </c>
      <c r="S26" s="30">
        <v>80197</v>
      </c>
      <c r="T26" s="30">
        <v>806394</v>
      </c>
      <c r="V26" s="31"/>
      <c r="Y26" s="4"/>
    </row>
    <row r="27" spans="1:25" x14ac:dyDescent="0.15">
      <c r="A27" s="32">
        <v>20</v>
      </c>
      <c r="B27" s="26">
        <v>36666</v>
      </c>
      <c r="C27" s="104"/>
      <c r="D27" s="19">
        <v>4</v>
      </c>
      <c r="E27" s="19">
        <v>4</v>
      </c>
      <c r="F27" s="19">
        <v>3</v>
      </c>
      <c r="G27" s="19">
        <v>4</v>
      </c>
      <c r="H27" s="19">
        <v>9</v>
      </c>
      <c r="I27" s="19">
        <v>9</v>
      </c>
      <c r="J27" s="13">
        <v>2</v>
      </c>
      <c r="K27" s="186">
        <v>28146272.5</v>
      </c>
      <c r="L27" s="170">
        <v>1</v>
      </c>
      <c r="M27" s="34">
        <v>5877777</v>
      </c>
      <c r="N27" s="18">
        <v>95579.5</v>
      </c>
      <c r="O27" s="30">
        <v>12</v>
      </c>
      <c r="P27" s="30">
        <v>79</v>
      </c>
      <c r="Q27" s="30">
        <v>852</v>
      </c>
      <c r="R27" s="30">
        <v>8921</v>
      </c>
      <c r="S27" s="30">
        <v>92915</v>
      </c>
      <c r="T27" s="30">
        <v>937386</v>
      </c>
      <c r="V27" s="31"/>
      <c r="Y27" s="4"/>
    </row>
    <row r="28" spans="1:25" x14ac:dyDescent="0.15">
      <c r="A28" s="32">
        <v>21</v>
      </c>
      <c r="B28" s="26">
        <v>36673</v>
      </c>
      <c r="C28" s="104"/>
      <c r="D28" s="19">
        <v>8</v>
      </c>
      <c r="E28" s="19">
        <v>6</v>
      </c>
      <c r="F28" s="19">
        <v>7</v>
      </c>
      <c r="G28" s="19">
        <v>9</v>
      </c>
      <c r="H28" s="19">
        <v>2</v>
      </c>
      <c r="I28" s="19">
        <v>8</v>
      </c>
      <c r="J28" s="13">
        <v>2</v>
      </c>
      <c r="K28" s="186">
        <v>28098262.5</v>
      </c>
      <c r="L28" s="170" t="s">
        <v>23</v>
      </c>
      <c r="M28" s="34"/>
      <c r="N28" s="18">
        <v>2093366</v>
      </c>
      <c r="O28" s="30">
        <v>16</v>
      </c>
      <c r="P28" s="30">
        <v>88</v>
      </c>
      <c r="Q28" s="30">
        <v>886</v>
      </c>
      <c r="R28" s="30">
        <v>9145</v>
      </c>
      <c r="S28" s="30">
        <v>92413</v>
      </c>
      <c r="T28" s="30">
        <v>930545</v>
      </c>
      <c r="V28" s="31"/>
      <c r="Y28" s="4"/>
    </row>
    <row r="29" spans="1:25" x14ac:dyDescent="0.15">
      <c r="A29" s="32">
        <v>22</v>
      </c>
      <c r="B29" s="26">
        <v>36680</v>
      </c>
      <c r="C29" s="104"/>
      <c r="D29" s="19">
        <v>1</v>
      </c>
      <c r="E29" s="19">
        <v>0</v>
      </c>
      <c r="F29" s="19">
        <v>2</v>
      </c>
      <c r="G29" s="19">
        <v>5</v>
      </c>
      <c r="H29" s="19">
        <v>1</v>
      </c>
      <c r="I29" s="19">
        <v>0</v>
      </c>
      <c r="J29" s="13">
        <v>4</v>
      </c>
      <c r="K29" s="186">
        <v>29096480</v>
      </c>
      <c r="L29" s="170" t="s">
        <v>23</v>
      </c>
      <c r="M29" s="18"/>
      <c r="N29" s="18">
        <v>4162125.7</v>
      </c>
      <c r="O29" s="30">
        <v>13</v>
      </c>
      <c r="P29" s="30">
        <v>95</v>
      </c>
      <c r="Q29" s="30">
        <v>868</v>
      </c>
      <c r="R29" s="30">
        <v>9087</v>
      </c>
      <c r="S29" s="30">
        <v>89431</v>
      </c>
      <c r="T29" s="30">
        <v>994998</v>
      </c>
      <c r="V29" s="31"/>
      <c r="Y29" s="4"/>
    </row>
    <row r="30" spans="1:25" x14ac:dyDescent="0.15">
      <c r="A30" s="32">
        <v>23</v>
      </c>
      <c r="B30" s="26">
        <v>36687</v>
      </c>
      <c r="C30" s="104"/>
      <c r="D30" s="19">
        <v>4</v>
      </c>
      <c r="E30" s="19">
        <v>9</v>
      </c>
      <c r="F30" s="19">
        <v>6</v>
      </c>
      <c r="G30" s="19">
        <v>8</v>
      </c>
      <c r="H30" s="19">
        <v>5</v>
      </c>
      <c r="I30" s="19">
        <v>6</v>
      </c>
      <c r="J30" s="13">
        <v>8</v>
      </c>
      <c r="K30" s="186">
        <v>27294777.5</v>
      </c>
      <c r="L30" s="170">
        <v>3</v>
      </c>
      <c r="M30" s="18">
        <v>1977777</v>
      </c>
      <c r="N30" s="18">
        <v>169453.4</v>
      </c>
      <c r="O30" s="30">
        <v>13</v>
      </c>
      <c r="P30" s="30">
        <v>122</v>
      </c>
      <c r="Q30" s="30">
        <v>1161</v>
      </c>
      <c r="R30" s="30">
        <v>11431</v>
      </c>
      <c r="S30" s="30">
        <v>115451</v>
      </c>
      <c r="T30" s="30">
        <v>1109744</v>
      </c>
      <c r="V30" s="31"/>
      <c r="Y30" s="4"/>
    </row>
    <row r="31" spans="1:25" x14ac:dyDescent="0.15">
      <c r="A31" s="32">
        <v>24</v>
      </c>
      <c r="B31" s="26">
        <v>36694</v>
      </c>
      <c r="C31" s="104"/>
      <c r="D31" s="19">
        <v>8</v>
      </c>
      <c r="E31" s="19">
        <v>6</v>
      </c>
      <c r="F31" s="19">
        <v>4</v>
      </c>
      <c r="G31" s="19">
        <v>8</v>
      </c>
      <c r="H31" s="19">
        <v>2</v>
      </c>
      <c r="I31" s="19">
        <v>6</v>
      </c>
      <c r="J31" s="13">
        <v>0</v>
      </c>
      <c r="K31" s="186">
        <v>26721405</v>
      </c>
      <c r="L31" s="170" t="s">
        <v>23</v>
      </c>
      <c r="M31" s="34"/>
      <c r="N31" s="18">
        <v>2069345.3</v>
      </c>
      <c r="O31" s="30">
        <v>7</v>
      </c>
      <c r="P31" s="30">
        <v>83</v>
      </c>
      <c r="Q31" s="30">
        <v>832</v>
      </c>
      <c r="R31" s="30">
        <v>7975</v>
      </c>
      <c r="S31" s="30">
        <v>79502</v>
      </c>
      <c r="T31" s="30">
        <v>789447</v>
      </c>
      <c r="V31" s="31"/>
      <c r="Y31" s="4"/>
    </row>
    <row r="32" spans="1:25" x14ac:dyDescent="0.15">
      <c r="A32" s="32">
        <v>25</v>
      </c>
      <c r="B32" s="26">
        <v>36701</v>
      </c>
      <c r="C32" s="104"/>
      <c r="D32" s="19">
        <v>9</v>
      </c>
      <c r="E32" s="19">
        <v>2</v>
      </c>
      <c r="F32" s="19">
        <v>7</v>
      </c>
      <c r="G32" s="19">
        <v>9</v>
      </c>
      <c r="H32" s="19">
        <v>8</v>
      </c>
      <c r="I32" s="19">
        <v>1</v>
      </c>
      <c r="J32" s="13">
        <v>0</v>
      </c>
      <c r="K32" s="186">
        <v>26290925</v>
      </c>
      <c r="L32" s="170">
        <v>1</v>
      </c>
      <c r="M32" s="18">
        <v>3877777</v>
      </c>
      <c r="N32" s="18">
        <v>60853.1</v>
      </c>
      <c r="O32" s="30">
        <v>12</v>
      </c>
      <c r="P32" s="30">
        <v>77</v>
      </c>
      <c r="Q32" s="30">
        <v>750</v>
      </c>
      <c r="R32" s="30">
        <v>7589</v>
      </c>
      <c r="S32" s="30">
        <v>76113</v>
      </c>
      <c r="T32" s="30">
        <v>780099</v>
      </c>
      <c r="V32" s="31"/>
      <c r="Y32" s="4"/>
    </row>
    <row r="33" spans="1:25" x14ac:dyDescent="0.15">
      <c r="A33" s="32">
        <v>26</v>
      </c>
      <c r="B33" s="26">
        <v>36708</v>
      </c>
      <c r="C33" s="104"/>
      <c r="D33" s="19">
        <v>4</v>
      </c>
      <c r="E33" s="19">
        <v>9</v>
      </c>
      <c r="F33" s="19">
        <v>6</v>
      </c>
      <c r="G33" s="19">
        <v>9</v>
      </c>
      <c r="H33" s="19">
        <v>6</v>
      </c>
      <c r="I33" s="19">
        <v>7</v>
      </c>
      <c r="J33" s="13">
        <v>8</v>
      </c>
      <c r="K33" s="186">
        <v>27057570</v>
      </c>
      <c r="L33" s="170">
        <v>1</v>
      </c>
      <c r="M33" s="34">
        <v>1977777</v>
      </c>
      <c r="N33" s="18">
        <v>6869.3</v>
      </c>
      <c r="O33" s="30">
        <v>12</v>
      </c>
      <c r="P33" s="30">
        <v>121</v>
      </c>
      <c r="Q33" s="30">
        <v>1065</v>
      </c>
      <c r="R33" s="30">
        <v>11255</v>
      </c>
      <c r="S33" s="30">
        <v>110863</v>
      </c>
      <c r="T33" s="30">
        <v>1115269</v>
      </c>
      <c r="V33" s="31"/>
      <c r="Y33" s="4"/>
    </row>
    <row r="34" spans="1:25" x14ac:dyDescent="0.15">
      <c r="A34" s="32">
        <v>27</v>
      </c>
      <c r="B34" s="26">
        <v>36715</v>
      </c>
      <c r="C34" s="104"/>
      <c r="D34" s="19">
        <v>2</v>
      </c>
      <c r="E34" s="19">
        <v>4</v>
      </c>
      <c r="F34" s="19">
        <v>9</v>
      </c>
      <c r="G34" s="19">
        <v>8</v>
      </c>
      <c r="H34" s="19">
        <v>5</v>
      </c>
      <c r="I34" s="19">
        <v>1</v>
      </c>
      <c r="J34" s="13">
        <v>3</v>
      </c>
      <c r="K34" s="186">
        <v>27116650</v>
      </c>
      <c r="L34" s="170">
        <v>1</v>
      </c>
      <c r="M34" s="18">
        <v>1877777</v>
      </c>
      <c r="N34" s="18">
        <v>57086.1</v>
      </c>
      <c r="O34" s="30">
        <v>9</v>
      </c>
      <c r="P34" s="30">
        <v>100</v>
      </c>
      <c r="Q34" s="30">
        <v>1192</v>
      </c>
      <c r="R34" s="30">
        <v>12125</v>
      </c>
      <c r="S34" s="30">
        <v>119609</v>
      </c>
      <c r="T34" s="30">
        <v>1026026</v>
      </c>
      <c r="V34" s="31"/>
      <c r="Y34" s="4"/>
    </row>
    <row r="35" spans="1:25" x14ac:dyDescent="0.15">
      <c r="A35" s="32">
        <v>28</v>
      </c>
      <c r="B35" s="26">
        <v>36722</v>
      </c>
      <c r="C35" s="104"/>
      <c r="D35" s="19">
        <v>3</v>
      </c>
      <c r="E35" s="19">
        <v>5</v>
      </c>
      <c r="F35" s="19">
        <v>7</v>
      </c>
      <c r="G35" s="19">
        <v>1</v>
      </c>
      <c r="H35" s="19">
        <v>1</v>
      </c>
      <c r="I35" s="19">
        <v>8</v>
      </c>
      <c r="J35" s="13">
        <v>1</v>
      </c>
      <c r="K35" s="186">
        <v>27053295</v>
      </c>
      <c r="L35" s="170">
        <v>2</v>
      </c>
      <c r="M35" s="18">
        <v>977777</v>
      </c>
      <c r="N35" s="18">
        <v>25021.4</v>
      </c>
      <c r="O35" s="30">
        <v>10</v>
      </c>
      <c r="P35" s="30">
        <v>90</v>
      </c>
      <c r="Q35" s="30">
        <v>863</v>
      </c>
      <c r="R35" s="30">
        <v>8114</v>
      </c>
      <c r="S35" s="30">
        <v>82696</v>
      </c>
      <c r="T35" s="30">
        <v>842225</v>
      </c>
      <c r="V35" s="31"/>
      <c r="Y35" s="4"/>
    </row>
    <row r="36" spans="1:25" x14ac:dyDescent="0.15">
      <c r="A36" s="32">
        <v>29</v>
      </c>
      <c r="B36" s="26">
        <v>36729</v>
      </c>
      <c r="C36" s="104"/>
      <c r="D36" s="19">
        <v>5</v>
      </c>
      <c r="E36" s="19">
        <v>9</v>
      </c>
      <c r="F36" s="19">
        <v>4</v>
      </c>
      <c r="G36" s="19">
        <v>9</v>
      </c>
      <c r="H36" s="19">
        <v>3</v>
      </c>
      <c r="I36" s="19">
        <v>8</v>
      </c>
      <c r="J36" s="13">
        <v>4</v>
      </c>
      <c r="K36" s="186">
        <v>26517575</v>
      </c>
      <c r="L36" s="170">
        <v>1</v>
      </c>
      <c r="M36" s="18">
        <v>1877777</v>
      </c>
      <c r="N36" s="18">
        <v>32644</v>
      </c>
      <c r="O36" s="30">
        <v>7</v>
      </c>
      <c r="P36" s="30">
        <v>88</v>
      </c>
      <c r="Q36" s="30">
        <v>863</v>
      </c>
      <c r="R36" s="30">
        <v>8956</v>
      </c>
      <c r="S36" s="30">
        <v>88834</v>
      </c>
      <c r="T36" s="30">
        <v>884963</v>
      </c>
      <c r="V36" s="31"/>
      <c r="Y36" s="4"/>
    </row>
    <row r="37" spans="1:25" x14ac:dyDescent="0.15">
      <c r="A37" s="32">
        <v>30</v>
      </c>
      <c r="B37" s="26">
        <v>36736</v>
      </c>
      <c r="C37" s="104"/>
      <c r="D37" s="19">
        <v>4</v>
      </c>
      <c r="E37" s="19">
        <v>0</v>
      </c>
      <c r="F37" s="19">
        <v>5</v>
      </c>
      <c r="G37" s="19">
        <v>6</v>
      </c>
      <c r="H37" s="19">
        <v>0</v>
      </c>
      <c r="I37" s="19">
        <v>9</v>
      </c>
      <c r="J37" s="13">
        <v>4</v>
      </c>
      <c r="K37" s="186">
        <v>26788665</v>
      </c>
      <c r="L37" s="170">
        <v>2</v>
      </c>
      <c r="M37" s="18">
        <v>877777</v>
      </c>
      <c r="N37" s="18">
        <v>181764.1</v>
      </c>
      <c r="O37" s="30">
        <v>9</v>
      </c>
      <c r="P37" s="30">
        <v>92</v>
      </c>
      <c r="Q37" s="30">
        <v>826</v>
      </c>
      <c r="R37" s="30">
        <v>8300</v>
      </c>
      <c r="S37" s="30">
        <v>87069</v>
      </c>
      <c r="T37" s="30">
        <v>895911</v>
      </c>
      <c r="V37" s="31"/>
      <c r="Y37" s="4"/>
    </row>
    <row r="38" spans="1:25" x14ac:dyDescent="0.15">
      <c r="A38" s="32">
        <v>31</v>
      </c>
      <c r="B38" s="26">
        <v>36743</v>
      </c>
      <c r="C38" s="104"/>
      <c r="D38" s="19">
        <v>5</v>
      </c>
      <c r="E38" s="19">
        <v>1</v>
      </c>
      <c r="F38" s="19">
        <v>2</v>
      </c>
      <c r="G38" s="19">
        <v>2</v>
      </c>
      <c r="H38" s="19">
        <v>7</v>
      </c>
      <c r="I38" s="19">
        <v>0</v>
      </c>
      <c r="J38" s="13">
        <v>5</v>
      </c>
      <c r="K38" s="186">
        <v>27802300</v>
      </c>
      <c r="L38" s="170">
        <v>1</v>
      </c>
      <c r="M38" s="34">
        <v>2077777</v>
      </c>
      <c r="N38" s="18">
        <v>80730.600000000006</v>
      </c>
      <c r="O38" s="30">
        <v>7</v>
      </c>
      <c r="P38" s="30">
        <v>82</v>
      </c>
      <c r="Q38" s="30">
        <v>938</v>
      </c>
      <c r="R38" s="30">
        <v>9254</v>
      </c>
      <c r="S38" s="30">
        <v>92023</v>
      </c>
      <c r="T38" s="30">
        <v>1058520</v>
      </c>
      <c r="V38" s="31"/>
      <c r="Y38" s="4"/>
    </row>
    <row r="39" spans="1:25" x14ac:dyDescent="0.15">
      <c r="A39" s="32">
        <v>32</v>
      </c>
      <c r="B39" s="26">
        <v>36750</v>
      </c>
      <c r="C39" s="104"/>
      <c r="D39" s="19">
        <v>0</v>
      </c>
      <c r="E39" s="19">
        <v>9</v>
      </c>
      <c r="F39" s="19">
        <v>2</v>
      </c>
      <c r="G39" s="19">
        <v>8</v>
      </c>
      <c r="H39" s="19">
        <v>4</v>
      </c>
      <c r="I39" s="19">
        <v>4</v>
      </c>
      <c r="J39" s="13">
        <v>4</v>
      </c>
      <c r="K39" s="186">
        <v>30070522.5</v>
      </c>
      <c r="L39" s="170">
        <v>1</v>
      </c>
      <c r="M39" s="34">
        <v>2177777</v>
      </c>
      <c r="N39" s="18">
        <v>40967.699999999997</v>
      </c>
      <c r="O39" s="30">
        <v>6</v>
      </c>
      <c r="P39" s="30">
        <v>109</v>
      </c>
      <c r="Q39" s="30">
        <v>1113</v>
      </c>
      <c r="R39" s="30">
        <v>11430</v>
      </c>
      <c r="S39" s="30">
        <v>104340</v>
      </c>
      <c r="T39" s="30">
        <v>1017418</v>
      </c>
      <c r="V39" s="31"/>
      <c r="Y39" s="4"/>
    </row>
    <row r="40" spans="1:25" x14ac:dyDescent="0.15">
      <c r="A40" s="32">
        <v>33</v>
      </c>
      <c r="B40" s="26">
        <v>36757</v>
      </c>
      <c r="C40" s="104"/>
      <c r="D40" s="19">
        <v>4</v>
      </c>
      <c r="E40" s="19">
        <v>2</v>
      </c>
      <c r="F40" s="19">
        <v>6</v>
      </c>
      <c r="G40" s="19">
        <v>5</v>
      </c>
      <c r="H40" s="19">
        <v>2</v>
      </c>
      <c r="I40" s="19">
        <v>7</v>
      </c>
      <c r="J40" s="13">
        <v>8</v>
      </c>
      <c r="K40" s="186">
        <v>26994292.5</v>
      </c>
      <c r="L40" s="170">
        <v>1</v>
      </c>
      <c r="M40" s="18">
        <v>1877777</v>
      </c>
      <c r="N40" s="18">
        <v>82484.899999999994</v>
      </c>
      <c r="O40" s="30">
        <v>10</v>
      </c>
      <c r="P40" s="30">
        <v>126</v>
      </c>
      <c r="Q40" s="30">
        <v>1092</v>
      </c>
      <c r="R40" s="30">
        <v>11695</v>
      </c>
      <c r="S40" s="30">
        <v>113464</v>
      </c>
      <c r="T40" s="30">
        <v>1131812</v>
      </c>
      <c r="V40" s="31"/>
      <c r="Y40" s="4"/>
    </row>
    <row r="41" spans="1:25" x14ac:dyDescent="0.15">
      <c r="A41" s="32">
        <v>34</v>
      </c>
      <c r="B41" s="26">
        <v>36764</v>
      </c>
      <c r="C41" s="104"/>
      <c r="D41" s="19">
        <v>8</v>
      </c>
      <c r="E41" s="19">
        <v>5</v>
      </c>
      <c r="F41" s="19">
        <v>2</v>
      </c>
      <c r="G41" s="19">
        <v>8</v>
      </c>
      <c r="H41" s="19">
        <v>2</v>
      </c>
      <c r="I41" s="19">
        <v>0</v>
      </c>
      <c r="J41" s="13">
        <v>6</v>
      </c>
      <c r="K41" s="186">
        <v>27220990</v>
      </c>
      <c r="L41" s="170" t="s">
        <v>23</v>
      </c>
      <c r="M41" s="18"/>
      <c r="N41" s="18">
        <v>2017897.3</v>
      </c>
      <c r="O41" s="30">
        <v>6</v>
      </c>
      <c r="P41" s="30">
        <v>78</v>
      </c>
      <c r="Q41" s="30">
        <v>879</v>
      </c>
      <c r="R41" s="30">
        <v>8960</v>
      </c>
      <c r="S41" s="30">
        <v>89548</v>
      </c>
      <c r="T41" s="30">
        <v>1019458</v>
      </c>
      <c r="V41" s="31"/>
      <c r="Y41" s="4"/>
    </row>
    <row r="42" spans="1:25" x14ac:dyDescent="0.15">
      <c r="A42" s="32">
        <v>35</v>
      </c>
      <c r="B42" s="26">
        <v>36771</v>
      </c>
      <c r="C42" s="104"/>
      <c r="D42" s="19">
        <v>0</v>
      </c>
      <c r="E42" s="19">
        <v>5</v>
      </c>
      <c r="F42" s="19">
        <v>4</v>
      </c>
      <c r="G42" s="19">
        <v>3</v>
      </c>
      <c r="H42" s="19">
        <v>1</v>
      </c>
      <c r="I42" s="19">
        <v>6</v>
      </c>
      <c r="J42" s="13">
        <v>9</v>
      </c>
      <c r="K42" s="186">
        <v>30414462.5</v>
      </c>
      <c r="L42" s="170">
        <v>1</v>
      </c>
      <c r="M42" s="18">
        <v>4177777</v>
      </c>
      <c r="N42" s="18">
        <v>2588.6</v>
      </c>
      <c r="O42" s="30">
        <v>9</v>
      </c>
      <c r="P42" s="30">
        <v>127</v>
      </c>
      <c r="Q42" s="30">
        <v>1128</v>
      </c>
      <c r="R42" s="30">
        <v>11732</v>
      </c>
      <c r="S42" s="30">
        <v>115030</v>
      </c>
      <c r="T42" s="30">
        <v>1136076</v>
      </c>
      <c r="V42" s="31"/>
      <c r="Y42" s="4"/>
    </row>
    <row r="43" spans="1:25" x14ac:dyDescent="0.15">
      <c r="A43" s="32">
        <v>36</v>
      </c>
      <c r="B43" s="26">
        <v>36778</v>
      </c>
      <c r="C43" s="104"/>
      <c r="D43" s="19">
        <v>6</v>
      </c>
      <c r="E43" s="19">
        <v>8</v>
      </c>
      <c r="F43" s="19">
        <v>6</v>
      </c>
      <c r="G43" s="19">
        <v>0</v>
      </c>
      <c r="H43" s="19">
        <v>2</v>
      </c>
      <c r="I43" s="19">
        <v>2</v>
      </c>
      <c r="J43" s="13">
        <v>3</v>
      </c>
      <c r="K43" s="186">
        <v>27924980</v>
      </c>
      <c r="L43" s="170">
        <v>1</v>
      </c>
      <c r="M43" s="18">
        <v>1977777</v>
      </c>
      <c r="N43" s="18">
        <v>10277.700000000001</v>
      </c>
      <c r="O43" s="30">
        <v>17</v>
      </c>
      <c r="P43" s="30">
        <v>105</v>
      </c>
      <c r="Q43" s="30">
        <v>1012</v>
      </c>
      <c r="R43" s="30">
        <v>10345</v>
      </c>
      <c r="S43" s="30">
        <v>108968</v>
      </c>
      <c r="T43" s="30">
        <v>1073381</v>
      </c>
      <c r="V43" s="31"/>
      <c r="Y43" s="4"/>
    </row>
    <row r="44" spans="1:25" x14ac:dyDescent="0.15">
      <c r="A44" s="32">
        <v>37</v>
      </c>
      <c r="B44" s="26">
        <v>36785</v>
      </c>
      <c r="C44" s="104"/>
      <c r="D44" s="19">
        <v>2</v>
      </c>
      <c r="E44" s="19">
        <v>7</v>
      </c>
      <c r="F44" s="19">
        <v>2</v>
      </c>
      <c r="G44" s="19">
        <v>0</v>
      </c>
      <c r="H44" s="19">
        <v>5</v>
      </c>
      <c r="I44" s="19">
        <v>5</v>
      </c>
      <c r="J44" s="13">
        <v>4</v>
      </c>
      <c r="K44" s="186">
        <v>28614940</v>
      </c>
      <c r="L44" s="170">
        <v>1</v>
      </c>
      <c r="M44" s="34">
        <v>1977777</v>
      </c>
      <c r="N44" s="18">
        <v>67022.899999999994</v>
      </c>
      <c r="O44" s="30">
        <v>7</v>
      </c>
      <c r="P44" s="30">
        <v>81</v>
      </c>
      <c r="Q44" s="30">
        <v>962</v>
      </c>
      <c r="R44" s="30">
        <v>9785</v>
      </c>
      <c r="S44" s="30">
        <v>100201</v>
      </c>
      <c r="T44" s="30">
        <v>971088</v>
      </c>
      <c r="V44" s="31"/>
      <c r="Y44" s="4"/>
    </row>
    <row r="45" spans="1:25" x14ac:dyDescent="0.15">
      <c r="A45" s="32">
        <v>38</v>
      </c>
      <c r="B45" s="26">
        <v>36792</v>
      </c>
      <c r="C45" s="104"/>
      <c r="D45" s="19">
        <v>3</v>
      </c>
      <c r="E45" s="19">
        <v>7</v>
      </c>
      <c r="F45" s="19">
        <v>7</v>
      </c>
      <c r="G45" s="19">
        <v>4</v>
      </c>
      <c r="H45" s="19">
        <v>5</v>
      </c>
      <c r="I45" s="19">
        <v>0</v>
      </c>
      <c r="J45" s="13">
        <v>9</v>
      </c>
      <c r="K45" s="186">
        <v>29865895</v>
      </c>
      <c r="L45" s="170">
        <v>1</v>
      </c>
      <c r="M45" s="34">
        <v>2177777</v>
      </c>
      <c r="N45" s="18">
        <v>12711</v>
      </c>
      <c r="O45" s="30">
        <v>9</v>
      </c>
      <c r="P45" s="30">
        <v>97</v>
      </c>
      <c r="Q45" s="30">
        <v>995</v>
      </c>
      <c r="R45" s="30">
        <v>10132</v>
      </c>
      <c r="S45" s="30">
        <v>100231</v>
      </c>
      <c r="T45" s="30">
        <v>1125197</v>
      </c>
      <c r="V45" s="31"/>
      <c r="Y45" s="4"/>
    </row>
    <row r="46" spans="1:25" x14ac:dyDescent="0.15">
      <c r="A46" s="32">
        <v>39</v>
      </c>
      <c r="B46" s="26">
        <v>36799</v>
      </c>
      <c r="C46" s="104"/>
      <c r="D46" s="19">
        <v>2</v>
      </c>
      <c r="E46" s="19">
        <v>1</v>
      </c>
      <c r="F46" s="19">
        <v>1</v>
      </c>
      <c r="G46" s="19">
        <v>2</v>
      </c>
      <c r="H46" s="19">
        <v>4</v>
      </c>
      <c r="I46" s="19">
        <v>6</v>
      </c>
      <c r="J46" s="13">
        <v>7</v>
      </c>
      <c r="K46" s="186">
        <v>27444817.5</v>
      </c>
      <c r="L46" s="170">
        <v>2</v>
      </c>
      <c r="M46" s="34">
        <v>977777</v>
      </c>
      <c r="N46" s="18">
        <v>8483.5</v>
      </c>
      <c r="O46" s="30">
        <v>12</v>
      </c>
      <c r="P46" s="30">
        <v>98</v>
      </c>
      <c r="Q46" s="30">
        <v>1017</v>
      </c>
      <c r="R46" s="30">
        <v>10573</v>
      </c>
      <c r="S46" s="30">
        <v>105288</v>
      </c>
      <c r="T46" s="30">
        <v>1075050</v>
      </c>
      <c r="V46" s="31"/>
      <c r="Y46" s="4"/>
    </row>
    <row r="47" spans="1:25" x14ac:dyDescent="0.15">
      <c r="A47" s="32">
        <v>40</v>
      </c>
      <c r="B47" s="26">
        <v>36806</v>
      </c>
      <c r="C47" s="104"/>
      <c r="D47" s="19">
        <v>8</v>
      </c>
      <c r="E47" s="19">
        <v>1</v>
      </c>
      <c r="F47" s="19">
        <v>2</v>
      </c>
      <c r="G47" s="19">
        <v>6</v>
      </c>
      <c r="H47" s="19">
        <v>1</v>
      </c>
      <c r="I47" s="19">
        <v>3</v>
      </c>
      <c r="J47" s="13">
        <v>9</v>
      </c>
      <c r="K47" s="186">
        <v>26897057.5</v>
      </c>
      <c r="L47" s="170" t="s">
        <v>23</v>
      </c>
      <c r="M47" s="18"/>
      <c r="N47" s="18">
        <v>1920864.3</v>
      </c>
      <c r="O47" s="30">
        <v>12</v>
      </c>
      <c r="P47" s="30">
        <v>94</v>
      </c>
      <c r="Q47" s="30">
        <v>1057</v>
      </c>
      <c r="R47" s="30">
        <v>10415</v>
      </c>
      <c r="S47" s="30">
        <v>103421</v>
      </c>
      <c r="T47" s="30">
        <v>1008994</v>
      </c>
      <c r="V47" s="31"/>
      <c r="Y47" s="4"/>
    </row>
    <row r="48" spans="1:25" x14ac:dyDescent="0.15">
      <c r="A48" s="32">
        <v>41</v>
      </c>
      <c r="B48" s="26">
        <v>36813</v>
      </c>
      <c r="C48" s="104"/>
      <c r="D48" s="19">
        <v>9</v>
      </c>
      <c r="E48" s="19">
        <v>7</v>
      </c>
      <c r="F48" s="19">
        <v>6</v>
      </c>
      <c r="G48" s="19">
        <v>1</v>
      </c>
      <c r="H48" s="19">
        <v>8</v>
      </c>
      <c r="I48" s="19">
        <v>1</v>
      </c>
      <c r="J48" s="13">
        <v>0</v>
      </c>
      <c r="K48" s="186">
        <v>28462010</v>
      </c>
      <c r="L48" s="170" t="s">
        <v>23</v>
      </c>
      <c r="M48" s="34"/>
      <c r="N48" s="18">
        <v>3944513.2</v>
      </c>
      <c r="O48" s="30">
        <v>8</v>
      </c>
      <c r="P48" s="30">
        <v>62</v>
      </c>
      <c r="Q48" s="30">
        <v>851</v>
      </c>
      <c r="R48" s="30">
        <v>8547</v>
      </c>
      <c r="S48" s="30">
        <v>84499</v>
      </c>
      <c r="T48" s="30">
        <v>850979</v>
      </c>
      <c r="V48" s="31"/>
      <c r="Y48" s="4"/>
    </row>
    <row r="49" spans="1:25" x14ac:dyDescent="0.15">
      <c r="A49" s="32">
        <v>42</v>
      </c>
      <c r="B49" s="26">
        <v>36820</v>
      </c>
      <c r="C49" s="104"/>
      <c r="D49" s="19">
        <v>3</v>
      </c>
      <c r="E49" s="19">
        <v>6</v>
      </c>
      <c r="F49" s="19">
        <v>4</v>
      </c>
      <c r="G49" s="19">
        <v>2</v>
      </c>
      <c r="H49" s="19">
        <v>9</v>
      </c>
      <c r="I49" s="19">
        <v>7</v>
      </c>
      <c r="J49" s="13">
        <v>8</v>
      </c>
      <c r="K49" s="186">
        <v>27205570</v>
      </c>
      <c r="L49" s="170">
        <v>1</v>
      </c>
      <c r="M49" s="18">
        <v>5877777</v>
      </c>
      <c r="N49" s="18">
        <v>1052.2</v>
      </c>
      <c r="O49" s="30">
        <v>13</v>
      </c>
      <c r="P49" s="30">
        <v>105</v>
      </c>
      <c r="Q49" s="30">
        <v>1142</v>
      </c>
      <c r="R49" s="30">
        <v>11408</v>
      </c>
      <c r="S49" s="30">
        <v>115530</v>
      </c>
      <c r="T49" s="30">
        <v>1136639</v>
      </c>
      <c r="V49" s="31"/>
      <c r="Y49" s="4"/>
    </row>
    <row r="50" spans="1:25" x14ac:dyDescent="0.15">
      <c r="A50" s="32">
        <v>43</v>
      </c>
      <c r="B50" s="26">
        <v>36827</v>
      </c>
      <c r="C50" s="104"/>
      <c r="D50" s="19">
        <v>8</v>
      </c>
      <c r="E50" s="19">
        <v>1</v>
      </c>
      <c r="F50" s="19">
        <v>7</v>
      </c>
      <c r="G50" s="19">
        <v>2</v>
      </c>
      <c r="H50" s="19">
        <v>3</v>
      </c>
      <c r="I50" s="19">
        <v>9</v>
      </c>
      <c r="J50" s="13">
        <v>0</v>
      </c>
      <c r="K50" s="186">
        <v>26953315</v>
      </c>
      <c r="L50" s="170" t="s">
        <v>23</v>
      </c>
      <c r="M50" s="34"/>
      <c r="N50" s="18">
        <v>1917432.9</v>
      </c>
      <c r="O50" s="30">
        <v>6</v>
      </c>
      <c r="P50" s="30">
        <v>75</v>
      </c>
      <c r="Q50" s="30">
        <v>748</v>
      </c>
      <c r="R50" s="30">
        <v>7743</v>
      </c>
      <c r="S50" s="30">
        <v>77435</v>
      </c>
      <c r="T50" s="30">
        <v>805147</v>
      </c>
      <c r="V50" s="31"/>
    </row>
    <row r="51" spans="1:25" x14ac:dyDescent="0.15">
      <c r="A51" s="32">
        <v>44</v>
      </c>
      <c r="B51" s="26">
        <v>36834</v>
      </c>
      <c r="C51" s="104"/>
      <c r="D51" s="19">
        <v>7</v>
      </c>
      <c r="E51" s="19">
        <v>2</v>
      </c>
      <c r="F51" s="19">
        <v>7</v>
      </c>
      <c r="G51" s="19">
        <v>1</v>
      </c>
      <c r="H51" s="19">
        <v>7</v>
      </c>
      <c r="I51" s="19">
        <v>5</v>
      </c>
      <c r="J51" s="13">
        <v>5</v>
      </c>
      <c r="K51" s="186">
        <v>28857695</v>
      </c>
      <c r="L51" s="170">
        <v>3</v>
      </c>
      <c r="M51" s="18">
        <v>1277777</v>
      </c>
      <c r="N51" s="18">
        <v>135884</v>
      </c>
      <c r="O51" s="30">
        <v>17</v>
      </c>
      <c r="P51" s="30">
        <v>99</v>
      </c>
      <c r="Q51" s="30">
        <v>1045</v>
      </c>
      <c r="R51" s="30">
        <v>10935</v>
      </c>
      <c r="S51" s="30">
        <v>112655</v>
      </c>
      <c r="T51" s="30">
        <v>1073688</v>
      </c>
      <c r="V51" s="31"/>
    </row>
    <row r="52" spans="1:25" x14ac:dyDescent="0.15">
      <c r="A52" s="32">
        <v>45</v>
      </c>
      <c r="B52" s="26">
        <v>36841</v>
      </c>
      <c r="C52" s="104"/>
      <c r="D52" s="19">
        <v>7</v>
      </c>
      <c r="E52" s="19">
        <v>8</v>
      </c>
      <c r="F52" s="19">
        <v>1</v>
      </c>
      <c r="G52" s="19">
        <v>4</v>
      </c>
      <c r="H52" s="19">
        <v>1</v>
      </c>
      <c r="I52" s="19">
        <v>4</v>
      </c>
      <c r="J52" s="13">
        <v>9</v>
      </c>
      <c r="K52" s="186">
        <v>28711980</v>
      </c>
      <c r="L52" s="170">
        <v>1</v>
      </c>
      <c r="M52" s="18">
        <v>2077777</v>
      </c>
      <c r="N52" s="18">
        <v>99528.8</v>
      </c>
      <c r="O52" s="30">
        <v>5</v>
      </c>
      <c r="P52" s="30">
        <v>113</v>
      </c>
      <c r="Q52" s="30">
        <v>1122</v>
      </c>
      <c r="R52" s="30">
        <v>11173</v>
      </c>
      <c r="S52" s="30">
        <v>112405</v>
      </c>
      <c r="T52" s="30">
        <v>1089738</v>
      </c>
      <c r="V52" s="31"/>
    </row>
    <row r="53" spans="1:25" x14ac:dyDescent="0.15">
      <c r="A53" s="32">
        <v>46</v>
      </c>
      <c r="B53" s="26">
        <v>36848</v>
      </c>
      <c r="C53" s="104"/>
      <c r="D53" s="19">
        <v>9</v>
      </c>
      <c r="E53" s="19">
        <v>5</v>
      </c>
      <c r="F53" s="19">
        <v>4</v>
      </c>
      <c r="G53" s="19">
        <v>3</v>
      </c>
      <c r="H53" s="19">
        <v>1</v>
      </c>
      <c r="I53" s="19">
        <v>4</v>
      </c>
      <c r="J53" s="13">
        <v>7</v>
      </c>
      <c r="K53" s="186">
        <v>27289807.5</v>
      </c>
      <c r="L53" s="170">
        <v>1</v>
      </c>
      <c r="M53" s="18">
        <v>1977777</v>
      </c>
      <c r="N53" s="18">
        <v>62057.1</v>
      </c>
      <c r="O53" s="30">
        <v>12</v>
      </c>
      <c r="P53" s="30">
        <v>104</v>
      </c>
      <c r="Q53" s="30">
        <v>1105</v>
      </c>
      <c r="R53" s="30">
        <v>10771</v>
      </c>
      <c r="S53" s="30">
        <v>108743</v>
      </c>
      <c r="T53" s="30">
        <v>1065529</v>
      </c>
      <c r="V53" s="31"/>
    </row>
    <row r="54" spans="1:25" x14ac:dyDescent="0.15">
      <c r="A54" s="32">
        <v>47</v>
      </c>
      <c r="B54" s="26">
        <v>36855</v>
      </c>
      <c r="C54" s="104"/>
      <c r="D54" s="19">
        <v>8</v>
      </c>
      <c r="E54" s="19">
        <v>3</v>
      </c>
      <c r="F54" s="19">
        <v>9</v>
      </c>
      <c r="G54" s="19">
        <v>4</v>
      </c>
      <c r="H54" s="19">
        <v>6</v>
      </c>
      <c r="I54" s="19">
        <v>3</v>
      </c>
      <c r="J54" s="13">
        <v>6</v>
      </c>
      <c r="K54" s="186">
        <v>27165907.5</v>
      </c>
      <c r="L54" s="170">
        <v>1</v>
      </c>
      <c r="M54" s="18">
        <v>1977777</v>
      </c>
      <c r="N54" s="18">
        <v>15776.1</v>
      </c>
      <c r="O54" s="30">
        <v>12</v>
      </c>
      <c r="P54" s="30">
        <v>110</v>
      </c>
      <c r="Q54" s="30">
        <v>1022</v>
      </c>
      <c r="R54" s="30">
        <v>10303</v>
      </c>
      <c r="S54" s="30">
        <v>102160</v>
      </c>
      <c r="T54" s="30">
        <v>995965</v>
      </c>
      <c r="V54" s="31"/>
    </row>
    <row r="55" spans="1:25" x14ac:dyDescent="0.15">
      <c r="A55" s="32">
        <v>48</v>
      </c>
      <c r="B55" s="26">
        <v>36862</v>
      </c>
      <c r="C55" s="79"/>
      <c r="D55" s="19">
        <v>2</v>
      </c>
      <c r="E55" s="19">
        <v>7</v>
      </c>
      <c r="F55" s="19">
        <v>9</v>
      </c>
      <c r="G55" s="19">
        <v>8</v>
      </c>
      <c r="H55" s="19">
        <v>0</v>
      </c>
      <c r="I55" s="19">
        <v>7</v>
      </c>
      <c r="J55" s="13">
        <v>0</v>
      </c>
      <c r="K55" s="187">
        <v>28954822.5</v>
      </c>
      <c r="L55" s="41" t="s">
        <v>23</v>
      </c>
      <c r="M55" s="43"/>
      <c r="N55" s="43">
        <v>2074464</v>
      </c>
      <c r="O55" s="44">
        <v>4</v>
      </c>
      <c r="P55" s="44">
        <v>80</v>
      </c>
      <c r="Q55" s="44">
        <v>865</v>
      </c>
      <c r="R55" s="44">
        <v>8370</v>
      </c>
      <c r="S55" s="44">
        <v>85351</v>
      </c>
      <c r="T55" s="171">
        <v>868940</v>
      </c>
      <c r="U55" s="90"/>
      <c r="V55" s="91"/>
    </row>
    <row r="56" spans="1:25" x14ac:dyDescent="0.15">
      <c r="A56" s="172">
        <v>49</v>
      </c>
      <c r="B56" s="173">
        <v>36866</v>
      </c>
      <c r="C56" s="174" t="s">
        <v>362</v>
      </c>
      <c r="D56" s="175">
        <v>3</v>
      </c>
      <c r="E56" s="176">
        <v>7</v>
      </c>
      <c r="F56" s="176">
        <v>7</v>
      </c>
      <c r="G56" s="176">
        <v>1</v>
      </c>
      <c r="H56" s="176">
        <v>0</v>
      </c>
      <c r="I56" s="177">
        <v>8</v>
      </c>
      <c r="J56" s="177">
        <v>2</v>
      </c>
      <c r="K56" s="186">
        <v>7236227.5</v>
      </c>
      <c r="L56" s="170">
        <v>1</v>
      </c>
      <c r="M56" s="18">
        <v>6377777</v>
      </c>
      <c r="N56" s="18">
        <v>48998.9</v>
      </c>
      <c r="O56" s="30">
        <v>2</v>
      </c>
      <c r="P56" s="30">
        <v>17</v>
      </c>
      <c r="Q56" s="30">
        <v>237</v>
      </c>
      <c r="R56" s="30">
        <v>2285</v>
      </c>
      <c r="S56" s="30">
        <v>23348</v>
      </c>
      <c r="T56" s="30">
        <v>236400</v>
      </c>
      <c r="V56" s="91"/>
    </row>
    <row r="57" spans="1:25" x14ac:dyDescent="0.15">
      <c r="A57" s="178"/>
      <c r="B57" s="179">
        <v>36869</v>
      </c>
      <c r="C57" s="180" t="s">
        <v>363</v>
      </c>
      <c r="D57" s="181">
        <v>3</v>
      </c>
      <c r="E57" s="182">
        <v>3</v>
      </c>
      <c r="F57" s="182">
        <v>6</v>
      </c>
      <c r="G57" s="182">
        <v>9</v>
      </c>
      <c r="H57" s="182">
        <v>3</v>
      </c>
      <c r="I57" s="183">
        <v>9</v>
      </c>
      <c r="J57" s="183">
        <v>2</v>
      </c>
      <c r="K57" s="187">
        <v>30749097.5</v>
      </c>
      <c r="L57" s="41">
        <v>2</v>
      </c>
      <c r="M57" s="43">
        <v>1077777</v>
      </c>
      <c r="N57" s="43">
        <v>79705.7</v>
      </c>
      <c r="O57" s="44">
        <v>9</v>
      </c>
      <c r="P57" s="44">
        <v>107</v>
      </c>
      <c r="Q57" s="44">
        <v>1020</v>
      </c>
      <c r="R57" s="44">
        <v>10170</v>
      </c>
      <c r="S57" s="44">
        <v>101615</v>
      </c>
      <c r="T57" s="171">
        <v>1023652</v>
      </c>
      <c r="V57" s="91"/>
    </row>
    <row r="58" spans="1:25" x14ac:dyDescent="0.15">
      <c r="A58" s="172">
        <v>50</v>
      </c>
      <c r="B58" s="173">
        <v>36873</v>
      </c>
      <c r="C58" s="174" t="s">
        <v>362</v>
      </c>
      <c r="D58" s="175">
        <v>3</v>
      </c>
      <c r="E58" s="176">
        <v>5</v>
      </c>
      <c r="F58" s="176">
        <v>7</v>
      </c>
      <c r="G58" s="176">
        <v>6</v>
      </c>
      <c r="H58" s="176">
        <v>8</v>
      </c>
      <c r="I58" s="177">
        <v>5</v>
      </c>
      <c r="J58" s="177">
        <v>6</v>
      </c>
      <c r="K58" s="186">
        <v>6688667.5</v>
      </c>
      <c r="L58" s="170">
        <v>2</v>
      </c>
      <c r="M58" s="18">
        <v>377777</v>
      </c>
      <c r="N58" s="18">
        <v>0</v>
      </c>
      <c r="O58" s="30">
        <v>4</v>
      </c>
      <c r="P58" s="30">
        <v>28</v>
      </c>
      <c r="Q58" s="30">
        <v>262</v>
      </c>
      <c r="R58" s="30">
        <v>2519</v>
      </c>
      <c r="S58" s="30">
        <v>24550</v>
      </c>
      <c r="T58" s="30">
        <v>242956</v>
      </c>
      <c r="V58" s="91"/>
    </row>
    <row r="59" spans="1:25" x14ac:dyDescent="0.15">
      <c r="A59" s="178"/>
      <c r="B59" s="179">
        <v>36876</v>
      </c>
      <c r="C59" s="180" t="s">
        <v>363</v>
      </c>
      <c r="D59" s="181">
        <v>8</v>
      </c>
      <c r="E59" s="182">
        <v>1</v>
      </c>
      <c r="F59" s="182">
        <v>3</v>
      </c>
      <c r="G59" s="182">
        <v>7</v>
      </c>
      <c r="H59" s="182">
        <v>8</v>
      </c>
      <c r="I59" s="183">
        <v>1</v>
      </c>
      <c r="J59" s="183">
        <v>8</v>
      </c>
      <c r="K59" s="187">
        <v>28178302.5</v>
      </c>
      <c r="L59" s="41" t="s">
        <v>23</v>
      </c>
      <c r="M59" s="43"/>
      <c r="N59" s="43">
        <v>2003477.3</v>
      </c>
      <c r="O59" s="44">
        <v>12</v>
      </c>
      <c r="P59" s="44">
        <v>132</v>
      </c>
      <c r="Q59" s="44">
        <v>1185</v>
      </c>
      <c r="R59" s="44">
        <v>11659</v>
      </c>
      <c r="S59" s="44">
        <v>115113</v>
      </c>
      <c r="T59" s="171">
        <v>1185790</v>
      </c>
      <c r="V59" s="91"/>
    </row>
    <row r="60" spans="1:25" x14ac:dyDescent="0.15">
      <c r="A60" s="172">
        <v>51</v>
      </c>
      <c r="B60" s="173">
        <v>36880</v>
      </c>
      <c r="C60" s="174" t="s">
        <v>362</v>
      </c>
      <c r="D60" s="175">
        <v>6</v>
      </c>
      <c r="E60" s="176">
        <v>7</v>
      </c>
      <c r="F60" s="176">
        <v>7</v>
      </c>
      <c r="G60" s="176">
        <v>8</v>
      </c>
      <c r="H60" s="176">
        <v>8</v>
      </c>
      <c r="I60" s="177">
        <v>1</v>
      </c>
      <c r="J60" s="177">
        <v>6</v>
      </c>
      <c r="K60" s="186">
        <v>7023910</v>
      </c>
      <c r="L60" s="170" t="s">
        <v>23</v>
      </c>
      <c r="M60" s="18"/>
      <c r="N60" s="18">
        <v>2502877.2999999998</v>
      </c>
      <c r="O60" s="30">
        <v>5</v>
      </c>
      <c r="P60" s="30">
        <v>27</v>
      </c>
      <c r="Q60" s="30">
        <v>246</v>
      </c>
      <c r="R60" s="30">
        <v>2448</v>
      </c>
      <c r="S60" s="30">
        <v>24675</v>
      </c>
      <c r="T60" s="30">
        <v>255222</v>
      </c>
      <c r="V60" s="91"/>
    </row>
    <row r="61" spans="1:25" x14ac:dyDescent="0.15">
      <c r="A61" s="178"/>
      <c r="B61" s="179">
        <v>36883</v>
      </c>
      <c r="C61" s="180" t="s">
        <v>363</v>
      </c>
      <c r="D61" s="181">
        <v>2</v>
      </c>
      <c r="E61" s="182">
        <v>6</v>
      </c>
      <c r="F61" s="182">
        <v>4</v>
      </c>
      <c r="G61" s="182">
        <v>0</v>
      </c>
      <c r="H61" s="182">
        <v>2</v>
      </c>
      <c r="I61" s="183">
        <v>5</v>
      </c>
      <c r="J61" s="183">
        <v>3</v>
      </c>
      <c r="K61" s="187">
        <v>30713615</v>
      </c>
      <c r="L61" s="41">
        <v>3</v>
      </c>
      <c r="M61" s="43">
        <v>1477777</v>
      </c>
      <c r="N61" s="43">
        <v>253284.3</v>
      </c>
      <c r="O61" s="44">
        <v>7</v>
      </c>
      <c r="P61" s="44">
        <v>124</v>
      </c>
      <c r="Q61" s="44">
        <v>1180</v>
      </c>
      <c r="R61" s="44">
        <v>11906</v>
      </c>
      <c r="S61" s="44">
        <v>117508</v>
      </c>
      <c r="T61" s="171">
        <v>1155899</v>
      </c>
      <c r="V61" s="91"/>
    </row>
    <row r="62" spans="1:25" x14ac:dyDescent="0.15">
      <c r="A62" s="172">
        <v>52</v>
      </c>
      <c r="B62" s="173">
        <v>36887</v>
      </c>
      <c r="C62" s="174" t="s">
        <v>362</v>
      </c>
      <c r="D62" s="175">
        <v>7</v>
      </c>
      <c r="E62" s="176">
        <v>5</v>
      </c>
      <c r="F62" s="176">
        <v>7</v>
      </c>
      <c r="G62" s="176">
        <v>4</v>
      </c>
      <c r="H62" s="176">
        <v>4</v>
      </c>
      <c r="I62" s="177">
        <v>0</v>
      </c>
      <c r="J62" s="177">
        <v>5</v>
      </c>
      <c r="K62" s="186">
        <v>6405827.5</v>
      </c>
      <c r="L62" s="170">
        <v>1</v>
      </c>
      <c r="M62" s="34">
        <v>677777</v>
      </c>
      <c r="N62" s="18">
        <v>30961.599999999999</v>
      </c>
      <c r="O62" s="30">
        <v>2</v>
      </c>
      <c r="P62" s="30">
        <v>29</v>
      </c>
      <c r="Q62" s="30">
        <v>215</v>
      </c>
      <c r="R62" s="30">
        <v>2169</v>
      </c>
      <c r="S62" s="30">
        <v>22184</v>
      </c>
      <c r="T62" s="30">
        <v>252078</v>
      </c>
      <c r="V62" s="91"/>
    </row>
    <row r="63" spans="1:25" x14ac:dyDescent="0.15">
      <c r="A63" s="178"/>
      <c r="B63" s="179">
        <v>36890</v>
      </c>
      <c r="C63" s="180" t="s">
        <v>363</v>
      </c>
      <c r="D63" s="181">
        <v>8</v>
      </c>
      <c r="E63" s="182">
        <v>1</v>
      </c>
      <c r="F63" s="182">
        <v>4</v>
      </c>
      <c r="G63" s="182">
        <v>4</v>
      </c>
      <c r="H63" s="182">
        <v>0</v>
      </c>
      <c r="I63" s="183">
        <v>8</v>
      </c>
      <c r="J63" s="183">
        <v>6</v>
      </c>
      <c r="K63" s="187">
        <v>29558077.5</v>
      </c>
      <c r="L63" s="41" t="s">
        <v>23</v>
      </c>
      <c r="M63" s="43"/>
      <c r="N63" s="43">
        <v>2132540.9</v>
      </c>
      <c r="O63" s="44">
        <v>12</v>
      </c>
      <c r="P63" s="44">
        <v>85</v>
      </c>
      <c r="Q63" s="44">
        <v>1079</v>
      </c>
      <c r="R63" s="44">
        <v>10465</v>
      </c>
      <c r="S63" s="44">
        <v>109634</v>
      </c>
      <c r="T63" s="171">
        <v>1094847</v>
      </c>
      <c r="V63" s="91"/>
    </row>
    <row r="64" spans="1:25" x14ac:dyDescent="0.15">
      <c r="A64" s="130"/>
      <c r="B64" s="97"/>
      <c r="C64" s="97"/>
      <c r="D64" s="97"/>
      <c r="E64" s="97"/>
      <c r="F64" s="97"/>
      <c r="G64" s="97"/>
      <c r="H64" s="97"/>
      <c r="I64" s="97" t="s">
        <v>24</v>
      </c>
      <c r="J64" s="97"/>
      <c r="K64" s="97"/>
      <c r="L64" s="259">
        <f>SUM(L8:L63)</f>
        <v>57</v>
      </c>
      <c r="M64" s="132"/>
      <c r="N64" s="133"/>
      <c r="O64" s="133">
        <f t="shared" ref="O64:T64" si="0">SUM(O8:O63)</f>
        <v>556</v>
      </c>
      <c r="P64" s="133">
        <f t="shared" si="0"/>
        <v>5318</v>
      </c>
      <c r="Q64" s="133">
        <f t="shared" si="0"/>
        <v>53926</v>
      </c>
      <c r="R64" s="133">
        <f t="shared" si="0"/>
        <v>540545</v>
      </c>
      <c r="S64" s="133">
        <f t="shared" si="0"/>
        <v>5405365</v>
      </c>
      <c r="T64" s="137">
        <f t="shared" si="0"/>
        <v>54317648</v>
      </c>
      <c r="V64" s="49"/>
    </row>
    <row r="65" spans="13:25" x14ac:dyDescent="0.15">
      <c r="Y65" s="5"/>
    </row>
    <row r="67" spans="13:25" x14ac:dyDescent="0.15">
      <c r="T67" s="184"/>
    </row>
    <row r="68" spans="13:25" x14ac:dyDescent="0.15">
      <c r="M68"/>
    </row>
    <row r="69" spans="13:25" x14ac:dyDescent="0.15">
      <c r="M69"/>
    </row>
    <row r="70" spans="13:25" x14ac:dyDescent="0.15">
      <c r="M70"/>
    </row>
    <row r="71" spans="13:25" x14ac:dyDescent="0.15">
      <c r="M71"/>
    </row>
    <row r="72" spans="13:25" x14ac:dyDescent="0.15">
      <c r="M72"/>
    </row>
    <row r="73" spans="13:25" x14ac:dyDescent="0.15">
      <c r="M73"/>
    </row>
    <row r="74" spans="13:25" x14ac:dyDescent="0.15">
      <c r="M74"/>
    </row>
    <row r="75" spans="13:25" x14ac:dyDescent="0.15">
      <c r="M75"/>
    </row>
    <row r="76" spans="13:25" x14ac:dyDescent="0.15">
      <c r="M76"/>
    </row>
    <row r="77" spans="13:25" x14ac:dyDescent="0.15">
      <c r="M77"/>
    </row>
    <row r="78" spans="13:25" x14ac:dyDescent="0.15">
      <c r="M78"/>
    </row>
    <row r="79" spans="13:25" x14ac:dyDescent="0.15">
      <c r="M79"/>
    </row>
    <row r="80" spans="13:25" x14ac:dyDescent="0.15">
      <c r="M80"/>
    </row>
    <row r="81" spans="13:13" x14ac:dyDescent="0.15">
      <c r="M81"/>
    </row>
    <row r="82" spans="13:13" x14ac:dyDescent="0.15">
      <c r="M82"/>
    </row>
    <row r="83" spans="13:13" x14ac:dyDescent="0.15">
      <c r="M83"/>
    </row>
    <row r="84" spans="13:13" x14ac:dyDescent="0.15">
      <c r="M84"/>
    </row>
    <row r="85" spans="13:13" x14ac:dyDescent="0.15">
      <c r="M85"/>
    </row>
    <row r="86" spans="13:13" x14ac:dyDescent="0.15">
      <c r="M86"/>
    </row>
    <row r="87" spans="13:13" x14ac:dyDescent="0.15">
      <c r="M87"/>
    </row>
    <row r="88" spans="13:13" x14ac:dyDescent="0.15">
      <c r="M88"/>
    </row>
    <row r="89" spans="13:13" x14ac:dyDescent="0.15">
      <c r="M89"/>
    </row>
    <row r="90" spans="13:13" x14ac:dyDescent="0.15">
      <c r="M90"/>
    </row>
    <row r="91" spans="13:13" x14ac:dyDescent="0.15">
      <c r="M91"/>
    </row>
    <row r="92" spans="13:13" x14ac:dyDescent="0.15">
      <c r="M92"/>
    </row>
    <row r="93" spans="13:13" x14ac:dyDescent="0.15">
      <c r="M93"/>
    </row>
    <row r="94" spans="13:13" x14ac:dyDescent="0.15">
      <c r="M94"/>
    </row>
    <row r="95" spans="13:13" x14ac:dyDescent="0.15">
      <c r="M95"/>
    </row>
    <row r="96" spans="13:13" x14ac:dyDescent="0.15">
      <c r="M96"/>
    </row>
    <row r="97" spans="13:13" x14ac:dyDescent="0.15">
      <c r="M97"/>
    </row>
    <row r="98" spans="13:13" x14ac:dyDescent="0.15">
      <c r="M98"/>
    </row>
    <row r="99" spans="13:13" x14ac:dyDescent="0.15">
      <c r="M99"/>
    </row>
    <row r="100" spans="13:13" x14ac:dyDescent="0.15">
      <c r="M100"/>
    </row>
    <row r="101" spans="13:13" x14ac:dyDescent="0.15">
      <c r="M101"/>
    </row>
    <row r="102" spans="13:13" x14ac:dyDescent="0.15">
      <c r="M102"/>
    </row>
    <row r="103" spans="13:13" x14ac:dyDescent="0.15">
      <c r="M103"/>
    </row>
    <row r="104" spans="13:13" x14ac:dyDescent="0.15">
      <c r="M104"/>
    </row>
    <row r="105" spans="13:13" x14ac:dyDescent="0.15">
      <c r="M105"/>
    </row>
    <row r="106" spans="13:13" x14ac:dyDescent="0.15">
      <c r="M106"/>
    </row>
    <row r="107" spans="13:13" x14ac:dyDescent="0.15">
      <c r="M107"/>
    </row>
    <row r="108" spans="13:13" x14ac:dyDescent="0.15">
      <c r="M108"/>
    </row>
    <row r="109" spans="13:13" x14ac:dyDescent="0.15">
      <c r="M109"/>
    </row>
    <row r="110" spans="13:13" x14ac:dyDescent="0.15">
      <c r="M110"/>
    </row>
    <row r="111" spans="13:13" x14ac:dyDescent="0.15">
      <c r="M111"/>
    </row>
    <row r="112" spans="13:13" x14ac:dyDescent="0.15">
      <c r="M112"/>
    </row>
    <row r="113" spans="13:13" x14ac:dyDescent="0.15">
      <c r="M113"/>
    </row>
    <row r="114" spans="13:13" x14ac:dyDescent="0.15">
      <c r="M114"/>
    </row>
    <row r="115" spans="13:13" x14ac:dyDescent="0.15">
      <c r="M115"/>
    </row>
    <row r="116" spans="13:13" x14ac:dyDescent="0.15">
      <c r="M116"/>
    </row>
    <row r="117" spans="13:13" x14ac:dyDescent="0.15">
      <c r="M117"/>
    </row>
    <row r="118" spans="13:13" x14ac:dyDescent="0.15">
      <c r="M118"/>
    </row>
    <row r="119" spans="13:13" x14ac:dyDescent="0.15">
      <c r="M119"/>
    </row>
    <row r="120" spans="13:13" x14ac:dyDescent="0.15">
      <c r="M120"/>
    </row>
    <row r="121" spans="13:13" x14ac:dyDescent="0.15">
      <c r="M121"/>
    </row>
    <row r="122" spans="13:13" x14ac:dyDescent="0.15">
      <c r="M122"/>
    </row>
    <row r="123" spans="13:13" x14ac:dyDescent="0.15">
      <c r="M123"/>
    </row>
    <row r="124" spans="13:13" x14ac:dyDescent="0.15">
      <c r="M124"/>
    </row>
    <row r="125" spans="13:13" x14ac:dyDescent="0.15">
      <c r="M125"/>
    </row>
    <row r="126" spans="13:13" x14ac:dyDescent="0.15">
      <c r="M126"/>
    </row>
    <row r="127" spans="13:13" x14ac:dyDescent="0.15">
      <c r="M127"/>
    </row>
    <row r="128" spans="13:13" x14ac:dyDescent="0.15">
      <c r="M128"/>
    </row>
  </sheetData>
  <phoneticPr fontId="0" type="noConversion"/>
  <printOptions horizontalCentered="1" verticalCentered="1"/>
  <pageMargins left="0" right="0" top="0.39370078740157483" bottom="0" header="0.51181102300000003" footer="0.51181102300000003"/>
  <pageSetup paperSize="9" scale="77" orientation="landscape" horizontalDpi="4294967292" verticalDpi="4294967292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123"/>
  <sheetViews>
    <sheetView workbookViewId="0">
      <pane ySplit="7" topLeftCell="A60" activePane="bottomLeft" state="frozen"/>
      <selection pane="bottomLef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3" width="20.33203125" customWidth="1"/>
    <col min="14" max="14" width="23.83203125" customWidth="1"/>
    <col min="15" max="20" width="15.83203125" customWidth="1"/>
  </cols>
  <sheetData>
    <row r="2" spans="1:20" ht="14.1" customHeight="1" x14ac:dyDescent="0.2">
      <c r="A2" s="1" t="s">
        <v>364</v>
      </c>
      <c r="T2" s="3" t="s">
        <v>427</v>
      </c>
    </row>
    <row r="3" spans="1:20" ht="11.1" customHeight="1" x14ac:dyDescent="0.15">
      <c r="A3" s="6" t="s">
        <v>2</v>
      </c>
    </row>
    <row r="4" spans="1:20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0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0" ht="11.1" customHeight="1" x14ac:dyDescent="0.15">
      <c r="A6" s="13" t="s">
        <v>428</v>
      </c>
      <c r="B6" s="14">
        <v>2001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50</v>
      </c>
      <c r="M6" s="18"/>
      <c r="N6" s="13" t="s">
        <v>14</v>
      </c>
      <c r="O6" s="20" t="s">
        <v>51</v>
      </c>
      <c r="P6" s="13" t="s">
        <v>52</v>
      </c>
      <c r="Q6" s="20" t="s">
        <v>53</v>
      </c>
      <c r="R6" s="13" t="s">
        <v>54</v>
      </c>
      <c r="S6" s="20" t="s">
        <v>55</v>
      </c>
      <c r="T6" s="13" t="s">
        <v>56</v>
      </c>
    </row>
    <row r="7" spans="1:20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14</v>
      </c>
      <c r="L7" s="221" t="s">
        <v>15</v>
      </c>
      <c r="M7" s="23" t="s">
        <v>14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0" x14ac:dyDescent="0.15">
      <c r="A8" s="172">
        <v>1</v>
      </c>
      <c r="B8" s="173">
        <v>36894</v>
      </c>
      <c r="C8" s="174" t="s">
        <v>362</v>
      </c>
      <c r="D8" s="27">
        <v>5</v>
      </c>
      <c r="E8" s="27">
        <v>5</v>
      </c>
      <c r="F8" s="27">
        <v>0</v>
      </c>
      <c r="G8" s="27">
        <v>1</v>
      </c>
      <c r="H8" s="27">
        <v>7</v>
      </c>
      <c r="I8" s="27">
        <v>9</v>
      </c>
      <c r="J8" s="7">
        <v>1</v>
      </c>
      <c r="K8" s="222">
        <v>6520480</v>
      </c>
      <c r="L8" s="223">
        <v>1</v>
      </c>
      <c r="M8" s="224">
        <v>2577777</v>
      </c>
      <c r="N8" s="225">
        <v>18370</v>
      </c>
      <c r="O8" s="226">
        <v>1</v>
      </c>
      <c r="P8" s="227">
        <v>20</v>
      </c>
      <c r="Q8" s="226">
        <v>204</v>
      </c>
      <c r="R8" s="227">
        <v>2072</v>
      </c>
      <c r="S8" s="226">
        <v>19855</v>
      </c>
      <c r="T8" s="227">
        <v>206853</v>
      </c>
    </row>
    <row r="9" spans="1:20" x14ac:dyDescent="0.15">
      <c r="A9" s="178"/>
      <c r="B9" s="179">
        <v>36897</v>
      </c>
      <c r="C9" s="180" t="s">
        <v>363</v>
      </c>
      <c r="D9" s="19">
        <v>8</v>
      </c>
      <c r="E9" s="19">
        <v>2</v>
      </c>
      <c r="F9" s="19">
        <v>5</v>
      </c>
      <c r="G9" s="19">
        <v>1</v>
      </c>
      <c r="H9" s="19">
        <v>3</v>
      </c>
      <c r="I9" s="19">
        <v>4</v>
      </c>
      <c r="J9" s="13">
        <v>4</v>
      </c>
      <c r="K9" s="229">
        <v>27074767.5</v>
      </c>
      <c r="L9" s="230">
        <v>2</v>
      </c>
      <c r="M9" s="229">
        <v>877777</v>
      </c>
      <c r="N9" s="231">
        <v>187832</v>
      </c>
      <c r="O9" s="232">
        <v>11</v>
      </c>
      <c r="P9" s="233">
        <v>92</v>
      </c>
      <c r="Q9" s="232">
        <v>953</v>
      </c>
      <c r="R9" s="233">
        <v>9307</v>
      </c>
      <c r="S9" s="232">
        <v>95121</v>
      </c>
      <c r="T9" s="233">
        <v>905230</v>
      </c>
    </row>
    <row r="10" spans="1:20" x14ac:dyDescent="0.15">
      <c r="A10" s="172">
        <v>2</v>
      </c>
      <c r="B10" s="173">
        <v>36901</v>
      </c>
      <c r="C10" s="174" t="s">
        <v>362</v>
      </c>
      <c r="D10" s="27">
        <v>0</v>
      </c>
      <c r="E10" s="27">
        <v>7</v>
      </c>
      <c r="F10" s="27">
        <v>7</v>
      </c>
      <c r="G10" s="27">
        <v>6</v>
      </c>
      <c r="H10" s="27">
        <v>7</v>
      </c>
      <c r="I10" s="27">
        <v>6</v>
      </c>
      <c r="J10" s="7">
        <v>5</v>
      </c>
      <c r="K10" s="222">
        <v>6697462.5</v>
      </c>
      <c r="L10" s="223">
        <v>2</v>
      </c>
      <c r="M10" s="224">
        <v>377777</v>
      </c>
      <c r="N10" s="225">
        <v>0</v>
      </c>
      <c r="O10" s="226">
        <v>4</v>
      </c>
      <c r="P10" s="227">
        <v>29</v>
      </c>
      <c r="Q10" s="226">
        <v>283</v>
      </c>
      <c r="R10" s="227">
        <v>2647</v>
      </c>
      <c r="S10" s="226">
        <v>27131</v>
      </c>
      <c r="T10" s="227">
        <v>260700</v>
      </c>
    </row>
    <row r="11" spans="1:20" x14ac:dyDescent="0.15">
      <c r="A11" s="178"/>
      <c r="B11" s="179">
        <v>36904</v>
      </c>
      <c r="C11" s="180" t="s">
        <v>363</v>
      </c>
      <c r="D11" s="19">
        <v>9</v>
      </c>
      <c r="E11" s="19">
        <v>3</v>
      </c>
      <c r="F11" s="19">
        <v>4</v>
      </c>
      <c r="G11" s="19">
        <v>6</v>
      </c>
      <c r="H11" s="19">
        <v>9</v>
      </c>
      <c r="I11" s="19">
        <v>7</v>
      </c>
      <c r="J11" s="13">
        <v>7</v>
      </c>
      <c r="K11" s="229">
        <v>28048817.5</v>
      </c>
      <c r="L11" s="230">
        <v>1</v>
      </c>
      <c r="M11" s="229">
        <v>1977777</v>
      </c>
      <c r="N11" s="231">
        <v>16493.900000000001</v>
      </c>
      <c r="O11" s="232">
        <v>10</v>
      </c>
      <c r="P11" s="233">
        <v>136</v>
      </c>
      <c r="Q11" s="232">
        <v>1186</v>
      </c>
      <c r="R11" s="233">
        <v>12176</v>
      </c>
      <c r="S11" s="232">
        <v>124681</v>
      </c>
      <c r="T11" s="233">
        <v>1093394</v>
      </c>
    </row>
    <row r="12" spans="1:20" x14ac:dyDescent="0.15">
      <c r="A12" s="172">
        <v>3</v>
      </c>
      <c r="B12" s="173">
        <v>36908</v>
      </c>
      <c r="C12" s="174" t="s">
        <v>362</v>
      </c>
      <c r="D12" s="27">
        <v>0</v>
      </c>
      <c r="E12" s="27">
        <v>6</v>
      </c>
      <c r="F12" s="27">
        <v>1</v>
      </c>
      <c r="G12" s="27">
        <v>7</v>
      </c>
      <c r="H12" s="27">
        <v>4</v>
      </c>
      <c r="I12" s="27">
        <v>0</v>
      </c>
      <c r="J12" s="7">
        <v>3</v>
      </c>
      <c r="K12" s="222">
        <v>6774400</v>
      </c>
      <c r="L12" s="223" t="s">
        <v>23</v>
      </c>
      <c r="M12" s="224"/>
      <c r="N12" s="225">
        <v>498153.7</v>
      </c>
      <c r="O12" s="226">
        <v>3</v>
      </c>
      <c r="P12" s="227">
        <v>20</v>
      </c>
      <c r="Q12" s="226">
        <v>219</v>
      </c>
      <c r="R12" s="227">
        <v>2244</v>
      </c>
      <c r="S12" s="226">
        <v>22153</v>
      </c>
      <c r="T12" s="227">
        <v>253417</v>
      </c>
    </row>
    <row r="13" spans="1:20" x14ac:dyDescent="0.15">
      <c r="A13" s="178"/>
      <c r="B13" s="179">
        <v>36911</v>
      </c>
      <c r="C13" s="180" t="s">
        <v>363</v>
      </c>
      <c r="D13" s="19">
        <v>4</v>
      </c>
      <c r="E13" s="19">
        <v>7</v>
      </c>
      <c r="F13" s="19">
        <v>3</v>
      </c>
      <c r="G13" s="19">
        <v>3</v>
      </c>
      <c r="H13" s="19">
        <v>5</v>
      </c>
      <c r="I13" s="19">
        <v>4</v>
      </c>
      <c r="J13" s="13">
        <v>9</v>
      </c>
      <c r="K13" s="229">
        <v>27694505</v>
      </c>
      <c r="L13" s="230">
        <v>1</v>
      </c>
      <c r="M13" s="229">
        <v>2377777</v>
      </c>
      <c r="N13" s="231">
        <v>89456</v>
      </c>
      <c r="O13" s="232">
        <v>12</v>
      </c>
      <c r="P13" s="233">
        <v>125</v>
      </c>
      <c r="Q13" s="232">
        <v>1117</v>
      </c>
      <c r="R13" s="233">
        <v>11148</v>
      </c>
      <c r="S13" s="232">
        <v>110038</v>
      </c>
      <c r="T13" s="233">
        <v>1057701</v>
      </c>
    </row>
    <row r="14" spans="1:20" x14ac:dyDescent="0.15">
      <c r="A14" s="172">
        <v>4</v>
      </c>
      <c r="B14" s="173">
        <v>36915</v>
      </c>
      <c r="C14" s="174" t="s">
        <v>362</v>
      </c>
      <c r="D14" s="27">
        <v>3</v>
      </c>
      <c r="E14" s="27">
        <v>6</v>
      </c>
      <c r="F14" s="27">
        <v>8</v>
      </c>
      <c r="G14" s="27">
        <v>1</v>
      </c>
      <c r="H14" s="27">
        <v>9</v>
      </c>
      <c r="I14" s="27">
        <v>6</v>
      </c>
      <c r="J14" s="7">
        <v>4</v>
      </c>
      <c r="K14" s="222">
        <v>6974590</v>
      </c>
      <c r="L14" s="223">
        <v>4</v>
      </c>
      <c r="M14" s="224">
        <v>377777</v>
      </c>
      <c r="N14" s="225">
        <v>0</v>
      </c>
      <c r="O14" s="226">
        <v>2</v>
      </c>
      <c r="P14" s="227">
        <v>27</v>
      </c>
      <c r="Q14" s="226">
        <v>283</v>
      </c>
      <c r="R14" s="227">
        <v>2422</v>
      </c>
      <c r="S14" s="226">
        <v>23747</v>
      </c>
      <c r="T14" s="227">
        <v>234694</v>
      </c>
    </row>
    <row r="15" spans="1:20" x14ac:dyDescent="0.15">
      <c r="A15" s="178"/>
      <c r="B15" s="179">
        <v>36918</v>
      </c>
      <c r="C15" s="180" t="s">
        <v>363</v>
      </c>
      <c r="D15" s="19">
        <v>6</v>
      </c>
      <c r="E15" s="19">
        <v>1</v>
      </c>
      <c r="F15" s="19">
        <v>8</v>
      </c>
      <c r="G15" s="19">
        <v>3</v>
      </c>
      <c r="H15" s="19">
        <v>4</v>
      </c>
      <c r="I15" s="19">
        <v>8</v>
      </c>
      <c r="J15" s="13">
        <v>3</v>
      </c>
      <c r="K15" s="229">
        <v>28035432.5</v>
      </c>
      <c r="L15" s="230">
        <v>2</v>
      </c>
      <c r="M15" s="229">
        <v>977777</v>
      </c>
      <c r="N15" s="231">
        <v>37765.300000000003</v>
      </c>
      <c r="O15" s="232">
        <v>9</v>
      </c>
      <c r="P15" s="233">
        <v>116</v>
      </c>
      <c r="Q15" s="232">
        <v>1040</v>
      </c>
      <c r="R15" s="233">
        <v>10386</v>
      </c>
      <c r="S15" s="232">
        <v>102946</v>
      </c>
      <c r="T15" s="233">
        <v>1064588</v>
      </c>
    </row>
    <row r="16" spans="1:20" x14ac:dyDescent="0.15">
      <c r="A16" s="172">
        <v>5</v>
      </c>
      <c r="B16" s="173">
        <v>36922</v>
      </c>
      <c r="C16" s="174" t="s">
        <v>362</v>
      </c>
      <c r="D16" s="27">
        <v>3</v>
      </c>
      <c r="E16" s="27">
        <v>5</v>
      </c>
      <c r="F16" s="27">
        <v>7</v>
      </c>
      <c r="G16" s="27">
        <v>5</v>
      </c>
      <c r="H16" s="27">
        <v>1</v>
      </c>
      <c r="I16" s="27">
        <v>0</v>
      </c>
      <c r="J16" s="7">
        <v>0</v>
      </c>
      <c r="K16" s="222">
        <v>7720042.5</v>
      </c>
      <c r="L16" s="223" t="s">
        <v>23</v>
      </c>
      <c r="M16" s="224"/>
      <c r="N16" s="225">
        <v>586660.30000000005</v>
      </c>
      <c r="O16" s="226">
        <v>4</v>
      </c>
      <c r="P16" s="227">
        <v>25</v>
      </c>
      <c r="Q16" s="226">
        <v>272</v>
      </c>
      <c r="R16" s="227">
        <v>2523</v>
      </c>
      <c r="S16" s="226">
        <v>25345</v>
      </c>
      <c r="T16" s="227">
        <v>230350</v>
      </c>
    </row>
    <row r="17" spans="1:20" x14ac:dyDescent="0.15">
      <c r="A17" s="178"/>
      <c r="B17" s="179">
        <v>36925</v>
      </c>
      <c r="C17" s="180" t="s">
        <v>363</v>
      </c>
      <c r="D17" s="19">
        <v>5</v>
      </c>
      <c r="E17" s="19">
        <v>9</v>
      </c>
      <c r="F17" s="19">
        <v>6</v>
      </c>
      <c r="G17" s="19">
        <v>3</v>
      </c>
      <c r="H17" s="19">
        <v>1</v>
      </c>
      <c r="I17" s="19">
        <v>3</v>
      </c>
      <c r="J17" s="13">
        <v>1</v>
      </c>
      <c r="K17" s="229">
        <v>29747797.5</v>
      </c>
      <c r="L17" s="230">
        <v>1</v>
      </c>
      <c r="M17" s="229">
        <v>2677777</v>
      </c>
      <c r="N17" s="231">
        <v>23951.7</v>
      </c>
      <c r="O17" s="232">
        <v>10</v>
      </c>
      <c r="P17" s="233">
        <v>92</v>
      </c>
      <c r="Q17" s="232">
        <v>1048</v>
      </c>
      <c r="R17" s="233">
        <v>9299</v>
      </c>
      <c r="S17" s="232">
        <v>94075</v>
      </c>
      <c r="T17" s="233">
        <v>918915</v>
      </c>
    </row>
    <row r="18" spans="1:20" x14ac:dyDescent="0.15">
      <c r="A18" s="172">
        <v>6</v>
      </c>
      <c r="B18" s="173">
        <v>36929</v>
      </c>
      <c r="C18" s="174" t="s">
        <v>362</v>
      </c>
      <c r="D18" s="27">
        <v>6</v>
      </c>
      <c r="E18" s="27">
        <v>6</v>
      </c>
      <c r="F18" s="27">
        <v>0</v>
      </c>
      <c r="G18" s="27">
        <v>6</v>
      </c>
      <c r="H18" s="27">
        <v>6</v>
      </c>
      <c r="I18" s="27">
        <v>5</v>
      </c>
      <c r="J18" s="7">
        <v>5</v>
      </c>
      <c r="K18" s="222">
        <v>10574545</v>
      </c>
      <c r="L18" s="223">
        <v>1</v>
      </c>
      <c r="M18" s="224">
        <v>677777</v>
      </c>
      <c r="N18" s="225">
        <v>98024.8</v>
      </c>
      <c r="O18" s="226">
        <v>1</v>
      </c>
      <c r="P18" s="227">
        <v>55</v>
      </c>
      <c r="Q18" s="226">
        <v>432</v>
      </c>
      <c r="R18" s="227">
        <v>4264</v>
      </c>
      <c r="S18" s="226">
        <v>43175</v>
      </c>
      <c r="T18" s="227">
        <v>407584</v>
      </c>
    </row>
    <row r="19" spans="1:20" x14ac:dyDescent="0.15">
      <c r="A19" s="178"/>
      <c r="B19" s="179">
        <v>36932</v>
      </c>
      <c r="C19" s="180" t="s">
        <v>363</v>
      </c>
      <c r="D19" s="19">
        <v>1</v>
      </c>
      <c r="E19" s="19">
        <v>2</v>
      </c>
      <c r="F19" s="19">
        <v>8</v>
      </c>
      <c r="G19" s="19">
        <v>5</v>
      </c>
      <c r="H19" s="19">
        <v>0</v>
      </c>
      <c r="I19" s="19">
        <v>7</v>
      </c>
      <c r="J19" s="13">
        <v>6</v>
      </c>
      <c r="K19" s="229">
        <v>29231712.5</v>
      </c>
      <c r="L19" s="230">
        <v>1</v>
      </c>
      <c r="M19" s="229">
        <v>2077777</v>
      </c>
      <c r="N19" s="231">
        <v>98622.6</v>
      </c>
      <c r="O19" s="232">
        <v>12</v>
      </c>
      <c r="P19" s="233">
        <v>108</v>
      </c>
      <c r="Q19" s="232">
        <v>1057</v>
      </c>
      <c r="R19" s="233">
        <v>10627</v>
      </c>
      <c r="S19" s="232">
        <v>109027</v>
      </c>
      <c r="T19" s="233">
        <v>1093438</v>
      </c>
    </row>
    <row r="20" spans="1:20" x14ac:dyDescent="0.15">
      <c r="A20" s="172">
        <v>7</v>
      </c>
      <c r="B20" s="173">
        <v>36936</v>
      </c>
      <c r="C20" s="174" t="s">
        <v>362</v>
      </c>
      <c r="D20" s="27">
        <v>5</v>
      </c>
      <c r="E20" s="27">
        <v>8</v>
      </c>
      <c r="F20" s="27">
        <v>8</v>
      </c>
      <c r="G20" s="27">
        <v>6</v>
      </c>
      <c r="H20" s="27">
        <v>7</v>
      </c>
      <c r="I20" s="27">
        <v>5</v>
      </c>
      <c r="J20" s="7">
        <v>3</v>
      </c>
      <c r="K20" s="222">
        <v>7259820</v>
      </c>
      <c r="L20" s="223">
        <v>1</v>
      </c>
      <c r="M20" s="224">
        <v>577777</v>
      </c>
      <c r="N20" s="225">
        <v>37018.800000000003</v>
      </c>
      <c r="O20" s="226">
        <v>4</v>
      </c>
      <c r="P20" s="227">
        <v>27</v>
      </c>
      <c r="Q20" s="226">
        <v>252</v>
      </c>
      <c r="R20" s="227">
        <v>2759</v>
      </c>
      <c r="S20" s="226">
        <v>26839</v>
      </c>
      <c r="T20" s="227">
        <v>268973</v>
      </c>
    </row>
    <row r="21" spans="1:20" x14ac:dyDescent="0.15">
      <c r="A21" s="178"/>
      <c r="B21" s="179">
        <v>36939</v>
      </c>
      <c r="C21" s="180" t="s">
        <v>363</v>
      </c>
      <c r="D21" s="19">
        <v>3</v>
      </c>
      <c r="E21" s="19">
        <v>9</v>
      </c>
      <c r="F21" s="19">
        <v>8</v>
      </c>
      <c r="G21" s="19">
        <v>4</v>
      </c>
      <c r="H21" s="19">
        <v>7</v>
      </c>
      <c r="I21" s="19">
        <v>3</v>
      </c>
      <c r="J21" s="13">
        <v>8</v>
      </c>
      <c r="K21" s="229">
        <v>27719550</v>
      </c>
      <c r="L21" s="230">
        <v>3</v>
      </c>
      <c r="M21" s="229">
        <v>577777</v>
      </c>
      <c r="N21" s="231">
        <v>274547.8</v>
      </c>
      <c r="O21" s="232">
        <v>13</v>
      </c>
      <c r="P21" s="233">
        <v>145</v>
      </c>
      <c r="Q21" s="232">
        <v>1206</v>
      </c>
      <c r="R21" s="233">
        <v>11951</v>
      </c>
      <c r="S21" s="232">
        <v>117252</v>
      </c>
      <c r="T21" s="233">
        <v>1163168</v>
      </c>
    </row>
    <row r="22" spans="1:20" x14ac:dyDescent="0.15">
      <c r="A22" s="172">
        <v>8</v>
      </c>
      <c r="B22" s="173">
        <v>36943</v>
      </c>
      <c r="C22" s="174" t="s">
        <v>362</v>
      </c>
      <c r="D22" s="27">
        <v>0</v>
      </c>
      <c r="E22" s="27">
        <v>1</v>
      </c>
      <c r="F22" s="27">
        <v>5</v>
      </c>
      <c r="G22" s="27">
        <v>8</v>
      </c>
      <c r="H22" s="27">
        <v>4</v>
      </c>
      <c r="I22" s="27">
        <v>0</v>
      </c>
      <c r="J22" s="7">
        <v>5</v>
      </c>
      <c r="K22" s="222">
        <v>6955080</v>
      </c>
      <c r="L22" s="223">
        <v>2</v>
      </c>
      <c r="M22" s="224">
        <v>377777</v>
      </c>
      <c r="N22" s="225">
        <v>13500</v>
      </c>
      <c r="O22" s="226" t="s">
        <v>17</v>
      </c>
      <c r="P22" s="227">
        <v>15</v>
      </c>
      <c r="Q22" s="226">
        <v>260</v>
      </c>
      <c r="R22" s="227">
        <v>2401</v>
      </c>
      <c r="S22" s="226">
        <v>24443</v>
      </c>
      <c r="T22" s="227">
        <v>280208</v>
      </c>
    </row>
    <row r="23" spans="1:20" x14ac:dyDescent="0.15">
      <c r="A23" s="178"/>
      <c r="B23" s="179">
        <v>36946</v>
      </c>
      <c r="C23" s="180" t="s">
        <v>363</v>
      </c>
      <c r="D23" s="19">
        <v>4</v>
      </c>
      <c r="E23" s="19">
        <v>2</v>
      </c>
      <c r="F23" s="19">
        <v>5</v>
      </c>
      <c r="G23" s="19">
        <v>8</v>
      </c>
      <c r="H23" s="19">
        <v>7</v>
      </c>
      <c r="I23" s="19">
        <v>1</v>
      </c>
      <c r="J23" s="13">
        <v>8</v>
      </c>
      <c r="K23" s="229">
        <v>27152212.5</v>
      </c>
      <c r="L23" s="230" t="s">
        <v>23</v>
      </c>
      <c r="M23" s="229"/>
      <c r="N23" s="231">
        <v>1944022.3</v>
      </c>
      <c r="O23" s="232">
        <v>14</v>
      </c>
      <c r="P23" s="233">
        <v>107</v>
      </c>
      <c r="Q23" s="232">
        <v>1082</v>
      </c>
      <c r="R23" s="233">
        <v>11361</v>
      </c>
      <c r="S23" s="232">
        <v>112556</v>
      </c>
      <c r="T23" s="233">
        <v>1147469</v>
      </c>
    </row>
    <row r="24" spans="1:20" x14ac:dyDescent="0.15">
      <c r="A24" s="172">
        <v>9</v>
      </c>
      <c r="B24" s="173">
        <v>36950</v>
      </c>
      <c r="C24" s="174" t="s">
        <v>362</v>
      </c>
      <c r="D24" s="27">
        <v>8</v>
      </c>
      <c r="E24" s="27">
        <v>7</v>
      </c>
      <c r="F24" s="27">
        <v>3</v>
      </c>
      <c r="G24" s="27">
        <v>0</v>
      </c>
      <c r="H24" s="27">
        <v>4</v>
      </c>
      <c r="I24" s="27">
        <v>5</v>
      </c>
      <c r="J24" s="7">
        <v>9</v>
      </c>
      <c r="K24" s="222">
        <v>7144275</v>
      </c>
      <c r="L24" s="223" t="s">
        <v>23</v>
      </c>
      <c r="M24" s="224"/>
      <c r="N24" s="225">
        <v>2451980.2999999998</v>
      </c>
      <c r="O24" s="226">
        <v>3</v>
      </c>
      <c r="P24" s="227">
        <v>26</v>
      </c>
      <c r="Q24" s="226">
        <v>243</v>
      </c>
      <c r="R24" s="227">
        <v>2605</v>
      </c>
      <c r="S24" s="226">
        <v>25766</v>
      </c>
      <c r="T24" s="227">
        <v>261418</v>
      </c>
    </row>
    <row r="25" spans="1:20" x14ac:dyDescent="0.15">
      <c r="A25" s="178"/>
      <c r="B25" s="179">
        <v>36953</v>
      </c>
      <c r="C25" s="180" t="s">
        <v>363</v>
      </c>
      <c r="D25" s="19">
        <v>0</v>
      </c>
      <c r="E25" s="19">
        <v>8</v>
      </c>
      <c r="F25" s="19">
        <v>4</v>
      </c>
      <c r="G25" s="19">
        <v>3</v>
      </c>
      <c r="H25" s="19">
        <v>2</v>
      </c>
      <c r="I25" s="19">
        <v>4</v>
      </c>
      <c r="J25" s="13">
        <v>3</v>
      </c>
      <c r="K25" s="229">
        <v>28464702.5</v>
      </c>
      <c r="L25" s="230" t="s">
        <v>23</v>
      </c>
      <c r="M25" s="229"/>
      <c r="N25" s="231">
        <v>4475820.5999999996</v>
      </c>
      <c r="O25" s="232">
        <v>12</v>
      </c>
      <c r="P25" s="233">
        <v>119</v>
      </c>
      <c r="Q25" s="232">
        <v>1142</v>
      </c>
      <c r="R25" s="233">
        <v>11043</v>
      </c>
      <c r="S25" s="232">
        <v>109028</v>
      </c>
      <c r="T25" s="233">
        <v>1081285</v>
      </c>
    </row>
    <row r="26" spans="1:20" x14ac:dyDescent="0.15">
      <c r="A26" s="172">
        <v>10</v>
      </c>
      <c r="B26" s="173">
        <v>36957</v>
      </c>
      <c r="C26" s="174" t="s">
        <v>362</v>
      </c>
      <c r="D26" s="27">
        <v>8</v>
      </c>
      <c r="E26" s="27">
        <v>3</v>
      </c>
      <c r="F26" s="27">
        <v>1</v>
      </c>
      <c r="G26" s="27">
        <v>6</v>
      </c>
      <c r="H26" s="27">
        <v>6</v>
      </c>
      <c r="I26" s="27">
        <v>1</v>
      </c>
      <c r="J26" s="7">
        <v>1</v>
      </c>
      <c r="K26" s="222">
        <v>8847010</v>
      </c>
      <c r="L26" s="223">
        <v>1</v>
      </c>
      <c r="M26" s="224">
        <v>5077777</v>
      </c>
      <c r="N26" s="225">
        <v>27066</v>
      </c>
      <c r="O26" s="226">
        <v>5</v>
      </c>
      <c r="P26" s="227">
        <v>23</v>
      </c>
      <c r="Q26" s="226">
        <v>306</v>
      </c>
      <c r="R26" s="227">
        <v>2824</v>
      </c>
      <c r="S26" s="226">
        <v>30315</v>
      </c>
      <c r="T26" s="227">
        <v>282301</v>
      </c>
    </row>
    <row r="27" spans="1:20" x14ac:dyDescent="0.15">
      <c r="A27" s="178"/>
      <c r="B27" s="179">
        <v>36960</v>
      </c>
      <c r="C27" s="180" t="s">
        <v>363</v>
      </c>
      <c r="D27" s="19">
        <v>7</v>
      </c>
      <c r="E27" s="19">
        <v>5</v>
      </c>
      <c r="F27" s="19">
        <v>8</v>
      </c>
      <c r="G27" s="19">
        <v>9</v>
      </c>
      <c r="H27" s="19">
        <v>2</v>
      </c>
      <c r="I27" s="19">
        <v>9</v>
      </c>
      <c r="J27" s="13">
        <v>3</v>
      </c>
      <c r="K27" s="229">
        <v>31773507.5</v>
      </c>
      <c r="L27" s="230">
        <v>1</v>
      </c>
      <c r="M27" s="229">
        <v>2277777</v>
      </c>
      <c r="N27" s="231">
        <v>8385.4</v>
      </c>
      <c r="O27" s="232">
        <v>15</v>
      </c>
      <c r="P27" s="233">
        <v>114</v>
      </c>
      <c r="Q27" s="232">
        <v>1190</v>
      </c>
      <c r="R27" s="233">
        <v>11777</v>
      </c>
      <c r="S27" s="232">
        <v>116209</v>
      </c>
      <c r="T27" s="233">
        <v>1207413</v>
      </c>
    </row>
    <row r="28" spans="1:20" x14ac:dyDescent="0.15">
      <c r="A28" s="172">
        <v>11</v>
      </c>
      <c r="B28" s="173">
        <v>36964</v>
      </c>
      <c r="C28" s="174" t="s">
        <v>362</v>
      </c>
      <c r="D28" s="27">
        <v>7</v>
      </c>
      <c r="E28" s="27">
        <v>6</v>
      </c>
      <c r="F28" s="27">
        <v>0</v>
      </c>
      <c r="G28" s="27">
        <v>7</v>
      </c>
      <c r="H28" s="27">
        <v>6</v>
      </c>
      <c r="I28" s="27">
        <v>0</v>
      </c>
      <c r="J28" s="7">
        <v>8</v>
      </c>
      <c r="K28" s="222">
        <v>7247322.5</v>
      </c>
      <c r="L28" s="223">
        <v>1</v>
      </c>
      <c r="M28" s="224">
        <v>477777</v>
      </c>
      <c r="N28" s="225">
        <v>45893</v>
      </c>
      <c r="O28" s="226">
        <v>3</v>
      </c>
      <c r="P28" s="227">
        <v>22</v>
      </c>
      <c r="Q28" s="226">
        <v>250</v>
      </c>
      <c r="R28" s="227">
        <v>2557</v>
      </c>
      <c r="S28" s="226">
        <v>25701</v>
      </c>
      <c r="T28" s="227">
        <v>299249</v>
      </c>
    </row>
    <row r="29" spans="1:20" x14ac:dyDescent="0.15">
      <c r="A29" s="178"/>
      <c r="B29" s="179">
        <v>36967</v>
      </c>
      <c r="C29" s="180" t="s">
        <v>363</v>
      </c>
      <c r="D29" s="19">
        <v>7</v>
      </c>
      <c r="E29" s="19">
        <v>2</v>
      </c>
      <c r="F29" s="19">
        <v>7</v>
      </c>
      <c r="G29" s="19">
        <v>5</v>
      </c>
      <c r="H29" s="19">
        <v>1</v>
      </c>
      <c r="I29" s="19">
        <v>8</v>
      </c>
      <c r="J29" s="13">
        <v>4</v>
      </c>
      <c r="K29" s="229">
        <v>27682722.5</v>
      </c>
      <c r="L29" s="230">
        <v>1</v>
      </c>
      <c r="M29" s="229">
        <v>1977777</v>
      </c>
      <c r="N29" s="231">
        <v>36357.599999999999</v>
      </c>
      <c r="O29" s="232">
        <v>10</v>
      </c>
      <c r="P29" s="233">
        <v>92</v>
      </c>
      <c r="Q29" s="232">
        <v>923</v>
      </c>
      <c r="R29" s="233">
        <v>9430</v>
      </c>
      <c r="S29" s="232">
        <v>92481</v>
      </c>
      <c r="T29" s="233">
        <v>921185</v>
      </c>
    </row>
    <row r="30" spans="1:20" x14ac:dyDescent="0.15">
      <c r="A30" s="172">
        <v>12</v>
      </c>
      <c r="B30" s="173">
        <v>36971</v>
      </c>
      <c r="C30" s="174" t="s">
        <v>362</v>
      </c>
      <c r="D30" s="27">
        <v>1</v>
      </c>
      <c r="E30" s="27">
        <v>5</v>
      </c>
      <c r="F30" s="27">
        <v>0</v>
      </c>
      <c r="G30" s="27">
        <v>4</v>
      </c>
      <c r="H30" s="27">
        <v>4</v>
      </c>
      <c r="I30" s="27">
        <v>3</v>
      </c>
      <c r="J30" s="7">
        <v>3</v>
      </c>
      <c r="K30" s="222">
        <v>7192867.5</v>
      </c>
      <c r="L30" s="223" t="s">
        <v>23</v>
      </c>
      <c r="M30" s="224"/>
      <c r="N30" s="225">
        <v>547770.5</v>
      </c>
      <c r="O30" s="226">
        <v>1</v>
      </c>
      <c r="P30" s="227">
        <v>22</v>
      </c>
      <c r="Q30" s="226">
        <v>260</v>
      </c>
      <c r="R30" s="227">
        <v>2669</v>
      </c>
      <c r="S30" s="226">
        <v>27667</v>
      </c>
      <c r="T30" s="227">
        <v>268770</v>
      </c>
    </row>
    <row r="31" spans="1:20" x14ac:dyDescent="0.15">
      <c r="A31" s="178"/>
      <c r="B31" s="179">
        <v>36974</v>
      </c>
      <c r="C31" s="180" t="s">
        <v>363</v>
      </c>
      <c r="D31" s="19">
        <v>4</v>
      </c>
      <c r="E31" s="19">
        <v>0</v>
      </c>
      <c r="F31" s="19">
        <v>0</v>
      </c>
      <c r="G31" s="19">
        <v>9</v>
      </c>
      <c r="H31" s="19">
        <v>5</v>
      </c>
      <c r="I31" s="19">
        <v>6</v>
      </c>
      <c r="J31" s="13">
        <v>5</v>
      </c>
      <c r="K31" s="229">
        <v>27833980</v>
      </c>
      <c r="L31" s="230">
        <v>1</v>
      </c>
      <c r="M31" s="229">
        <v>2477777</v>
      </c>
      <c r="N31" s="231">
        <v>48989.5</v>
      </c>
      <c r="O31" s="232">
        <v>10</v>
      </c>
      <c r="P31" s="233">
        <v>107</v>
      </c>
      <c r="Q31" s="232">
        <v>1089</v>
      </c>
      <c r="R31" s="233">
        <v>10876</v>
      </c>
      <c r="S31" s="232">
        <v>108071</v>
      </c>
      <c r="T31" s="233">
        <v>1055611</v>
      </c>
    </row>
    <row r="32" spans="1:20" x14ac:dyDescent="0.15">
      <c r="A32" s="172">
        <v>13</v>
      </c>
      <c r="B32" s="173">
        <v>36978</v>
      </c>
      <c r="C32" s="174" t="s">
        <v>362</v>
      </c>
      <c r="D32" s="27">
        <v>7</v>
      </c>
      <c r="E32" s="27">
        <v>5</v>
      </c>
      <c r="F32" s="27">
        <v>7</v>
      </c>
      <c r="G32" s="27">
        <v>1</v>
      </c>
      <c r="H32" s="27">
        <v>1</v>
      </c>
      <c r="I32" s="27">
        <v>8</v>
      </c>
      <c r="J32" s="7">
        <v>3</v>
      </c>
      <c r="K32" s="222">
        <v>7932955</v>
      </c>
      <c r="L32" s="223" t="s">
        <v>23</v>
      </c>
      <c r="M32" s="224"/>
      <c r="N32" s="225">
        <v>613022.6</v>
      </c>
      <c r="O32" s="226">
        <v>3</v>
      </c>
      <c r="P32" s="227">
        <v>28</v>
      </c>
      <c r="Q32" s="226">
        <v>270</v>
      </c>
      <c r="R32" s="227">
        <v>2865</v>
      </c>
      <c r="S32" s="226">
        <v>28409</v>
      </c>
      <c r="T32" s="227">
        <v>298944</v>
      </c>
    </row>
    <row r="33" spans="1:20" x14ac:dyDescent="0.15">
      <c r="A33" s="178"/>
      <c r="B33" s="179">
        <v>36981</v>
      </c>
      <c r="C33" s="180" t="s">
        <v>363</v>
      </c>
      <c r="D33" s="19">
        <v>9</v>
      </c>
      <c r="E33" s="19">
        <v>2</v>
      </c>
      <c r="F33" s="19">
        <v>3</v>
      </c>
      <c r="G33" s="19">
        <v>9</v>
      </c>
      <c r="H33" s="19">
        <v>1</v>
      </c>
      <c r="I33" s="19">
        <v>5</v>
      </c>
      <c r="J33" s="13">
        <v>0</v>
      </c>
      <c r="K33" s="229">
        <v>29167247.5</v>
      </c>
      <c r="L33" s="230" t="s">
        <v>23</v>
      </c>
      <c r="M33" s="229"/>
      <c r="N33" s="231">
        <v>2686813.9</v>
      </c>
      <c r="O33" s="232">
        <v>13</v>
      </c>
      <c r="P33" s="233">
        <v>100</v>
      </c>
      <c r="Q33" s="232">
        <v>832</v>
      </c>
      <c r="R33" s="233">
        <v>8931</v>
      </c>
      <c r="S33" s="232">
        <v>87139</v>
      </c>
      <c r="T33" s="233">
        <v>858118</v>
      </c>
    </row>
    <row r="34" spans="1:20" x14ac:dyDescent="0.15">
      <c r="A34" s="172">
        <v>14</v>
      </c>
      <c r="B34" s="173">
        <v>36985</v>
      </c>
      <c r="C34" s="174" t="s">
        <v>362</v>
      </c>
      <c r="D34" s="27">
        <v>1</v>
      </c>
      <c r="E34" s="27">
        <v>4</v>
      </c>
      <c r="F34" s="27">
        <v>3</v>
      </c>
      <c r="G34" s="27">
        <v>4</v>
      </c>
      <c r="H34" s="27">
        <v>5</v>
      </c>
      <c r="I34" s="27">
        <v>1</v>
      </c>
      <c r="J34" s="7">
        <v>2</v>
      </c>
      <c r="K34" s="222">
        <v>10127420</v>
      </c>
      <c r="L34" s="223" t="s">
        <v>23</v>
      </c>
      <c r="M34" s="224"/>
      <c r="N34" s="225">
        <v>3406873.5</v>
      </c>
      <c r="O34" s="226">
        <v>2</v>
      </c>
      <c r="P34" s="227">
        <v>29</v>
      </c>
      <c r="Q34" s="226">
        <v>343</v>
      </c>
      <c r="R34" s="227">
        <v>3551</v>
      </c>
      <c r="S34" s="226">
        <v>34242</v>
      </c>
      <c r="T34" s="227">
        <v>336039</v>
      </c>
    </row>
    <row r="35" spans="1:20" x14ac:dyDescent="0.15">
      <c r="A35" s="178"/>
      <c r="B35" s="179">
        <v>36988</v>
      </c>
      <c r="C35" s="180" t="s">
        <v>363</v>
      </c>
      <c r="D35" s="19">
        <v>8</v>
      </c>
      <c r="E35" s="19">
        <v>1</v>
      </c>
      <c r="F35" s="19">
        <v>8</v>
      </c>
      <c r="G35" s="19">
        <v>7</v>
      </c>
      <c r="H35" s="19">
        <v>7</v>
      </c>
      <c r="I35" s="19">
        <v>0</v>
      </c>
      <c r="J35" s="13">
        <v>6</v>
      </c>
      <c r="K35" s="229">
        <v>35600067.5</v>
      </c>
      <c r="L35" s="230">
        <v>3</v>
      </c>
      <c r="M35" s="229">
        <v>1977777</v>
      </c>
      <c r="N35" s="231">
        <v>4707.3</v>
      </c>
      <c r="O35" s="232">
        <v>19</v>
      </c>
      <c r="P35" s="233">
        <v>107</v>
      </c>
      <c r="Q35" s="232">
        <v>1183</v>
      </c>
      <c r="R35" s="233">
        <v>12087</v>
      </c>
      <c r="S35" s="232">
        <v>118914</v>
      </c>
      <c r="T35" s="233">
        <v>1341020</v>
      </c>
    </row>
    <row r="36" spans="1:20" x14ac:dyDescent="0.15">
      <c r="A36" s="172">
        <v>15</v>
      </c>
      <c r="B36" s="173">
        <v>36992</v>
      </c>
      <c r="C36" s="174" t="s">
        <v>362</v>
      </c>
      <c r="D36" s="27">
        <v>1</v>
      </c>
      <c r="E36" s="27">
        <v>5</v>
      </c>
      <c r="F36" s="27">
        <v>0</v>
      </c>
      <c r="G36" s="27">
        <v>2</v>
      </c>
      <c r="H36" s="27">
        <v>4</v>
      </c>
      <c r="I36" s="27">
        <v>1</v>
      </c>
      <c r="J36" s="7">
        <v>1</v>
      </c>
      <c r="K36" s="222">
        <v>7802627.5</v>
      </c>
      <c r="L36" s="223" t="s">
        <v>23</v>
      </c>
      <c r="M36" s="224"/>
      <c r="N36" s="225">
        <v>559474.1</v>
      </c>
      <c r="O36" s="226">
        <v>3</v>
      </c>
      <c r="P36" s="227">
        <v>14</v>
      </c>
      <c r="Q36" s="226">
        <v>262</v>
      </c>
      <c r="R36" s="227">
        <v>2734</v>
      </c>
      <c r="S36" s="226">
        <v>26983</v>
      </c>
      <c r="T36" s="227">
        <v>245873</v>
      </c>
    </row>
    <row r="37" spans="1:20" x14ac:dyDescent="0.15">
      <c r="A37" s="178"/>
      <c r="B37" s="179">
        <v>36995</v>
      </c>
      <c r="C37" s="180" t="s">
        <v>363</v>
      </c>
      <c r="D37" s="19">
        <v>1</v>
      </c>
      <c r="E37" s="19">
        <v>2</v>
      </c>
      <c r="F37" s="19">
        <v>5</v>
      </c>
      <c r="G37" s="19">
        <v>5</v>
      </c>
      <c r="H37" s="19">
        <v>0</v>
      </c>
      <c r="I37" s="19">
        <v>7</v>
      </c>
      <c r="J37" s="13">
        <v>7</v>
      </c>
      <c r="K37" s="229">
        <v>27806737.5</v>
      </c>
      <c r="L37" s="230">
        <v>2</v>
      </c>
      <c r="M37" s="229">
        <v>1177777</v>
      </c>
      <c r="N37" s="231">
        <v>180979.1</v>
      </c>
      <c r="O37" s="232">
        <v>13</v>
      </c>
      <c r="P37" s="233">
        <v>104</v>
      </c>
      <c r="Q37" s="232">
        <v>1114</v>
      </c>
      <c r="R37" s="233">
        <v>11846</v>
      </c>
      <c r="S37" s="232">
        <v>124324</v>
      </c>
      <c r="T37" s="233">
        <v>1072755</v>
      </c>
    </row>
    <row r="38" spans="1:20" x14ac:dyDescent="0.15">
      <c r="A38" s="172">
        <v>16</v>
      </c>
      <c r="B38" s="173">
        <v>36999</v>
      </c>
      <c r="C38" s="174" t="s">
        <v>362</v>
      </c>
      <c r="D38" s="27">
        <v>4</v>
      </c>
      <c r="E38" s="27">
        <v>8</v>
      </c>
      <c r="F38" s="27">
        <v>4</v>
      </c>
      <c r="G38" s="27">
        <v>8</v>
      </c>
      <c r="H38" s="27">
        <v>3</v>
      </c>
      <c r="I38" s="27">
        <v>1</v>
      </c>
      <c r="J38" s="7">
        <v>6</v>
      </c>
      <c r="K38" s="222">
        <v>6866782.5</v>
      </c>
      <c r="L38" s="223">
        <v>1</v>
      </c>
      <c r="M38" s="224">
        <v>577777</v>
      </c>
      <c r="N38" s="225">
        <v>91430.3</v>
      </c>
      <c r="O38" s="226">
        <v>4</v>
      </c>
      <c r="P38" s="227">
        <v>25</v>
      </c>
      <c r="Q38" s="226">
        <v>251</v>
      </c>
      <c r="R38" s="227">
        <v>2536</v>
      </c>
      <c r="S38" s="226">
        <v>24809</v>
      </c>
      <c r="T38" s="227">
        <v>254596</v>
      </c>
    </row>
    <row r="39" spans="1:20" x14ac:dyDescent="0.15">
      <c r="A39" s="178"/>
      <c r="B39" s="179">
        <v>37002</v>
      </c>
      <c r="C39" s="180" t="s">
        <v>363</v>
      </c>
      <c r="D39" s="19">
        <v>5</v>
      </c>
      <c r="E39" s="19">
        <v>0</v>
      </c>
      <c r="F39" s="19">
        <v>8</v>
      </c>
      <c r="G39" s="19">
        <v>0</v>
      </c>
      <c r="H39" s="19">
        <v>2</v>
      </c>
      <c r="I39" s="19">
        <v>2</v>
      </c>
      <c r="J39" s="13">
        <v>3</v>
      </c>
      <c r="K39" s="229">
        <v>27013570</v>
      </c>
      <c r="L39" s="230" t="s">
        <v>23</v>
      </c>
      <c r="M39" s="229"/>
      <c r="N39" s="231">
        <v>2012095.1</v>
      </c>
      <c r="O39" s="232">
        <v>15</v>
      </c>
      <c r="P39" s="233">
        <v>104</v>
      </c>
      <c r="Q39" s="232">
        <v>978</v>
      </c>
      <c r="R39" s="233">
        <v>10127</v>
      </c>
      <c r="S39" s="232">
        <v>105597</v>
      </c>
      <c r="T39" s="233">
        <v>1038389</v>
      </c>
    </row>
    <row r="40" spans="1:20" x14ac:dyDescent="0.15">
      <c r="A40" s="172">
        <v>17</v>
      </c>
      <c r="B40" s="173">
        <v>37006</v>
      </c>
      <c r="C40" s="174" t="s">
        <v>362</v>
      </c>
      <c r="D40" s="27">
        <v>7</v>
      </c>
      <c r="E40" s="27">
        <v>9</v>
      </c>
      <c r="F40" s="27">
        <v>7</v>
      </c>
      <c r="G40" s="27">
        <v>9</v>
      </c>
      <c r="H40" s="27">
        <v>5</v>
      </c>
      <c r="I40" s="27">
        <v>6</v>
      </c>
      <c r="J40" s="7">
        <v>0</v>
      </c>
      <c r="K40" s="222">
        <v>6993915</v>
      </c>
      <c r="L40" s="223" t="s">
        <v>23</v>
      </c>
      <c r="M40" s="224"/>
      <c r="N40" s="225">
        <v>2509362.5</v>
      </c>
      <c r="O40" s="226">
        <v>2</v>
      </c>
      <c r="P40" s="227">
        <v>25</v>
      </c>
      <c r="Q40" s="226">
        <v>207</v>
      </c>
      <c r="R40" s="227">
        <v>1986</v>
      </c>
      <c r="S40" s="226">
        <v>20642</v>
      </c>
      <c r="T40" s="227">
        <v>207237</v>
      </c>
    </row>
    <row r="41" spans="1:20" x14ac:dyDescent="0.15">
      <c r="A41" s="178"/>
      <c r="B41" s="179">
        <v>37009</v>
      </c>
      <c r="C41" s="180" t="s">
        <v>363</v>
      </c>
      <c r="D41" s="19">
        <v>7</v>
      </c>
      <c r="E41" s="19">
        <v>5</v>
      </c>
      <c r="F41" s="19">
        <v>6</v>
      </c>
      <c r="G41" s="19">
        <v>5</v>
      </c>
      <c r="H41" s="19">
        <v>5</v>
      </c>
      <c r="I41" s="19">
        <v>2</v>
      </c>
      <c r="J41" s="13">
        <v>9</v>
      </c>
      <c r="K41" s="229">
        <v>27234002.5</v>
      </c>
      <c r="L41" s="230" t="s">
        <v>23</v>
      </c>
      <c r="M41" s="229"/>
      <c r="N41" s="231">
        <v>4445700.0999999996</v>
      </c>
      <c r="O41" s="232">
        <v>12</v>
      </c>
      <c r="P41" s="233">
        <v>98</v>
      </c>
      <c r="Q41" s="232">
        <v>1004</v>
      </c>
      <c r="R41" s="233">
        <v>10395</v>
      </c>
      <c r="S41" s="232">
        <v>102837</v>
      </c>
      <c r="T41" s="233">
        <v>1027694</v>
      </c>
    </row>
    <row r="42" spans="1:20" x14ac:dyDescent="0.15">
      <c r="A42" s="172">
        <v>18</v>
      </c>
      <c r="B42" s="173">
        <v>37013</v>
      </c>
      <c r="C42" s="174" t="s">
        <v>362</v>
      </c>
      <c r="D42" s="27">
        <v>9</v>
      </c>
      <c r="E42" s="27">
        <v>1</v>
      </c>
      <c r="F42" s="27">
        <v>5</v>
      </c>
      <c r="G42" s="27">
        <v>0</v>
      </c>
      <c r="H42" s="27">
        <v>4</v>
      </c>
      <c r="I42" s="27">
        <v>5</v>
      </c>
      <c r="J42" s="7">
        <v>5</v>
      </c>
      <c r="K42" s="222">
        <v>6749380</v>
      </c>
      <c r="L42" s="223" t="s">
        <v>23</v>
      </c>
      <c r="M42" s="224"/>
      <c r="N42" s="225">
        <v>4925581</v>
      </c>
      <c r="O42" s="226">
        <v>5</v>
      </c>
      <c r="P42" s="227">
        <v>30</v>
      </c>
      <c r="Q42" s="226">
        <v>319</v>
      </c>
      <c r="R42" s="227">
        <v>2987</v>
      </c>
      <c r="S42" s="226">
        <v>29497</v>
      </c>
      <c r="T42" s="227">
        <v>271269</v>
      </c>
    </row>
    <row r="43" spans="1:20" x14ac:dyDescent="0.15">
      <c r="A43" s="178"/>
      <c r="B43" s="179">
        <v>37016</v>
      </c>
      <c r="C43" s="180" t="s">
        <v>363</v>
      </c>
      <c r="D43" s="19">
        <v>0</v>
      </c>
      <c r="E43" s="19">
        <v>9</v>
      </c>
      <c r="F43" s="19">
        <v>6</v>
      </c>
      <c r="G43" s="19">
        <v>5</v>
      </c>
      <c r="H43" s="19">
        <v>0</v>
      </c>
      <c r="I43" s="19">
        <v>2</v>
      </c>
      <c r="J43" s="13">
        <v>8</v>
      </c>
      <c r="K43" s="229">
        <v>27556837.5</v>
      </c>
      <c r="L43" s="230">
        <v>1</v>
      </c>
      <c r="M43" s="229">
        <v>6877777</v>
      </c>
      <c r="N43" s="231">
        <v>7095.1</v>
      </c>
      <c r="O43" s="232">
        <v>12</v>
      </c>
      <c r="P43" s="233">
        <v>116</v>
      </c>
      <c r="Q43" s="232">
        <v>1109</v>
      </c>
      <c r="R43" s="233">
        <v>11289</v>
      </c>
      <c r="S43" s="232">
        <v>118724</v>
      </c>
      <c r="T43" s="233">
        <v>1167091</v>
      </c>
    </row>
    <row r="44" spans="1:20" x14ac:dyDescent="0.15">
      <c r="A44" s="172">
        <v>19</v>
      </c>
      <c r="B44" s="173">
        <v>37020</v>
      </c>
      <c r="C44" s="174" t="s">
        <v>362</v>
      </c>
      <c r="D44" s="27">
        <v>7</v>
      </c>
      <c r="E44" s="27">
        <v>5</v>
      </c>
      <c r="F44" s="27">
        <v>3</v>
      </c>
      <c r="G44" s="27">
        <v>8</v>
      </c>
      <c r="H44" s="27">
        <v>0</v>
      </c>
      <c r="I44" s="27">
        <v>6</v>
      </c>
      <c r="J44" s="7">
        <v>0</v>
      </c>
      <c r="K44" s="222">
        <v>7074470</v>
      </c>
      <c r="L44" s="234" t="s">
        <v>23</v>
      </c>
      <c r="M44" s="224"/>
      <c r="N44" s="225">
        <v>510089.9</v>
      </c>
      <c r="O44" s="226">
        <v>2</v>
      </c>
      <c r="P44" s="227">
        <v>18</v>
      </c>
      <c r="Q44" s="226">
        <v>219</v>
      </c>
      <c r="R44" s="227">
        <v>2161</v>
      </c>
      <c r="S44" s="226">
        <v>21286</v>
      </c>
      <c r="T44" s="227">
        <v>212541</v>
      </c>
    </row>
    <row r="45" spans="1:20" x14ac:dyDescent="0.15">
      <c r="A45" s="178"/>
      <c r="B45" s="179">
        <v>37023</v>
      </c>
      <c r="C45" s="180" t="s">
        <v>363</v>
      </c>
      <c r="D45" s="19">
        <v>8</v>
      </c>
      <c r="E45" s="19">
        <v>5</v>
      </c>
      <c r="F45" s="19">
        <v>2</v>
      </c>
      <c r="G45" s="19">
        <v>6</v>
      </c>
      <c r="H45" s="19">
        <v>3</v>
      </c>
      <c r="I45" s="19">
        <v>2</v>
      </c>
      <c r="J45" s="13">
        <v>5</v>
      </c>
      <c r="K45" s="229">
        <v>27077002.5</v>
      </c>
      <c r="L45" s="230" t="s">
        <v>23</v>
      </c>
      <c r="M45" s="229"/>
      <c r="N45" s="231">
        <v>2435264.7999999998</v>
      </c>
      <c r="O45" s="232">
        <v>4</v>
      </c>
      <c r="P45" s="233">
        <v>95</v>
      </c>
      <c r="Q45" s="232">
        <v>1007</v>
      </c>
      <c r="R45" s="233">
        <v>10868</v>
      </c>
      <c r="S45" s="232">
        <v>105728</v>
      </c>
      <c r="T45" s="233">
        <v>1041749</v>
      </c>
    </row>
    <row r="46" spans="1:20" x14ac:dyDescent="0.15">
      <c r="A46" s="172">
        <v>20</v>
      </c>
      <c r="B46" s="173">
        <v>37027</v>
      </c>
      <c r="C46" s="174" t="s">
        <v>362</v>
      </c>
      <c r="D46" s="27">
        <v>1</v>
      </c>
      <c r="E46" s="27">
        <v>5</v>
      </c>
      <c r="F46" s="27">
        <v>7</v>
      </c>
      <c r="G46" s="27">
        <v>6</v>
      </c>
      <c r="H46" s="27">
        <v>6</v>
      </c>
      <c r="I46" s="27">
        <v>6</v>
      </c>
      <c r="J46" s="7">
        <v>3</v>
      </c>
      <c r="K46" s="222">
        <v>7234260</v>
      </c>
      <c r="L46" s="223" t="s">
        <v>23</v>
      </c>
      <c r="M46" s="224"/>
      <c r="N46" s="225">
        <v>2949620.7</v>
      </c>
      <c r="O46" s="226">
        <v>2</v>
      </c>
      <c r="P46" s="227">
        <v>21</v>
      </c>
      <c r="Q46" s="226">
        <v>243</v>
      </c>
      <c r="R46" s="227">
        <v>2690</v>
      </c>
      <c r="S46" s="226">
        <v>27066</v>
      </c>
      <c r="T46" s="227">
        <v>272561</v>
      </c>
    </row>
    <row r="47" spans="1:20" x14ac:dyDescent="0.15">
      <c r="A47" s="178"/>
      <c r="B47" s="179">
        <v>37030</v>
      </c>
      <c r="C47" s="180" t="s">
        <v>363</v>
      </c>
      <c r="D47" s="19">
        <v>7</v>
      </c>
      <c r="E47" s="19">
        <v>3</v>
      </c>
      <c r="F47" s="19">
        <v>9</v>
      </c>
      <c r="G47" s="19">
        <v>2</v>
      </c>
      <c r="H47" s="19">
        <v>8</v>
      </c>
      <c r="I47" s="19">
        <v>5</v>
      </c>
      <c r="J47" s="13">
        <v>9</v>
      </c>
      <c r="K47" s="229">
        <v>27652222.5</v>
      </c>
      <c r="L47" s="230" t="s">
        <v>23</v>
      </c>
      <c r="M47" s="229"/>
      <c r="N47" s="231">
        <v>4915693.7</v>
      </c>
      <c r="O47" s="232">
        <v>22</v>
      </c>
      <c r="P47" s="233">
        <v>116</v>
      </c>
      <c r="Q47" s="232">
        <v>1079</v>
      </c>
      <c r="R47" s="233">
        <v>10642</v>
      </c>
      <c r="S47" s="232">
        <v>106368</v>
      </c>
      <c r="T47" s="233">
        <v>1031374</v>
      </c>
    </row>
    <row r="48" spans="1:20" x14ac:dyDescent="0.15">
      <c r="A48" s="172">
        <v>21</v>
      </c>
      <c r="B48" s="173">
        <v>37034</v>
      </c>
      <c r="C48" s="174" t="s">
        <v>362</v>
      </c>
      <c r="D48" s="27">
        <v>9</v>
      </c>
      <c r="E48" s="27">
        <v>1</v>
      </c>
      <c r="F48" s="27">
        <v>6</v>
      </c>
      <c r="G48" s="27">
        <v>6</v>
      </c>
      <c r="H48" s="27">
        <v>8</v>
      </c>
      <c r="I48" s="27">
        <v>3</v>
      </c>
      <c r="J48" s="7">
        <v>4</v>
      </c>
      <c r="K48" s="222">
        <v>6948292.5</v>
      </c>
      <c r="L48" s="223" t="s">
        <v>23</v>
      </c>
      <c r="M48" s="224"/>
      <c r="N48" s="225">
        <v>5409717.2999999998</v>
      </c>
      <c r="O48" s="226">
        <v>1</v>
      </c>
      <c r="P48" s="227">
        <v>24</v>
      </c>
      <c r="Q48" s="226">
        <v>226</v>
      </c>
      <c r="R48" s="227">
        <v>2355</v>
      </c>
      <c r="S48" s="226">
        <v>23488</v>
      </c>
      <c r="T48" s="227">
        <v>233567</v>
      </c>
    </row>
    <row r="49" spans="1:21" x14ac:dyDescent="0.15">
      <c r="A49" s="178"/>
      <c r="B49" s="179">
        <v>37037</v>
      </c>
      <c r="C49" s="180" t="s">
        <v>363</v>
      </c>
      <c r="D49" s="19">
        <v>8</v>
      </c>
      <c r="E49" s="19">
        <v>5</v>
      </c>
      <c r="F49" s="19">
        <v>7</v>
      </c>
      <c r="G49" s="19">
        <v>5</v>
      </c>
      <c r="H49" s="19">
        <v>3</v>
      </c>
      <c r="I49" s="19">
        <v>0</v>
      </c>
      <c r="J49" s="13">
        <v>2</v>
      </c>
      <c r="K49" s="229">
        <v>25635187.5</v>
      </c>
      <c r="L49" s="230">
        <v>1</v>
      </c>
      <c r="M49" s="229">
        <v>7177777</v>
      </c>
      <c r="N49" s="231">
        <v>54602.1</v>
      </c>
      <c r="O49" s="232">
        <v>7</v>
      </c>
      <c r="P49" s="233">
        <v>70</v>
      </c>
      <c r="Q49" s="232">
        <v>750</v>
      </c>
      <c r="R49" s="233">
        <v>7325</v>
      </c>
      <c r="S49" s="232">
        <v>73362</v>
      </c>
      <c r="T49" s="233">
        <v>842581</v>
      </c>
    </row>
    <row r="50" spans="1:21" x14ac:dyDescent="0.15">
      <c r="A50" s="172">
        <v>22</v>
      </c>
      <c r="B50" s="173">
        <v>37041</v>
      </c>
      <c r="C50" s="174" t="s">
        <v>362</v>
      </c>
      <c r="D50" s="27">
        <v>6</v>
      </c>
      <c r="E50" s="27">
        <v>7</v>
      </c>
      <c r="F50" s="27">
        <v>5</v>
      </c>
      <c r="G50" s="27">
        <v>1</v>
      </c>
      <c r="H50" s="27">
        <v>4</v>
      </c>
      <c r="I50" s="27">
        <v>4</v>
      </c>
      <c r="J50" s="7">
        <v>0</v>
      </c>
      <c r="K50" s="222">
        <v>6838062.5</v>
      </c>
      <c r="L50" s="223">
        <v>1</v>
      </c>
      <c r="M50" s="224">
        <v>477777</v>
      </c>
      <c r="N50" s="225">
        <v>63011.3</v>
      </c>
      <c r="O50" s="226">
        <v>2</v>
      </c>
      <c r="P50" s="227">
        <v>16</v>
      </c>
      <c r="Q50" s="226">
        <v>205</v>
      </c>
      <c r="R50" s="227">
        <v>2044</v>
      </c>
      <c r="S50" s="226">
        <v>20854</v>
      </c>
      <c r="T50" s="227">
        <v>210702</v>
      </c>
    </row>
    <row r="51" spans="1:21" x14ac:dyDescent="0.15">
      <c r="A51" s="178"/>
      <c r="B51" s="179">
        <v>37044</v>
      </c>
      <c r="C51" s="180" t="s">
        <v>363</v>
      </c>
      <c r="D51" s="19">
        <v>9</v>
      </c>
      <c r="E51" s="19">
        <v>7</v>
      </c>
      <c r="F51" s="19">
        <v>3</v>
      </c>
      <c r="G51" s="19">
        <v>4</v>
      </c>
      <c r="H51" s="19">
        <v>2</v>
      </c>
      <c r="I51" s="19">
        <v>7</v>
      </c>
      <c r="J51" s="13">
        <v>9</v>
      </c>
      <c r="K51" s="229">
        <v>27372402.5</v>
      </c>
      <c r="L51" s="230" t="s">
        <v>23</v>
      </c>
      <c r="M51" s="229"/>
      <c r="N51" s="231">
        <v>2009189.1</v>
      </c>
      <c r="O51" s="232">
        <v>13</v>
      </c>
      <c r="P51" s="233">
        <v>108</v>
      </c>
      <c r="Q51" s="232">
        <v>1064</v>
      </c>
      <c r="R51" s="233">
        <v>9994</v>
      </c>
      <c r="S51" s="232">
        <v>101940</v>
      </c>
      <c r="T51" s="233">
        <v>1026934</v>
      </c>
    </row>
    <row r="52" spans="1:21" x14ac:dyDescent="0.15">
      <c r="A52" s="172">
        <v>23</v>
      </c>
      <c r="B52" s="173">
        <v>37048</v>
      </c>
      <c r="C52" s="174" t="s">
        <v>362</v>
      </c>
      <c r="D52" s="27">
        <v>3</v>
      </c>
      <c r="E52" s="27">
        <v>2</v>
      </c>
      <c r="F52" s="27">
        <v>9</v>
      </c>
      <c r="G52" s="27">
        <v>4</v>
      </c>
      <c r="H52" s="27">
        <v>1</v>
      </c>
      <c r="I52" s="27">
        <v>4</v>
      </c>
      <c r="J52" s="7">
        <v>3</v>
      </c>
      <c r="K52" s="222">
        <v>7338120</v>
      </c>
      <c r="L52" s="223" t="s">
        <v>23</v>
      </c>
      <c r="M52" s="224"/>
      <c r="N52" s="225">
        <v>2530929.4</v>
      </c>
      <c r="O52" s="226">
        <v>3</v>
      </c>
      <c r="P52" s="227">
        <v>32</v>
      </c>
      <c r="Q52" s="226">
        <v>256</v>
      </c>
      <c r="R52" s="227">
        <v>2847</v>
      </c>
      <c r="S52" s="226">
        <v>27621</v>
      </c>
      <c r="T52" s="227">
        <v>277335</v>
      </c>
    </row>
    <row r="53" spans="1:21" x14ac:dyDescent="0.15">
      <c r="A53" s="178"/>
      <c r="B53" s="179">
        <v>37051</v>
      </c>
      <c r="C53" s="180" t="s">
        <v>363</v>
      </c>
      <c r="D53" s="19">
        <v>5</v>
      </c>
      <c r="E53" s="19">
        <v>3</v>
      </c>
      <c r="F53" s="19">
        <v>6</v>
      </c>
      <c r="G53" s="19">
        <v>8</v>
      </c>
      <c r="H53" s="19">
        <v>0</v>
      </c>
      <c r="I53" s="19">
        <v>5</v>
      </c>
      <c r="J53" s="13">
        <v>5</v>
      </c>
      <c r="K53" s="229">
        <v>28786230</v>
      </c>
      <c r="L53" s="230" t="s">
        <v>23</v>
      </c>
      <c r="M53" s="229"/>
      <c r="N53" s="231">
        <v>4577630.4000000004</v>
      </c>
      <c r="O53" s="232">
        <v>7</v>
      </c>
      <c r="P53" s="233">
        <v>101</v>
      </c>
      <c r="Q53" s="232">
        <v>1102</v>
      </c>
      <c r="R53" s="233">
        <v>11377</v>
      </c>
      <c r="S53" s="232">
        <v>117355</v>
      </c>
      <c r="T53" s="233">
        <v>1113510</v>
      </c>
    </row>
    <row r="54" spans="1:21" x14ac:dyDescent="0.15">
      <c r="A54" s="172">
        <v>24</v>
      </c>
      <c r="B54" s="173">
        <v>37055</v>
      </c>
      <c r="C54" s="174" t="s">
        <v>362</v>
      </c>
      <c r="D54" s="27">
        <v>4</v>
      </c>
      <c r="E54" s="27">
        <v>4</v>
      </c>
      <c r="F54" s="27">
        <v>6</v>
      </c>
      <c r="G54" s="27">
        <v>5</v>
      </c>
      <c r="H54" s="27">
        <v>7</v>
      </c>
      <c r="I54" s="27">
        <v>8</v>
      </c>
      <c r="J54" s="7">
        <v>2</v>
      </c>
      <c r="K54" s="222">
        <v>9332725</v>
      </c>
      <c r="L54" s="223" t="s">
        <v>23</v>
      </c>
      <c r="M54" s="224"/>
      <c r="N54" s="225">
        <v>5241187.0999999996</v>
      </c>
      <c r="O54" s="226">
        <v>3</v>
      </c>
      <c r="P54" s="227">
        <v>24</v>
      </c>
      <c r="Q54" s="226">
        <v>313</v>
      </c>
      <c r="R54" s="227">
        <v>3095</v>
      </c>
      <c r="S54" s="226">
        <v>30624</v>
      </c>
      <c r="T54" s="227">
        <v>308254</v>
      </c>
    </row>
    <row r="55" spans="1:21" x14ac:dyDescent="0.15">
      <c r="A55" s="178"/>
      <c r="B55" s="179">
        <v>37058</v>
      </c>
      <c r="C55" s="180" t="s">
        <v>363</v>
      </c>
      <c r="D55" s="19">
        <v>5</v>
      </c>
      <c r="E55" s="19">
        <v>9</v>
      </c>
      <c r="F55" s="19">
        <v>5</v>
      </c>
      <c r="G55" s="19">
        <v>8</v>
      </c>
      <c r="H55" s="19">
        <v>9</v>
      </c>
      <c r="I55" s="19">
        <v>9</v>
      </c>
      <c r="J55" s="13">
        <v>8</v>
      </c>
      <c r="K55" s="229">
        <v>32165980</v>
      </c>
      <c r="L55" s="230">
        <v>1</v>
      </c>
      <c r="M55" s="229">
        <v>7477777</v>
      </c>
      <c r="N55" s="231">
        <v>50411.3</v>
      </c>
      <c r="O55" s="232">
        <v>9</v>
      </c>
      <c r="P55" s="233">
        <v>132</v>
      </c>
      <c r="Q55" s="232">
        <v>1220</v>
      </c>
      <c r="R55" s="233">
        <v>12816</v>
      </c>
      <c r="S55" s="232">
        <v>129711</v>
      </c>
      <c r="T55" s="233">
        <v>1336675</v>
      </c>
    </row>
    <row r="56" spans="1:21" x14ac:dyDescent="0.15">
      <c r="A56" s="172">
        <v>25</v>
      </c>
      <c r="B56" s="173">
        <v>37062</v>
      </c>
      <c r="C56" s="174" t="s">
        <v>362</v>
      </c>
      <c r="D56" s="27">
        <v>0</v>
      </c>
      <c r="E56" s="27">
        <v>7</v>
      </c>
      <c r="F56" s="27">
        <v>6</v>
      </c>
      <c r="G56" s="27">
        <v>7</v>
      </c>
      <c r="H56" s="27">
        <v>4</v>
      </c>
      <c r="I56" s="27">
        <v>9</v>
      </c>
      <c r="J56" s="7">
        <v>6</v>
      </c>
      <c r="K56" s="222">
        <v>15045162.5</v>
      </c>
      <c r="L56" s="234" t="s">
        <v>23</v>
      </c>
      <c r="M56" s="224"/>
      <c r="N56" s="225">
        <v>1120122.3999999999</v>
      </c>
      <c r="O56" s="226">
        <v>6</v>
      </c>
      <c r="P56" s="227">
        <v>59</v>
      </c>
      <c r="Q56" s="226">
        <v>528</v>
      </c>
      <c r="R56" s="227">
        <v>5402</v>
      </c>
      <c r="S56" s="226">
        <v>54167</v>
      </c>
      <c r="T56" s="227">
        <v>551928</v>
      </c>
      <c r="U56" s="256"/>
    </row>
    <row r="57" spans="1:21" x14ac:dyDescent="0.15">
      <c r="A57" s="178"/>
      <c r="B57" s="179">
        <v>37065</v>
      </c>
      <c r="C57" s="180" t="s">
        <v>363</v>
      </c>
      <c r="D57" s="19">
        <v>5</v>
      </c>
      <c r="E57" s="19">
        <v>7</v>
      </c>
      <c r="F57" s="19">
        <v>0</v>
      </c>
      <c r="G57" s="19">
        <v>6</v>
      </c>
      <c r="H57" s="19">
        <v>2</v>
      </c>
      <c r="I57" s="19">
        <v>3</v>
      </c>
      <c r="J57" s="13">
        <v>8</v>
      </c>
      <c r="K57" s="229">
        <v>42396872.5</v>
      </c>
      <c r="L57" s="230">
        <v>5</v>
      </c>
      <c r="M57" s="229">
        <v>777777</v>
      </c>
      <c r="N57" s="231">
        <v>245655</v>
      </c>
      <c r="O57" s="232">
        <v>22</v>
      </c>
      <c r="P57" s="233">
        <v>179</v>
      </c>
      <c r="Q57" s="232">
        <v>1799</v>
      </c>
      <c r="R57" s="233">
        <v>17371</v>
      </c>
      <c r="S57" s="232">
        <v>172969</v>
      </c>
      <c r="T57" s="233">
        <v>1701836</v>
      </c>
    </row>
    <row r="58" spans="1:21" x14ac:dyDescent="0.15">
      <c r="A58" s="172">
        <v>26</v>
      </c>
      <c r="B58" s="173">
        <v>37069</v>
      </c>
      <c r="C58" s="174" t="s">
        <v>362</v>
      </c>
      <c r="D58" s="27">
        <v>7</v>
      </c>
      <c r="E58" s="27">
        <v>7</v>
      </c>
      <c r="F58" s="27">
        <v>1</v>
      </c>
      <c r="G58" s="27">
        <v>6</v>
      </c>
      <c r="H58" s="27">
        <v>7</v>
      </c>
      <c r="I58" s="27">
        <v>6</v>
      </c>
      <c r="J58" s="7">
        <v>1</v>
      </c>
      <c r="K58" s="222">
        <v>8197442.5</v>
      </c>
      <c r="L58" s="223">
        <v>2</v>
      </c>
      <c r="M58" s="224">
        <v>377777</v>
      </c>
      <c r="N58" s="225">
        <v>72939.199999999997</v>
      </c>
      <c r="O58" s="226">
        <v>2</v>
      </c>
      <c r="P58" s="227">
        <v>20</v>
      </c>
      <c r="Q58" s="226">
        <v>252</v>
      </c>
      <c r="R58" s="227">
        <v>2617</v>
      </c>
      <c r="S58" s="226">
        <v>25987</v>
      </c>
      <c r="T58" s="227">
        <v>260865</v>
      </c>
    </row>
    <row r="59" spans="1:21" x14ac:dyDescent="0.15">
      <c r="A59" s="178"/>
      <c r="B59" s="179">
        <v>37072</v>
      </c>
      <c r="C59" s="180" t="s">
        <v>363</v>
      </c>
      <c r="D59" s="38">
        <v>9</v>
      </c>
      <c r="E59" s="38">
        <v>2</v>
      </c>
      <c r="F59" s="38">
        <v>9</v>
      </c>
      <c r="G59" s="38">
        <v>2</v>
      </c>
      <c r="H59" s="38">
        <v>5</v>
      </c>
      <c r="I59" s="38">
        <v>0</v>
      </c>
      <c r="J59" s="39">
        <v>3</v>
      </c>
      <c r="K59" s="229">
        <v>27833585</v>
      </c>
      <c r="L59" s="230">
        <v>1</v>
      </c>
      <c r="M59" s="229">
        <v>1977777</v>
      </c>
      <c r="N59" s="231">
        <v>74130</v>
      </c>
      <c r="O59" s="232">
        <v>8</v>
      </c>
      <c r="P59" s="233">
        <v>107</v>
      </c>
      <c r="Q59" s="232">
        <v>932</v>
      </c>
      <c r="R59" s="233">
        <v>9194</v>
      </c>
      <c r="S59" s="232">
        <v>91705</v>
      </c>
      <c r="T59" s="233">
        <v>1080323</v>
      </c>
    </row>
    <row r="60" spans="1:21" x14ac:dyDescent="0.15">
      <c r="A60" s="130"/>
      <c r="B60" s="97"/>
      <c r="C60" s="97"/>
      <c r="D60" s="260"/>
      <c r="E60" s="260"/>
      <c r="F60" s="260"/>
      <c r="G60" s="260"/>
      <c r="H60" s="260"/>
      <c r="I60" s="260" t="s">
        <v>24</v>
      </c>
      <c r="J60" s="260"/>
      <c r="K60" s="270"/>
      <c r="L60" s="259">
        <f>SUM(L8:L59)</f>
        <v>45</v>
      </c>
      <c r="M60" s="271"/>
      <c r="N60" s="259"/>
      <c r="O60" s="259">
        <f t="shared" ref="O60:T60" si="0">SUM(O8:O59)</f>
        <v>385</v>
      </c>
      <c r="P60" s="259">
        <f t="shared" si="0"/>
        <v>3566</v>
      </c>
      <c r="Q60" s="259">
        <f t="shared" si="0"/>
        <v>35364</v>
      </c>
      <c r="R60" s="259">
        <f t="shared" si="0"/>
        <v>355500</v>
      </c>
      <c r="S60" s="259">
        <f t="shared" si="0"/>
        <v>3565970</v>
      </c>
      <c r="T60" s="272">
        <f t="shared" si="0"/>
        <v>35585674</v>
      </c>
    </row>
    <row r="61" spans="1:21" x14ac:dyDescent="0.15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</row>
    <row r="64" spans="1:21" ht="14.1" customHeight="1" x14ac:dyDescent="0.2">
      <c r="A64" s="1" t="s">
        <v>364</v>
      </c>
      <c r="T64" s="3" t="s">
        <v>426</v>
      </c>
    </row>
    <row r="65" spans="1:20" ht="11.1" customHeight="1" x14ac:dyDescent="0.15">
      <c r="A65" s="6" t="s">
        <v>2</v>
      </c>
    </row>
    <row r="66" spans="1:20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0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0" ht="11.1" customHeight="1" x14ac:dyDescent="0.15">
      <c r="A68" s="13" t="s">
        <v>428</v>
      </c>
      <c r="B68" s="14">
        <v>2001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50</v>
      </c>
      <c r="M68" s="18"/>
      <c r="N68" s="13" t="s">
        <v>14</v>
      </c>
      <c r="O68" s="20" t="s">
        <v>51</v>
      </c>
      <c r="P68" s="13" t="s">
        <v>52</v>
      </c>
      <c r="Q68" s="20" t="s">
        <v>53</v>
      </c>
      <c r="R68" s="13" t="s">
        <v>54</v>
      </c>
      <c r="S68" s="20" t="s">
        <v>55</v>
      </c>
      <c r="T68" s="13" t="s">
        <v>56</v>
      </c>
    </row>
    <row r="69" spans="1:20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21" t="s">
        <v>14</v>
      </c>
      <c r="L69" s="22" t="s">
        <v>15</v>
      </c>
      <c r="M69" s="23" t="s">
        <v>14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</row>
    <row r="70" spans="1:20" x14ac:dyDescent="0.15">
      <c r="A70" s="172">
        <v>27</v>
      </c>
      <c r="B70" s="173">
        <v>37076</v>
      </c>
      <c r="C70" s="174" t="s">
        <v>362</v>
      </c>
      <c r="D70" s="27">
        <v>8</v>
      </c>
      <c r="E70" s="27">
        <v>7</v>
      </c>
      <c r="F70" s="27">
        <v>5</v>
      </c>
      <c r="G70" s="27">
        <v>5</v>
      </c>
      <c r="H70" s="27">
        <v>3</v>
      </c>
      <c r="I70" s="27">
        <v>6</v>
      </c>
      <c r="J70" s="7">
        <v>7</v>
      </c>
      <c r="K70" s="222">
        <v>7422650</v>
      </c>
      <c r="L70" s="223" t="s">
        <v>23</v>
      </c>
      <c r="M70" s="224"/>
      <c r="N70" s="225">
        <v>601880.5</v>
      </c>
      <c r="O70" s="226" t="s">
        <v>365</v>
      </c>
      <c r="P70" s="227">
        <v>27</v>
      </c>
      <c r="Q70" s="226">
        <v>272</v>
      </c>
      <c r="R70" s="227">
        <v>2826</v>
      </c>
      <c r="S70" s="226">
        <v>28178</v>
      </c>
      <c r="T70" s="227">
        <v>294165</v>
      </c>
    </row>
    <row r="71" spans="1:20" x14ac:dyDescent="0.15">
      <c r="A71" s="178"/>
      <c r="B71" s="179">
        <v>37079</v>
      </c>
      <c r="C71" s="180" t="s">
        <v>363</v>
      </c>
      <c r="D71" s="19">
        <v>7</v>
      </c>
      <c r="E71" s="19">
        <v>6</v>
      </c>
      <c r="F71" s="19">
        <v>3</v>
      </c>
      <c r="G71" s="19">
        <v>5</v>
      </c>
      <c r="H71" s="19">
        <v>9</v>
      </c>
      <c r="I71" s="19">
        <v>1</v>
      </c>
      <c r="J71" s="13">
        <v>3</v>
      </c>
      <c r="K71" s="229">
        <v>26908692.5</v>
      </c>
      <c r="L71" s="230" t="s">
        <v>23</v>
      </c>
      <c r="M71" s="229"/>
      <c r="N71" s="231">
        <v>2515088.5</v>
      </c>
      <c r="O71" s="232">
        <v>7</v>
      </c>
      <c r="P71" s="233">
        <v>122</v>
      </c>
      <c r="Q71" s="232">
        <v>1170</v>
      </c>
      <c r="R71" s="233">
        <v>11899</v>
      </c>
      <c r="S71" s="232">
        <v>118648</v>
      </c>
      <c r="T71" s="233">
        <v>1012548</v>
      </c>
    </row>
    <row r="72" spans="1:20" x14ac:dyDescent="0.15">
      <c r="A72" s="172">
        <v>28</v>
      </c>
      <c r="B72" s="173">
        <v>37083</v>
      </c>
      <c r="C72" s="174" t="s">
        <v>362</v>
      </c>
      <c r="D72" s="27">
        <v>1</v>
      </c>
      <c r="E72" s="27">
        <v>4</v>
      </c>
      <c r="F72" s="27">
        <v>4</v>
      </c>
      <c r="G72" s="27">
        <v>3</v>
      </c>
      <c r="H72" s="27">
        <v>5</v>
      </c>
      <c r="I72" s="27">
        <v>3</v>
      </c>
      <c r="J72" s="7">
        <v>1</v>
      </c>
      <c r="K72" s="222">
        <v>7527965</v>
      </c>
      <c r="L72" s="223" t="s">
        <v>23</v>
      </c>
      <c r="M72" s="224"/>
      <c r="N72" s="225">
        <v>3050326.8</v>
      </c>
      <c r="O72" s="226">
        <v>3</v>
      </c>
      <c r="P72" s="227">
        <v>21</v>
      </c>
      <c r="Q72" s="226">
        <v>233</v>
      </c>
      <c r="R72" s="227">
        <v>2421</v>
      </c>
      <c r="S72" s="226">
        <v>24103</v>
      </c>
      <c r="T72" s="227">
        <v>237405</v>
      </c>
    </row>
    <row r="73" spans="1:20" x14ac:dyDescent="0.15">
      <c r="A73" s="178"/>
      <c r="B73" s="179">
        <v>37086</v>
      </c>
      <c r="C73" s="180" t="s">
        <v>363</v>
      </c>
      <c r="D73" s="19">
        <v>1</v>
      </c>
      <c r="E73" s="19">
        <v>1</v>
      </c>
      <c r="F73" s="19">
        <v>6</v>
      </c>
      <c r="G73" s="19">
        <v>6</v>
      </c>
      <c r="H73" s="19">
        <v>8</v>
      </c>
      <c r="I73" s="19">
        <v>9</v>
      </c>
      <c r="J73" s="13">
        <v>2</v>
      </c>
      <c r="K73" s="229">
        <v>27328475</v>
      </c>
      <c r="L73" s="230" t="s">
        <v>23</v>
      </c>
      <c r="M73" s="229"/>
      <c r="N73" s="231">
        <v>4993381.4000000004</v>
      </c>
      <c r="O73" s="232">
        <v>6</v>
      </c>
      <c r="P73" s="233">
        <v>93</v>
      </c>
      <c r="Q73" s="232">
        <v>885</v>
      </c>
      <c r="R73" s="233">
        <v>8950</v>
      </c>
      <c r="S73" s="232">
        <v>88165</v>
      </c>
      <c r="T73" s="233">
        <v>887203</v>
      </c>
    </row>
    <row r="74" spans="1:20" x14ac:dyDescent="0.15">
      <c r="A74" s="172">
        <v>29</v>
      </c>
      <c r="B74" s="173">
        <v>37090</v>
      </c>
      <c r="C74" s="174" t="s">
        <v>362</v>
      </c>
      <c r="D74" s="27">
        <v>0</v>
      </c>
      <c r="E74" s="27">
        <v>8</v>
      </c>
      <c r="F74" s="27">
        <v>4</v>
      </c>
      <c r="G74" s="27">
        <v>5</v>
      </c>
      <c r="H74" s="27">
        <v>8</v>
      </c>
      <c r="I74" s="27">
        <v>6</v>
      </c>
      <c r="J74" s="7">
        <v>1</v>
      </c>
      <c r="K74" s="222">
        <v>7368000</v>
      </c>
      <c r="L74" s="223" t="s">
        <v>23</v>
      </c>
      <c r="M74" s="224"/>
      <c r="N74" s="225">
        <v>5517246.2000000002</v>
      </c>
      <c r="O74" s="226">
        <v>2</v>
      </c>
      <c r="P74" s="227">
        <v>16</v>
      </c>
      <c r="Q74" s="226">
        <v>241</v>
      </c>
      <c r="R74" s="227">
        <v>2323</v>
      </c>
      <c r="S74" s="226">
        <v>23429</v>
      </c>
      <c r="T74" s="227">
        <v>234031</v>
      </c>
    </row>
    <row r="75" spans="1:20" x14ac:dyDescent="0.15">
      <c r="A75" s="178"/>
      <c r="B75" s="179">
        <v>37093</v>
      </c>
      <c r="C75" s="180" t="s">
        <v>363</v>
      </c>
      <c r="D75" s="19">
        <v>9</v>
      </c>
      <c r="E75" s="19">
        <v>7</v>
      </c>
      <c r="F75" s="19">
        <v>9</v>
      </c>
      <c r="G75" s="19">
        <v>5</v>
      </c>
      <c r="H75" s="19">
        <v>9</v>
      </c>
      <c r="I75" s="19">
        <v>3</v>
      </c>
      <c r="J75" s="13">
        <v>4</v>
      </c>
      <c r="K75" s="229">
        <v>26932402.5</v>
      </c>
      <c r="L75" s="230" t="s">
        <v>23</v>
      </c>
      <c r="M75" s="229"/>
      <c r="N75" s="231">
        <v>7432140</v>
      </c>
      <c r="O75" s="232">
        <v>8</v>
      </c>
      <c r="P75" s="233">
        <v>88</v>
      </c>
      <c r="Q75" s="232">
        <v>942</v>
      </c>
      <c r="R75" s="233">
        <v>9089</v>
      </c>
      <c r="S75" s="232">
        <v>90242</v>
      </c>
      <c r="T75" s="233">
        <v>899769</v>
      </c>
    </row>
    <row r="76" spans="1:20" x14ac:dyDescent="0.15">
      <c r="A76" s="172">
        <v>30</v>
      </c>
      <c r="B76" s="173">
        <v>37097</v>
      </c>
      <c r="C76" s="174" t="s">
        <v>362</v>
      </c>
      <c r="D76" s="27">
        <v>5</v>
      </c>
      <c r="E76" s="27">
        <v>3</v>
      </c>
      <c r="F76" s="27">
        <v>1</v>
      </c>
      <c r="G76" s="27">
        <v>0</v>
      </c>
      <c r="H76" s="27">
        <v>8</v>
      </c>
      <c r="I76" s="27">
        <v>3</v>
      </c>
      <c r="J76" s="7">
        <v>6</v>
      </c>
      <c r="K76" s="222">
        <v>7067592.5</v>
      </c>
      <c r="L76" s="223" t="s">
        <v>23</v>
      </c>
      <c r="M76" s="224"/>
      <c r="N76" s="225">
        <v>7934645.7999999998</v>
      </c>
      <c r="O76" s="226">
        <v>3</v>
      </c>
      <c r="P76" s="227">
        <v>22</v>
      </c>
      <c r="Q76" s="226">
        <v>281</v>
      </c>
      <c r="R76" s="227">
        <v>2710</v>
      </c>
      <c r="S76" s="226">
        <v>26494</v>
      </c>
      <c r="T76" s="227">
        <v>258550</v>
      </c>
    </row>
    <row r="77" spans="1:20" x14ac:dyDescent="0.15">
      <c r="A77" s="178"/>
      <c r="B77" s="179">
        <v>37100</v>
      </c>
      <c r="C77" s="180" t="s">
        <v>363</v>
      </c>
      <c r="D77" s="19">
        <v>9</v>
      </c>
      <c r="E77" s="19">
        <v>2</v>
      </c>
      <c r="F77" s="19">
        <v>9</v>
      </c>
      <c r="G77" s="19">
        <v>7</v>
      </c>
      <c r="H77" s="19">
        <v>7</v>
      </c>
      <c r="I77" s="19">
        <v>6</v>
      </c>
      <c r="J77" s="13">
        <v>2</v>
      </c>
      <c r="K77" s="229">
        <v>25956267.5</v>
      </c>
      <c r="L77" s="230" t="s">
        <v>23</v>
      </c>
      <c r="M77" s="229"/>
      <c r="N77" s="231">
        <v>9780136.4000000004</v>
      </c>
      <c r="O77" s="232">
        <v>5</v>
      </c>
      <c r="P77" s="233">
        <v>86</v>
      </c>
      <c r="Q77" s="232">
        <v>810</v>
      </c>
      <c r="R77" s="233">
        <v>8546</v>
      </c>
      <c r="S77" s="232">
        <v>85368</v>
      </c>
      <c r="T77" s="233">
        <v>846896</v>
      </c>
    </row>
    <row r="78" spans="1:20" x14ac:dyDescent="0.15">
      <c r="A78" s="172">
        <v>31</v>
      </c>
      <c r="B78" s="173">
        <v>37104</v>
      </c>
      <c r="C78" s="174" t="s">
        <v>362</v>
      </c>
      <c r="D78" s="27">
        <v>3</v>
      </c>
      <c r="E78" s="27">
        <v>5</v>
      </c>
      <c r="F78" s="27">
        <v>7</v>
      </c>
      <c r="G78" s="27">
        <v>0</v>
      </c>
      <c r="H78" s="27">
        <v>3</v>
      </c>
      <c r="I78" s="27">
        <v>5</v>
      </c>
      <c r="J78" s="7">
        <v>0</v>
      </c>
      <c r="K78" s="222">
        <v>7333217.5</v>
      </c>
      <c r="L78" s="223">
        <v>1</v>
      </c>
      <c r="M78" s="224">
        <v>10277777</v>
      </c>
      <c r="N78" s="225">
        <v>23751.200000000001</v>
      </c>
      <c r="O78" s="226">
        <v>3</v>
      </c>
      <c r="P78" s="227">
        <v>22</v>
      </c>
      <c r="Q78" s="226">
        <v>215</v>
      </c>
      <c r="R78" s="227">
        <v>2224</v>
      </c>
      <c r="S78" s="226">
        <v>22919</v>
      </c>
      <c r="T78" s="227">
        <v>224006</v>
      </c>
    </row>
    <row r="79" spans="1:20" x14ac:dyDescent="0.15">
      <c r="A79" s="178"/>
      <c r="B79" s="179">
        <v>37107</v>
      </c>
      <c r="C79" s="180" t="s">
        <v>363</v>
      </c>
      <c r="D79" s="19">
        <v>0</v>
      </c>
      <c r="E79" s="19">
        <v>9</v>
      </c>
      <c r="F79" s="19">
        <v>5</v>
      </c>
      <c r="G79" s="19">
        <v>8</v>
      </c>
      <c r="H79" s="19">
        <v>0</v>
      </c>
      <c r="I79" s="19">
        <v>2</v>
      </c>
      <c r="J79" s="13">
        <v>3</v>
      </c>
      <c r="K79" s="229">
        <v>26634107.5</v>
      </c>
      <c r="L79" s="230" t="s">
        <v>23</v>
      </c>
      <c r="M79" s="235"/>
      <c r="N79" s="229">
        <v>1917436.2</v>
      </c>
      <c r="O79" s="232">
        <v>11</v>
      </c>
      <c r="P79" s="233">
        <v>106</v>
      </c>
      <c r="Q79" s="232">
        <v>996</v>
      </c>
      <c r="R79" s="233">
        <v>10170</v>
      </c>
      <c r="S79" s="232">
        <v>106348</v>
      </c>
      <c r="T79" s="233">
        <v>1035275</v>
      </c>
    </row>
    <row r="80" spans="1:20" x14ac:dyDescent="0.15">
      <c r="A80" s="172">
        <v>32</v>
      </c>
      <c r="B80" s="173">
        <v>37111</v>
      </c>
      <c r="C80" s="174" t="s">
        <v>362</v>
      </c>
      <c r="D80" s="27">
        <v>5</v>
      </c>
      <c r="E80" s="27">
        <v>3</v>
      </c>
      <c r="F80" s="27">
        <v>5</v>
      </c>
      <c r="G80" s="27">
        <v>2</v>
      </c>
      <c r="H80" s="27">
        <v>7</v>
      </c>
      <c r="I80" s="27">
        <v>8</v>
      </c>
      <c r="J80" s="7">
        <v>7</v>
      </c>
      <c r="K80" s="222">
        <v>7108007.5</v>
      </c>
      <c r="L80" s="234" t="s">
        <v>23</v>
      </c>
      <c r="M80" s="224"/>
      <c r="N80" s="225">
        <v>2422815.5</v>
      </c>
      <c r="O80" s="236" t="s">
        <v>17</v>
      </c>
      <c r="P80" s="227">
        <v>22</v>
      </c>
      <c r="Q80" s="226">
        <v>283</v>
      </c>
      <c r="R80" s="227">
        <v>2645</v>
      </c>
      <c r="S80" s="226">
        <v>26476</v>
      </c>
      <c r="T80" s="227">
        <v>280739</v>
      </c>
    </row>
    <row r="81" spans="1:20" x14ac:dyDescent="0.15">
      <c r="A81" s="178"/>
      <c r="B81" s="179">
        <v>37114</v>
      </c>
      <c r="C81" s="180" t="s">
        <v>363</v>
      </c>
      <c r="D81" s="19">
        <v>3</v>
      </c>
      <c r="E81" s="19">
        <v>7</v>
      </c>
      <c r="F81" s="19">
        <v>8</v>
      </c>
      <c r="G81" s="19">
        <v>6</v>
      </c>
      <c r="H81" s="19">
        <v>1</v>
      </c>
      <c r="I81" s="19">
        <v>1</v>
      </c>
      <c r="J81" s="13">
        <v>5</v>
      </c>
      <c r="K81" s="229">
        <v>26307992.5</v>
      </c>
      <c r="L81" s="230">
        <v>4</v>
      </c>
      <c r="M81" s="229">
        <v>977777</v>
      </c>
      <c r="N81" s="231">
        <v>382205.8</v>
      </c>
      <c r="O81" s="232">
        <v>9</v>
      </c>
      <c r="P81" s="233">
        <v>109</v>
      </c>
      <c r="Q81" s="232">
        <v>968</v>
      </c>
      <c r="R81" s="233">
        <v>9678</v>
      </c>
      <c r="S81" s="232">
        <v>99908</v>
      </c>
      <c r="T81" s="233">
        <v>1027036</v>
      </c>
    </row>
    <row r="82" spans="1:20" x14ac:dyDescent="0.15">
      <c r="A82" s="172">
        <v>33</v>
      </c>
      <c r="B82" s="173">
        <v>37118</v>
      </c>
      <c r="C82" s="174" t="s">
        <v>362</v>
      </c>
      <c r="D82" s="27">
        <v>1</v>
      </c>
      <c r="E82" s="27">
        <v>8</v>
      </c>
      <c r="F82" s="27">
        <v>8</v>
      </c>
      <c r="G82" s="27">
        <v>0</v>
      </c>
      <c r="H82" s="27">
        <v>5</v>
      </c>
      <c r="I82" s="27">
        <v>4</v>
      </c>
      <c r="J82" s="7">
        <v>9</v>
      </c>
      <c r="K82" s="222">
        <v>7061637.5</v>
      </c>
      <c r="L82" s="223" t="s">
        <v>23</v>
      </c>
      <c r="N82" s="225">
        <v>884288.2</v>
      </c>
      <c r="O82" s="226">
        <v>3</v>
      </c>
      <c r="P82" s="227">
        <v>33</v>
      </c>
      <c r="Q82" s="226">
        <v>286</v>
      </c>
      <c r="R82" s="227">
        <v>2637</v>
      </c>
      <c r="S82" s="226">
        <v>26645</v>
      </c>
      <c r="T82" s="227">
        <v>251442</v>
      </c>
    </row>
    <row r="83" spans="1:20" x14ac:dyDescent="0.15">
      <c r="A83" s="178"/>
      <c r="B83" s="179">
        <v>37121</v>
      </c>
      <c r="C83" s="180" t="s">
        <v>363</v>
      </c>
      <c r="D83" s="19">
        <v>3</v>
      </c>
      <c r="E83" s="19">
        <v>1</v>
      </c>
      <c r="F83" s="19">
        <v>2</v>
      </c>
      <c r="G83" s="19">
        <v>7</v>
      </c>
      <c r="H83" s="19">
        <v>6</v>
      </c>
      <c r="I83" s="19">
        <v>4</v>
      </c>
      <c r="J83" s="13">
        <v>4</v>
      </c>
      <c r="K83" s="229">
        <v>26575322.5</v>
      </c>
      <c r="L83" s="230" t="s">
        <v>23</v>
      </c>
      <c r="M83" s="229"/>
      <c r="N83" s="231">
        <v>2773793.6</v>
      </c>
      <c r="O83" s="232">
        <v>8</v>
      </c>
      <c r="P83" s="233">
        <v>96</v>
      </c>
      <c r="Q83" s="232">
        <v>936</v>
      </c>
      <c r="R83" s="233">
        <v>9191</v>
      </c>
      <c r="S83" s="232">
        <v>91895</v>
      </c>
      <c r="T83" s="233">
        <v>879020</v>
      </c>
    </row>
    <row r="84" spans="1:20" x14ac:dyDescent="0.15">
      <c r="A84" s="172">
        <v>34</v>
      </c>
      <c r="B84" s="173">
        <v>37125</v>
      </c>
      <c r="C84" s="174" t="s">
        <v>362</v>
      </c>
      <c r="D84" s="27">
        <v>8</v>
      </c>
      <c r="E84" s="27">
        <v>4</v>
      </c>
      <c r="F84" s="27">
        <v>4</v>
      </c>
      <c r="G84" s="27">
        <v>6</v>
      </c>
      <c r="H84" s="27">
        <v>5</v>
      </c>
      <c r="I84" s="27">
        <v>4</v>
      </c>
      <c r="J84" s="7">
        <v>5</v>
      </c>
      <c r="K84" s="222">
        <v>7863922.5</v>
      </c>
      <c r="L84" s="223" t="s">
        <v>23</v>
      </c>
      <c r="M84" s="224"/>
      <c r="N84" s="225">
        <v>3332918.5</v>
      </c>
      <c r="O84" s="226">
        <v>3</v>
      </c>
      <c r="P84" s="227">
        <v>31</v>
      </c>
      <c r="Q84" s="226">
        <v>309</v>
      </c>
      <c r="R84" s="227">
        <v>3337</v>
      </c>
      <c r="S84" s="226">
        <v>31655</v>
      </c>
      <c r="T84" s="227">
        <v>312997</v>
      </c>
    </row>
    <row r="85" spans="1:20" x14ac:dyDescent="0.15">
      <c r="A85" s="178"/>
      <c r="B85" s="179">
        <v>37128</v>
      </c>
      <c r="C85" s="180" t="s">
        <v>363</v>
      </c>
      <c r="D85" s="19">
        <v>1</v>
      </c>
      <c r="E85" s="19">
        <v>4</v>
      </c>
      <c r="F85" s="19">
        <v>3</v>
      </c>
      <c r="G85" s="19">
        <v>6</v>
      </c>
      <c r="H85" s="19">
        <v>7</v>
      </c>
      <c r="I85" s="19">
        <v>1</v>
      </c>
      <c r="J85" s="13">
        <v>3</v>
      </c>
      <c r="K85" s="229">
        <v>27720060</v>
      </c>
      <c r="L85" s="230">
        <v>2</v>
      </c>
      <c r="M85" s="229">
        <v>2577777</v>
      </c>
      <c r="N85" s="231">
        <v>148260.79999999999</v>
      </c>
      <c r="O85" s="232">
        <v>14</v>
      </c>
      <c r="P85" s="233">
        <v>114</v>
      </c>
      <c r="Q85" s="232">
        <v>1264</v>
      </c>
      <c r="R85" s="233">
        <v>12858</v>
      </c>
      <c r="S85" s="232">
        <v>126108</v>
      </c>
      <c r="T85" s="233">
        <v>1071267</v>
      </c>
    </row>
    <row r="86" spans="1:20" x14ac:dyDescent="0.15">
      <c r="A86" s="172">
        <v>35</v>
      </c>
      <c r="B86" s="173">
        <v>37132</v>
      </c>
      <c r="C86" s="174" t="s">
        <v>362</v>
      </c>
      <c r="D86" s="27">
        <v>6</v>
      </c>
      <c r="E86" s="27">
        <v>1</v>
      </c>
      <c r="F86" s="27">
        <v>5</v>
      </c>
      <c r="G86" s="27">
        <v>5</v>
      </c>
      <c r="H86" s="27">
        <v>1</v>
      </c>
      <c r="I86" s="27">
        <v>5</v>
      </c>
      <c r="J86" s="7">
        <v>3</v>
      </c>
      <c r="K86" s="222">
        <v>9959030</v>
      </c>
      <c r="L86" s="223" t="s">
        <v>23</v>
      </c>
      <c r="M86" s="224"/>
      <c r="N86" s="225">
        <v>856347.8</v>
      </c>
      <c r="O86" s="226">
        <v>5</v>
      </c>
      <c r="P86" s="227">
        <v>38</v>
      </c>
      <c r="Q86" s="226">
        <v>389</v>
      </c>
      <c r="R86" s="227">
        <v>3876</v>
      </c>
      <c r="S86" s="226">
        <v>38434</v>
      </c>
      <c r="T86" s="227">
        <v>380344</v>
      </c>
    </row>
    <row r="87" spans="1:20" x14ac:dyDescent="0.15">
      <c r="A87" s="178"/>
      <c r="B87" s="179">
        <v>37135</v>
      </c>
      <c r="C87" s="180" t="s">
        <v>363</v>
      </c>
      <c r="D87" s="19">
        <v>2</v>
      </c>
      <c r="E87" s="19">
        <v>8</v>
      </c>
      <c r="F87" s="19">
        <v>6</v>
      </c>
      <c r="G87" s="19">
        <v>4</v>
      </c>
      <c r="H87" s="19">
        <v>7</v>
      </c>
      <c r="I87" s="19">
        <v>4</v>
      </c>
      <c r="J87" s="13">
        <v>4</v>
      </c>
      <c r="K87" s="229">
        <v>27166917.5</v>
      </c>
      <c r="L87" s="230">
        <v>3</v>
      </c>
      <c r="M87" s="229">
        <v>877777</v>
      </c>
      <c r="N87" s="231">
        <v>154584.6</v>
      </c>
      <c r="O87" s="232">
        <v>11</v>
      </c>
      <c r="P87" s="233">
        <v>91</v>
      </c>
      <c r="Q87" s="232">
        <v>952</v>
      </c>
      <c r="R87" s="233">
        <v>9526</v>
      </c>
      <c r="S87" s="232">
        <v>95104</v>
      </c>
      <c r="T87" s="233">
        <v>905929</v>
      </c>
    </row>
    <row r="88" spans="1:20" x14ac:dyDescent="0.15">
      <c r="A88" s="172">
        <v>36</v>
      </c>
      <c r="B88" s="173">
        <v>37139</v>
      </c>
      <c r="C88" s="174" t="s">
        <v>362</v>
      </c>
      <c r="D88" s="27">
        <v>2</v>
      </c>
      <c r="E88" s="27">
        <v>0</v>
      </c>
      <c r="F88" s="27">
        <v>5</v>
      </c>
      <c r="G88" s="27">
        <v>4</v>
      </c>
      <c r="H88" s="27">
        <v>3</v>
      </c>
      <c r="I88" s="27">
        <v>3</v>
      </c>
      <c r="J88" s="7">
        <v>9</v>
      </c>
      <c r="K88" s="222">
        <v>7666785</v>
      </c>
      <c r="L88" s="223" t="s">
        <v>23</v>
      </c>
      <c r="M88" s="224"/>
      <c r="N88" s="225">
        <v>699693</v>
      </c>
      <c r="O88" s="226">
        <v>2</v>
      </c>
      <c r="P88" s="227">
        <v>39</v>
      </c>
      <c r="Q88" s="226">
        <v>284</v>
      </c>
      <c r="R88" s="227">
        <v>2686</v>
      </c>
      <c r="S88" s="226">
        <v>27464</v>
      </c>
      <c r="T88" s="227">
        <v>273261</v>
      </c>
    </row>
    <row r="89" spans="1:20" x14ac:dyDescent="0.15">
      <c r="A89" s="178"/>
      <c r="B89" s="179">
        <v>37142</v>
      </c>
      <c r="C89" s="180" t="s">
        <v>363</v>
      </c>
      <c r="D89" s="19">
        <v>3</v>
      </c>
      <c r="E89" s="19">
        <v>8</v>
      </c>
      <c r="F89" s="19">
        <v>1</v>
      </c>
      <c r="G89" s="19">
        <v>6</v>
      </c>
      <c r="H89" s="19">
        <v>1</v>
      </c>
      <c r="I89" s="19">
        <v>4</v>
      </c>
      <c r="J89" s="13">
        <v>3</v>
      </c>
      <c r="K89" s="229">
        <v>29138027.5</v>
      </c>
      <c r="L89" s="230">
        <v>2</v>
      </c>
      <c r="M89" s="229">
        <v>1377777</v>
      </c>
      <c r="N89" s="231">
        <v>15852.8</v>
      </c>
      <c r="O89" s="232">
        <v>18</v>
      </c>
      <c r="P89" s="233">
        <v>111</v>
      </c>
      <c r="Q89" s="232">
        <v>1286</v>
      </c>
      <c r="R89" s="233">
        <v>11658</v>
      </c>
      <c r="S89" s="232">
        <v>115846</v>
      </c>
      <c r="T89" s="233">
        <v>1152124</v>
      </c>
    </row>
    <row r="90" spans="1:20" x14ac:dyDescent="0.15">
      <c r="A90" s="172">
        <v>37</v>
      </c>
      <c r="B90" s="173">
        <v>37146</v>
      </c>
      <c r="C90" s="174" t="s">
        <v>362</v>
      </c>
      <c r="D90" s="27">
        <v>1</v>
      </c>
      <c r="E90" s="27">
        <v>3</v>
      </c>
      <c r="F90" s="27">
        <v>7</v>
      </c>
      <c r="G90" s="27">
        <v>6</v>
      </c>
      <c r="H90" s="27">
        <v>8</v>
      </c>
      <c r="I90" s="27">
        <v>1</v>
      </c>
      <c r="J90" s="7">
        <v>5</v>
      </c>
      <c r="K90" s="222">
        <v>8789092.5</v>
      </c>
      <c r="L90" s="223">
        <v>2</v>
      </c>
      <c r="M90" s="224">
        <v>377777</v>
      </c>
      <c r="N90" s="225">
        <v>0</v>
      </c>
      <c r="O90" s="226">
        <v>5</v>
      </c>
      <c r="P90" s="227">
        <v>38</v>
      </c>
      <c r="Q90" s="226">
        <v>354</v>
      </c>
      <c r="R90" s="227">
        <v>3345</v>
      </c>
      <c r="S90" s="226">
        <v>33682</v>
      </c>
      <c r="T90" s="227">
        <v>350573</v>
      </c>
    </row>
    <row r="91" spans="1:20" x14ac:dyDescent="0.15">
      <c r="A91" s="178"/>
      <c r="B91" s="179">
        <v>37149</v>
      </c>
      <c r="C91" s="180" t="s">
        <v>363</v>
      </c>
      <c r="D91" s="19">
        <v>3</v>
      </c>
      <c r="E91" s="19">
        <v>3</v>
      </c>
      <c r="F91" s="19">
        <v>6</v>
      </c>
      <c r="G91" s="19">
        <v>4</v>
      </c>
      <c r="H91" s="19">
        <v>9</v>
      </c>
      <c r="I91" s="19">
        <v>9</v>
      </c>
      <c r="J91" s="13">
        <v>1</v>
      </c>
      <c r="K91" s="229">
        <v>28307475</v>
      </c>
      <c r="L91" s="230">
        <v>1</v>
      </c>
      <c r="M91" s="229">
        <v>1977777</v>
      </c>
      <c r="N91" s="231">
        <v>34884.5</v>
      </c>
      <c r="O91" s="232">
        <v>12</v>
      </c>
      <c r="P91" s="233">
        <v>90</v>
      </c>
      <c r="Q91" s="232">
        <v>865</v>
      </c>
      <c r="R91" s="233">
        <v>8166</v>
      </c>
      <c r="S91" s="232">
        <v>83168</v>
      </c>
      <c r="T91" s="233">
        <v>857645</v>
      </c>
    </row>
    <row r="92" spans="1:20" x14ac:dyDescent="0.15">
      <c r="A92" s="172">
        <v>38</v>
      </c>
      <c r="B92" s="173">
        <v>37153</v>
      </c>
      <c r="C92" s="174" t="s">
        <v>362</v>
      </c>
      <c r="D92" s="27">
        <v>4</v>
      </c>
      <c r="E92" s="27">
        <v>1</v>
      </c>
      <c r="F92" s="27">
        <v>7</v>
      </c>
      <c r="G92" s="27">
        <v>7</v>
      </c>
      <c r="H92" s="27">
        <v>6</v>
      </c>
      <c r="I92" s="27">
        <v>3</v>
      </c>
      <c r="J92" s="7">
        <v>8</v>
      </c>
      <c r="K92" s="222">
        <v>9960595</v>
      </c>
      <c r="L92" s="223">
        <v>1</v>
      </c>
      <c r="M92" s="224">
        <v>677777</v>
      </c>
      <c r="N92" s="225">
        <v>65305.8</v>
      </c>
      <c r="O92" s="226">
        <v>4</v>
      </c>
      <c r="P92" s="227">
        <v>38</v>
      </c>
      <c r="Q92" s="226">
        <v>437</v>
      </c>
      <c r="R92" s="227">
        <v>4089</v>
      </c>
      <c r="S92" s="226">
        <v>40061</v>
      </c>
      <c r="T92" s="227">
        <v>389270</v>
      </c>
    </row>
    <row r="93" spans="1:20" x14ac:dyDescent="0.15">
      <c r="A93" s="178"/>
      <c r="B93" s="179">
        <v>37156</v>
      </c>
      <c r="C93" s="180" t="s">
        <v>363</v>
      </c>
      <c r="D93" s="19">
        <v>0</v>
      </c>
      <c r="E93" s="19">
        <v>3</v>
      </c>
      <c r="F93" s="19">
        <v>4</v>
      </c>
      <c r="G93" s="19">
        <v>2</v>
      </c>
      <c r="H93" s="19">
        <v>4</v>
      </c>
      <c r="I93" s="19">
        <v>3</v>
      </c>
      <c r="J93" s="13">
        <v>4</v>
      </c>
      <c r="K93" s="229">
        <v>26993015</v>
      </c>
      <c r="L93" s="230" t="s">
        <v>23</v>
      </c>
      <c r="M93" s="229"/>
      <c r="N93" s="231">
        <v>1984509.2</v>
      </c>
      <c r="O93" s="232">
        <v>7</v>
      </c>
      <c r="P93" s="233">
        <v>98</v>
      </c>
      <c r="Q93" s="232">
        <v>905</v>
      </c>
      <c r="R93" s="233">
        <v>9242</v>
      </c>
      <c r="S93" s="232">
        <v>92073</v>
      </c>
      <c r="T93" s="233">
        <v>910385</v>
      </c>
    </row>
    <row r="94" spans="1:20" x14ac:dyDescent="0.15">
      <c r="A94" s="172">
        <v>39</v>
      </c>
      <c r="B94" s="173">
        <v>37160</v>
      </c>
      <c r="C94" s="174" t="s">
        <v>362</v>
      </c>
      <c r="D94" s="27">
        <v>7</v>
      </c>
      <c r="E94" s="27">
        <v>8</v>
      </c>
      <c r="F94" s="27">
        <v>8</v>
      </c>
      <c r="G94" s="27">
        <v>8</v>
      </c>
      <c r="H94" s="27">
        <v>8</v>
      </c>
      <c r="I94" s="27">
        <v>0</v>
      </c>
      <c r="J94" s="7">
        <v>6</v>
      </c>
      <c r="K94" s="222">
        <v>7552087.5</v>
      </c>
      <c r="L94" s="223">
        <v>1</v>
      </c>
      <c r="M94" s="224">
        <v>2477777</v>
      </c>
      <c r="N94" s="225">
        <v>43685.599999999999</v>
      </c>
      <c r="O94" s="226">
        <v>1</v>
      </c>
      <c r="P94" s="227">
        <v>30</v>
      </c>
      <c r="Q94" s="226">
        <v>247</v>
      </c>
      <c r="R94" s="227">
        <v>2473</v>
      </c>
      <c r="S94" s="226">
        <v>24089</v>
      </c>
      <c r="T94" s="227">
        <v>280502</v>
      </c>
    </row>
    <row r="95" spans="1:20" x14ac:dyDescent="0.15">
      <c r="A95" s="178"/>
      <c r="B95" s="179">
        <v>37163</v>
      </c>
      <c r="C95" s="180" t="s">
        <v>363</v>
      </c>
      <c r="D95" s="19">
        <v>0</v>
      </c>
      <c r="E95" s="19">
        <v>4</v>
      </c>
      <c r="F95" s="19">
        <v>8</v>
      </c>
      <c r="G95" s="19">
        <v>9</v>
      </c>
      <c r="H95" s="19">
        <v>7</v>
      </c>
      <c r="I95" s="19">
        <v>6</v>
      </c>
      <c r="J95" s="13">
        <v>7</v>
      </c>
      <c r="K95" s="229">
        <v>26757322.5</v>
      </c>
      <c r="L95" s="230">
        <v>1</v>
      </c>
      <c r="M95" s="229">
        <v>1877777</v>
      </c>
      <c r="N95" s="231">
        <v>68354.2</v>
      </c>
      <c r="O95" s="232">
        <v>18</v>
      </c>
      <c r="P95" s="233">
        <v>106</v>
      </c>
      <c r="Q95" s="232">
        <v>1057</v>
      </c>
      <c r="R95" s="233">
        <v>10329</v>
      </c>
      <c r="S95" s="232">
        <v>101537</v>
      </c>
      <c r="T95" s="233">
        <v>1032060</v>
      </c>
    </row>
    <row r="96" spans="1:20" x14ac:dyDescent="0.15">
      <c r="A96" s="172">
        <v>40</v>
      </c>
      <c r="B96" s="173">
        <v>37167</v>
      </c>
      <c r="C96" s="174" t="s">
        <v>362</v>
      </c>
      <c r="D96" s="27">
        <v>0</v>
      </c>
      <c r="E96" s="27">
        <v>3</v>
      </c>
      <c r="F96" s="27">
        <v>2</v>
      </c>
      <c r="G96" s="27">
        <v>5</v>
      </c>
      <c r="H96" s="27">
        <v>1</v>
      </c>
      <c r="I96" s="27">
        <v>1</v>
      </c>
      <c r="J96" s="7">
        <v>7</v>
      </c>
      <c r="K96" s="222">
        <v>8093165</v>
      </c>
      <c r="L96" s="223">
        <v>1</v>
      </c>
      <c r="M96" s="224">
        <v>577777</v>
      </c>
      <c r="N96" s="225">
        <v>66001.2</v>
      </c>
      <c r="O96" s="226">
        <v>3</v>
      </c>
      <c r="P96" s="227">
        <v>33</v>
      </c>
      <c r="Q96" s="226">
        <v>308</v>
      </c>
      <c r="R96" s="227">
        <v>3025</v>
      </c>
      <c r="S96" s="226">
        <v>31931</v>
      </c>
      <c r="T96" s="227">
        <v>313905</v>
      </c>
    </row>
    <row r="97" spans="1:20" x14ac:dyDescent="0.15">
      <c r="A97" s="178"/>
      <c r="B97" s="179">
        <v>37170</v>
      </c>
      <c r="C97" s="180" t="s">
        <v>363</v>
      </c>
      <c r="D97" s="19">
        <v>0</v>
      </c>
      <c r="E97" s="19">
        <v>3</v>
      </c>
      <c r="F97" s="19">
        <v>2</v>
      </c>
      <c r="G97" s="19">
        <v>5</v>
      </c>
      <c r="H97" s="19">
        <v>8</v>
      </c>
      <c r="I97" s="19">
        <v>4</v>
      </c>
      <c r="J97" s="13">
        <v>5</v>
      </c>
      <c r="K97" s="229">
        <v>29172580</v>
      </c>
      <c r="L97" s="230">
        <v>2</v>
      </c>
      <c r="M97" s="229">
        <v>977777</v>
      </c>
      <c r="N97" s="231">
        <v>184617.60000000001</v>
      </c>
      <c r="O97" s="232">
        <v>17</v>
      </c>
      <c r="P97" s="233">
        <v>118</v>
      </c>
      <c r="Q97" s="232">
        <v>1166</v>
      </c>
      <c r="R97" s="233">
        <v>11913</v>
      </c>
      <c r="S97" s="232">
        <v>117254</v>
      </c>
      <c r="T97" s="233">
        <v>1144770</v>
      </c>
    </row>
    <row r="98" spans="1:20" x14ac:dyDescent="0.15">
      <c r="A98" s="172">
        <v>41</v>
      </c>
      <c r="B98" s="173">
        <v>37174</v>
      </c>
      <c r="C98" s="174" t="s">
        <v>362</v>
      </c>
      <c r="D98" s="27">
        <v>4</v>
      </c>
      <c r="E98" s="27">
        <v>4</v>
      </c>
      <c r="F98" s="27">
        <v>7</v>
      </c>
      <c r="G98" s="27">
        <v>2</v>
      </c>
      <c r="H98" s="27">
        <v>7</v>
      </c>
      <c r="I98" s="27">
        <v>7</v>
      </c>
      <c r="J98" s="7">
        <v>3</v>
      </c>
      <c r="K98" s="222">
        <v>7796895</v>
      </c>
      <c r="L98" s="223" t="s">
        <v>23</v>
      </c>
      <c r="M98" s="224"/>
      <c r="N98" s="225">
        <v>738976.8</v>
      </c>
      <c r="O98" s="226">
        <v>2</v>
      </c>
      <c r="P98" s="227">
        <v>28</v>
      </c>
      <c r="Q98" s="226">
        <v>299</v>
      </c>
      <c r="R98" s="227">
        <v>2827</v>
      </c>
      <c r="S98" s="226">
        <v>29183</v>
      </c>
      <c r="T98" s="227">
        <v>302470</v>
      </c>
    </row>
    <row r="99" spans="1:20" x14ac:dyDescent="0.15">
      <c r="A99" s="178"/>
      <c r="B99" s="179">
        <v>37177</v>
      </c>
      <c r="C99" s="180" t="s">
        <v>363</v>
      </c>
      <c r="D99" s="19">
        <v>8</v>
      </c>
      <c r="E99" s="19">
        <v>8</v>
      </c>
      <c r="F99" s="19">
        <v>5</v>
      </c>
      <c r="G99" s="19">
        <v>9</v>
      </c>
      <c r="H99" s="19">
        <v>4</v>
      </c>
      <c r="I99" s="19">
        <v>6</v>
      </c>
      <c r="J99" s="13">
        <v>2</v>
      </c>
      <c r="K99" s="229">
        <v>26813052.5</v>
      </c>
      <c r="L99" s="230">
        <v>1</v>
      </c>
      <c r="M99" s="229">
        <v>2577777</v>
      </c>
      <c r="N99" s="231">
        <v>67607.8</v>
      </c>
      <c r="O99" s="232">
        <v>12</v>
      </c>
      <c r="P99" s="233">
        <v>84</v>
      </c>
      <c r="Q99" s="232">
        <v>923</v>
      </c>
      <c r="R99" s="233">
        <v>9125</v>
      </c>
      <c r="S99" s="232">
        <v>88527</v>
      </c>
      <c r="T99" s="233">
        <v>873517</v>
      </c>
    </row>
    <row r="100" spans="1:20" x14ac:dyDescent="0.15">
      <c r="A100" s="172">
        <v>42</v>
      </c>
      <c r="B100" s="173">
        <v>37181</v>
      </c>
      <c r="C100" s="174" t="s">
        <v>362</v>
      </c>
      <c r="D100" s="27">
        <v>4</v>
      </c>
      <c r="E100" s="27">
        <v>8</v>
      </c>
      <c r="F100" s="27">
        <v>2</v>
      </c>
      <c r="G100" s="27">
        <v>3</v>
      </c>
      <c r="H100" s="27">
        <v>6</v>
      </c>
      <c r="I100" s="27">
        <v>5</v>
      </c>
      <c r="J100" s="7">
        <v>8</v>
      </c>
      <c r="K100" s="222">
        <v>7541255</v>
      </c>
      <c r="L100" s="234" t="s">
        <v>23</v>
      </c>
      <c r="M100" s="224"/>
      <c r="N100" s="225">
        <v>603791</v>
      </c>
      <c r="O100" s="226" t="s">
        <v>17</v>
      </c>
      <c r="P100" s="227">
        <v>37</v>
      </c>
      <c r="Q100" s="226">
        <v>280</v>
      </c>
      <c r="R100" s="227">
        <v>3097</v>
      </c>
      <c r="S100" s="226">
        <v>30926</v>
      </c>
      <c r="T100" s="227">
        <v>304376</v>
      </c>
    </row>
    <row r="101" spans="1:20" x14ac:dyDescent="0.15">
      <c r="A101" s="178"/>
      <c r="B101" s="179">
        <v>37184</v>
      </c>
      <c r="C101" s="180" t="s">
        <v>363</v>
      </c>
      <c r="D101" s="19">
        <v>5</v>
      </c>
      <c r="E101" s="19">
        <v>6</v>
      </c>
      <c r="F101" s="19">
        <v>3</v>
      </c>
      <c r="G101" s="19">
        <v>5</v>
      </c>
      <c r="H101" s="19">
        <v>2</v>
      </c>
      <c r="I101" s="19">
        <v>9</v>
      </c>
      <c r="J101" s="13">
        <v>5</v>
      </c>
      <c r="K101" s="229">
        <v>26569987.5</v>
      </c>
      <c r="L101" s="237" t="s">
        <v>23</v>
      </c>
      <c r="M101" s="229"/>
      <c r="N101" s="231">
        <v>2492917.1</v>
      </c>
      <c r="O101" s="232">
        <v>8</v>
      </c>
      <c r="P101" s="233">
        <v>98</v>
      </c>
      <c r="Q101" s="232">
        <v>1032</v>
      </c>
      <c r="R101" s="233">
        <v>10271</v>
      </c>
      <c r="S101" s="232">
        <v>102392</v>
      </c>
      <c r="T101" s="233">
        <v>1060010</v>
      </c>
    </row>
    <row r="102" spans="1:20" x14ac:dyDescent="0.15">
      <c r="A102" s="172">
        <v>43</v>
      </c>
      <c r="B102" s="173">
        <v>37188</v>
      </c>
      <c r="C102" s="174" t="s">
        <v>362</v>
      </c>
      <c r="D102" s="27">
        <v>6</v>
      </c>
      <c r="E102" s="27">
        <v>0</v>
      </c>
      <c r="F102" s="27">
        <v>3</v>
      </c>
      <c r="G102" s="27">
        <v>1</v>
      </c>
      <c r="H102" s="27">
        <v>3</v>
      </c>
      <c r="I102" s="27">
        <v>8</v>
      </c>
      <c r="J102" s="7">
        <v>6</v>
      </c>
      <c r="K102" s="222">
        <v>7448292.5</v>
      </c>
      <c r="L102" s="223">
        <v>1</v>
      </c>
      <c r="M102" s="224">
        <v>2977777</v>
      </c>
      <c r="N102" s="225">
        <v>44713.7</v>
      </c>
      <c r="O102" s="226">
        <v>3</v>
      </c>
      <c r="P102" s="227">
        <v>23</v>
      </c>
      <c r="Q102" s="226">
        <v>277</v>
      </c>
      <c r="R102" s="227">
        <v>2722</v>
      </c>
      <c r="S102" s="226">
        <v>26734</v>
      </c>
      <c r="T102" s="227">
        <v>271904</v>
      </c>
    </row>
    <row r="103" spans="1:20" x14ac:dyDescent="0.15">
      <c r="A103" s="178"/>
      <c r="B103" s="179">
        <v>37191</v>
      </c>
      <c r="C103" s="180" t="s">
        <v>363</v>
      </c>
      <c r="D103" s="19">
        <v>4</v>
      </c>
      <c r="E103" s="19">
        <v>3</v>
      </c>
      <c r="F103" s="19">
        <v>5</v>
      </c>
      <c r="G103" s="19">
        <v>3</v>
      </c>
      <c r="H103" s="19">
        <v>6</v>
      </c>
      <c r="I103" s="19">
        <v>7</v>
      </c>
      <c r="J103" s="13">
        <v>9</v>
      </c>
      <c r="K103" s="229">
        <v>26468352.5</v>
      </c>
      <c r="L103" s="237" t="s">
        <v>23</v>
      </c>
      <c r="M103" s="229"/>
      <c r="N103" s="231">
        <v>1926613.6</v>
      </c>
      <c r="O103" s="232">
        <v>12</v>
      </c>
      <c r="P103" s="233">
        <v>88</v>
      </c>
      <c r="Q103" s="232">
        <v>957</v>
      </c>
      <c r="R103" s="233">
        <v>9699</v>
      </c>
      <c r="S103" s="232">
        <v>97643</v>
      </c>
      <c r="T103" s="233">
        <v>978466</v>
      </c>
    </row>
    <row r="104" spans="1:20" x14ac:dyDescent="0.15">
      <c r="A104" s="172">
        <v>44</v>
      </c>
      <c r="B104" s="173">
        <v>37195</v>
      </c>
      <c r="C104" s="174" t="s">
        <v>362</v>
      </c>
      <c r="D104" s="27">
        <v>6</v>
      </c>
      <c r="E104" s="27">
        <v>0</v>
      </c>
      <c r="F104" s="27">
        <v>7</v>
      </c>
      <c r="G104" s="27">
        <v>2</v>
      </c>
      <c r="H104" s="27">
        <v>8</v>
      </c>
      <c r="I104" s="27">
        <v>7</v>
      </c>
      <c r="J104" s="7">
        <v>7</v>
      </c>
      <c r="K104" s="222">
        <v>7953510</v>
      </c>
      <c r="L104" s="223">
        <v>2</v>
      </c>
      <c r="M104" s="224">
        <v>1177777</v>
      </c>
      <c r="N104" s="225">
        <v>136554.20000000001</v>
      </c>
      <c r="O104" s="226">
        <v>4</v>
      </c>
      <c r="P104" s="227">
        <v>32</v>
      </c>
      <c r="Q104" s="226">
        <v>341</v>
      </c>
      <c r="R104" s="227">
        <v>3546</v>
      </c>
      <c r="S104" s="226">
        <v>37625</v>
      </c>
      <c r="T104" s="227">
        <v>310575</v>
      </c>
    </row>
    <row r="105" spans="1:20" x14ac:dyDescent="0.15">
      <c r="A105" s="178"/>
      <c r="B105" s="179">
        <v>37198</v>
      </c>
      <c r="C105" s="180" t="s">
        <v>363</v>
      </c>
      <c r="D105" s="19">
        <v>4</v>
      </c>
      <c r="E105" s="19">
        <v>8</v>
      </c>
      <c r="F105" s="19">
        <v>6</v>
      </c>
      <c r="G105" s="19">
        <v>2</v>
      </c>
      <c r="H105" s="19">
        <v>1</v>
      </c>
      <c r="I105" s="19">
        <v>6</v>
      </c>
      <c r="J105" s="13">
        <v>6</v>
      </c>
      <c r="K105" s="229">
        <v>27614360</v>
      </c>
      <c r="L105" s="230">
        <v>1</v>
      </c>
      <c r="M105" s="229">
        <v>2077777</v>
      </c>
      <c r="N105" s="231">
        <v>22158.2</v>
      </c>
      <c r="O105" s="232">
        <v>9</v>
      </c>
      <c r="P105" s="233">
        <v>99</v>
      </c>
      <c r="Q105" s="232">
        <v>1066</v>
      </c>
      <c r="R105" s="233">
        <v>10502</v>
      </c>
      <c r="S105" s="232">
        <v>105571</v>
      </c>
      <c r="T105" s="233">
        <v>1018364</v>
      </c>
    </row>
    <row r="106" spans="1:20" x14ac:dyDescent="0.15">
      <c r="A106" s="172">
        <v>45</v>
      </c>
      <c r="B106" s="173">
        <v>37202</v>
      </c>
      <c r="C106" s="174" t="s">
        <v>362</v>
      </c>
      <c r="D106" s="27">
        <v>4</v>
      </c>
      <c r="E106" s="27">
        <v>5</v>
      </c>
      <c r="F106" s="27">
        <v>8</v>
      </c>
      <c r="G106" s="27">
        <v>3</v>
      </c>
      <c r="H106" s="27">
        <v>9</v>
      </c>
      <c r="I106" s="27">
        <v>1</v>
      </c>
      <c r="J106" s="7">
        <v>1</v>
      </c>
      <c r="K106" s="222">
        <v>7629775</v>
      </c>
      <c r="L106" s="223">
        <v>1</v>
      </c>
      <c r="M106" s="224">
        <v>477777</v>
      </c>
      <c r="N106" s="225">
        <v>86858.2</v>
      </c>
      <c r="O106" s="226">
        <v>4</v>
      </c>
      <c r="P106" s="227">
        <v>24</v>
      </c>
      <c r="Q106" s="226">
        <v>272</v>
      </c>
      <c r="R106" s="227">
        <v>2704</v>
      </c>
      <c r="S106" s="226">
        <v>26293</v>
      </c>
      <c r="T106" s="227">
        <v>236016</v>
      </c>
    </row>
    <row r="107" spans="1:20" x14ac:dyDescent="0.15">
      <c r="A107" s="178"/>
      <c r="B107" s="179">
        <v>37205</v>
      </c>
      <c r="C107" s="180" t="s">
        <v>363</v>
      </c>
      <c r="D107" s="19">
        <v>0</v>
      </c>
      <c r="E107" s="19">
        <v>1</v>
      </c>
      <c r="F107" s="19">
        <v>5</v>
      </c>
      <c r="G107" s="19">
        <v>9</v>
      </c>
      <c r="H107" s="19">
        <v>5</v>
      </c>
      <c r="I107" s="19">
        <v>5</v>
      </c>
      <c r="J107" s="13">
        <v>0</v>
      </c>
      <c r="K107" s="229">
        <v>26986337.5</v>
      </c>
      <c r="L107" s="230" t="s">
        <v>23</v>
      </c>
      <c r="M107" s="229"/>
      <c r="N107" s="231">
        <v>2005586.8</v>
      </c>
      <c r="O107" s="232">
        <v>12</v>
      </c>
      <c r="P107" s="233">
        <v>85</v>
      </c>
      <c r="Q107" s="232">
        <v>780</v>
      </c>
      <c r="R107" s="233">
        <v>7976</v>
      </c>
      <c r="S107" s="232">
        <v>79771</v>
      </c>
      <c r="T107" s="233">
        <v>769197</v>
      </c>
    </row>
    <row r="108" spans="1:20" x14ac:dyDescent="0.15">
      <c r="A108" s="172">
        <v>46</v>
      </c>
      <c r="B108" s="173">
        <v>37209</v>
      </c>
      <c r="C108" s="174" t="s">
        <v>362</v>
      </c>
      <c r="D108" s="27">
        <v>2</v>
      </c>
      <c r="E108" s="27">
        <v>0</v>
      </c>
      <c r="F108" s="27">
        <v>9</v>
      </c>
      <c r="G108" s="27">
        <v>7</v>
      </c>
      <c r="H108" s="27">
        <v>3</v>
      </c>
      <c r="I108" s="27">
        <v>8</v>
      </c>
      <c r="J108" s="7">
        <v>6</v>
      </c>
      <c r="K108" s="222">
        <v>7961657.5</v>
      </c>
      <c r="L108" s="223">
        <v>1</v>
      </c>
      <c r="M108" s="224">
        <v>2477777</v>
      </c>
      <c r="N108" s="225">
        <v>93883.6</v>
      </c>
      <c r="O108" s="226">
        <v>3</v>
      </c>
      <c r="P108" s="227">
        <v>26</v>
      </c>
      <c r="Q108" s="226">
        <v>295</v>
      </c>
      <c r="R108" s="227">
        <v>2947</v>
      </c>
      <c r="S108" s="226">
        <v>28719</v>
      </c>
      <c r="T108" s="227">
        <v>293261</v>
      </c>
    </row>
    <row r="109" spans="1:20" x14ac:dyDescent="0.15">
      <c r="A109" s="178"/>
      <c r="B109" s="179">
        <v>37212</v>
      </c>
      <c r="C109" s="180" t="s">
        <v>363</v>
      </c>
      <c r="D109" s="19">
        <v>3</v>
      </c>
      <c r="E109" s="19">
        <v>9</v>
      </c>
      <c r="F109" s="19">
        <v>2</v>
      </c>
      <c r="G109" s="19">
        <v>0</v>
      </c>
      <c r="H109" s="19">
        <v>5</v>
      </c>
      <c r="I109" s="19">
        <v>3</v>
      </c>
      <c r="J109" s="13">
        <v>4</v>
      </c>
      <c r="K109" s="229">
        <v>27227862.5</v>
      </c>
      <c r="L109" s="230">
        <v>1</v>
      </c>
      <c r="M109" s="229">
        <v>1977777</v>
      </c>
      <c r="N109" s="231">
        <v>52007.6</v>
      </c>
      <c r="O109" s="232">
        <v>12</v>
      </c>
      <c r="P109" s="233">
        <v>82</v>
      </c>
      <c r="Q109" s="232">
        <v>929</v>
      </c>
      <c r="R109" s="233">
        <v>9567</v>
      </c>
      <c r="S109" s="232">
        <v>93918</v>
      </c>
      <c r="T109" s="233">
        <v>923500</v>
      </c>
    </row>
    <row r="110" spans="1:20" x14ac:dyDescent="0.15">
      <c r="A110" s="172">
        <v>47</v>
      </c>
      <c r="B110" s="173">
        <v>37216</v>
      </c>
      <c r="C110" s="174" t="s">
        <v>362</v>
      </c>
      <c r="D110" s="27">
        <v>4</v>
      </c>
      <c r="E110" s="27">
        <v>4</v>
      </c>
      <c r="F110" s="27">
        <v>1</v>
      </c>
      <c r="G110" s="27">
        <v>4</v>
      </c>
      <c r="H110" s="27">
        <v>3</v>
      </c>
      <c r="I110" s="27">
        <v>7</v>
      </c>
      <c r="J110" s="7">
        <v>3</v>
      </c>
      <c r="K110" s="222">
        <v>7595467.5</v>
      </c>
      <c r="L110" s="223" t="s">
        <v>23</v>
      </c>
      <c r="M110" s="224"/>
      <c r="N110" s="225">
        <v>592045.30000000005</v>
      </c>
      <c r="O110" s="226">
        <v>2</v>
      </c>
      <c r="P110" s="227">
        <v>25</v>
      </c>
      <c r="Q110" s="226">
        <v>291</v>
      </c>
      <c r="R110" s="227">
        <v>2879</v>
      </c>
      <c r="S110" s="226">
        <v>29119</v>
      </c>
      <c r="T110" s="227">
        <v>295519</v>
      </c>
    </row>
    <row r="111" spans="1:20" x14ac:dyDescent="0.15">
      <c r="A111" s="178"/>
      <c r="B111" s="179">
        <v>37219</v>
      </c>
      <c r="C111" s="180" t="s">
        <v>363</v>
      </c>
      <c r="D111" s="19">
        <v>8</v>
      </c>
      <c r="E111" s="19">
        <v>7</v>
      </c>
      <c r="F111" s="19">
        <v>4</v>
      </c>
      <c r="G111" s="19">
        <v>1</v>
      </c>
      <c r="H111" s="19">
        <v>5</v>
      </c>
      <c r="I111" s="19">
        <v>4</v>
      </c>
      <c r="J111" s="13">
        <v>2</v>
      </c>
      <c r="K111" s="229">
        <v>26239197.5</v>
      </c>
      <c r="L111" s="230" t="s">
        <v>23</v>
      </c>
      <c r="M111" s="229"/>
      <c r="N111" s="231">
        <v>2457652.2000000002</v>
      </c>
      <c r="O111" s="232">
        <v>3</v>
      </c>
      <c r="P111" s="233">
        <v>86</v>
      </c>
      <c r="Q111" s="232">
        <v>901</v>
      </c>
      <c r="R111" s="233">
        <v>8716</v>
      </c>
      <c r="S111" s="232">
        <v>87392</v>
      </c>
      <c r="T111" s="233">
        <v>851983</v>
      </c>
    </row>
    <row r="112" spans="1:20" x14ac:dyDescent="0.15">
      <c r="A112" s="172">
        <v>48</v>
      </c>
      <c r="B112" s="173">
        <v>37223</v>
      </c>
      <c r="C112" s="174" t="s">
        <v>362</v>
      </c>
      <c r="D112" s="27">
        <v>3</v>
      </c>
      <c r="E112" s="27">
        <v>1</v>
      </c>
      <c r="F112" s="27">
        <v>5</v>
      </c>
      <c r="G112" s="27">
        <v>8</v>
      </c>
      <c r="H112" s="27">
        <v>9</v>
      </c>
      <c r="I112" s="27">
        <v>6</v>
      </c>
      <c r="J112" s="7">
        <v>4</v>
      </c>
      <c r="K112" s="222">
        <v>7462680</v>
      </c>
      <c r="L112" s="223" t="s">
        <v>23</v>
      </c>
      <c r="M112" s="224"/>
      <c r="N112" s="225">
        <v>2988248.7</v>
      </c>
      <c r="O112" s="226">
        <v>1</v>
      </c>
      <c r="P112" s="227">
        <v>32</v>
      </c>
      <c r="Q112" s="226">
        <v>230</v>
      </c>
      <c r="R112" s="227">
        <v>2635</v>
      </c>
      <c r="S112" s="226">
        <v>25513</v>
      </c>
      <c r="T112" s="227">
        <v>251145</v>
      </c>
    </row>
    <row r="113" spans="1:20" x14ac:dyDescent="0.15">
      <c r="A113" s="178"/>
      <c r="B113" s="179">
        <v>37226</v>
      </c>
      <c r="C113" s="180" t="s">
        <v>363</v>
      </c>
      <c r="D113" s="19">
        <v>1</v>
      </c>
      <c r="E113" s="19">
        <v>3</v>
      </c>
      <c r="F113" s="19">
        <v>2</v>
      </c>
      <c r="G113" s="19">
        <v>0</v>
      </c>
      <c r="H113" s="19">
        <v>3</v>
      </c>
      <c r="I113" s="19">
        <v>8</v>
      </c>
      <c r="J113" s="13">
        <v>0</v>
      </c>
      <c r="K113" s="229">
        <v>26803987.5</v>
      </c>
      <c r="L113" s="230">
        <v>2</v>
      </c>
      <c r="M113" s="229">
        <v>2377777</v>
      </c>
      <c r="N113" s="231">
        <v>138458.20000000001</v>
      </c>
      <c r="O113" s="232">
        <v>12</v>
      </c>
      <c r="P113" s="233">
        <v>89</v>
      </c>
      <c r="Q113" s="232">
        <v>786</v>
      </c>
      <c r="R113" s="233">
        <v>7732</v>
      </c>
      <c r="S113" s="232">
        <v>76102</v>
      </c>
      <c r="T113" s="233">
        <v>772506</v>
      </c>
    </row>
    <row r="114" spans="1:20" x14ac:dyDescent="0.15">
      <c r="A114" s="172">
        <v>49</v>
      </c>
      <c r="B114" s="173">
        <v>37230</v>
      </c>
      <c r="C114" s="174" t="s">
        <v>362</v>
      </c>
      <c r="D114" s="27">
        <v>7</v>
      </c>
      <c r="E114" s="27">
        <v>1</v>
      </c>
      <c r="F114" s="27">
        <v>1</v>
      </c>
      <c r="G114" s="27">
        <v>6</v>
      </c>
      <c r="H114" s="27">
        <v>6</v>
      </c>
      <c r="I114" s="27">
        <v>5</v>
      </c>
      <c r="J114" s="7">
        <v>5</v>
      </c>
      <c r="K114" s="222">
        <v>8721810</v>
      </c>
      <c r="L114" s="223">
        <v>1</v>
      </c>
      <c r="M114" s="224">
        <v>677777</v>
      </c>
      <c r="N114" s="225">
        <v>80801.899999999994</v>
      </c>
      <c r="O114" s="226">
        <v>6</v>
      </c>
      <c r="P114" s="227">
        <v>29</v>
      </c>
      <c r="Q114" s="226">
        <v>402</v>
      </c>
      <c r="R114" s="227">
        <v>3752</v>
      </c>
      <c r="S114" s="226">
        <v>38643</v>
      </c>
      <c r="T114" s="227">
        <v>348613</v>
      </c>
    </row>
    <row r="115" spans="1:20" x14ac:dyDescent="0.15">
      <c r="A115" s="178"/>
      <c r="B115" s="179">
        <v>37233</v>
      </c>
      <c r="C115" s="180" t="s">
        <v>363</v>
      </c>
      <c r="D115" s="19">
        <v>8</v>
      </c>
      <c r="E115" s="19">
        <v>6</v>
      </c>
      <c r="F115" s="19">
        <v>1</v>
      </c>
      <c r="G115" s="19">
        <v>3</v>
      </c>
      <c r="H115" s="19">
        <v>9</v>
      </c>
      <c r="I115" s="19">
        <v>3</v>
      </c>
      <c r="J115" s="13">
        <v>9</v>
      </c>
      <c r="K115" s="229">
        <v>29178705</v>
      </c>
      <c r="L115" s="230" t="s">
        <v>23</v>
      </c>
      <c r="M115" s="229"/>
      <c r="N115" s="231">
        <v>2155407.7999999998</v>
      </c>
      <c r="O115" s="232">
        <v>14</v>
      </c>
      <c r="P115" s="233">
        <v>140</v>
      </c>
      <c r="Q115" s="232">
        <v>1143</v>
      </c>
      <c r="R115" s="233">
        <v>11247</v>
      </c>
      <c r="S115" s="232">
        <v>110804</v>
      </c>
      <c r="T115" s="233">
        <v>1300684</v>
      </c>
    </row>
    <row r="116" spans="1:20" x14ac:dyDescent="0.15">
      <c r="A116" s="172">
        <v>50</v>
      </c>
      <c r="B116" s="173">
        <v>37237</v>
      </c>
      <c r="C116" s="174" t="s">
        <v>362</v>
      </c>
      <c r="D116" s="27">
        <v>0</v>
      </c>
      <c r="E116" s="27">
        <v>9</v>
      </c>
      <c r="F116" s="27">
        <v>8</v>
      </c>
      <c r="G116" s="27">
        <v>8</v>
      </c>
      <c r="H116" s="27">
        <v>7</v>
      </c>
      <c r="I116" s="27">
        <v>7</v>
      </c>
      <c r="J116" s="7">
        <v>6</v>
      </c>
      <c r="K116" s="222">
        <v>8095750</v>
      </c>
      <c r="L116" s="223" t="s">
        <v>23</v>
      </c>
      <c r="M116" s="224"/>
      <c r="N116" s="225">
        <v>2731015.6</v>
      </c>
      <c r="O116" s="226">
        <v>3</v>
      </c>
      <c r="P116" s="227">
        <v>24</v>
      </c>
      <c r="Q116" s="226">
        <v>272</v>
      </c>
      <c r="R116" s="227">
        <v>2890</v>
      </c>
      <c r="S116" s="226">
        <v>29711</v>
      </c>
      <c r="T116" s="227">
        <v>302289</v>
      </c>
    </row>
    <row r="117" spans="1:20" x14ac:dyDescent="0.15">
      <c r="A117" s="178"/>
      <c r="B117" s="179">
        <v>37240</v>
      </c>
      <c r="C117" s="180" t="s">
        <v>363</v>
      </c>
      <c r="D117" s="19">
        <v>3</v>
      </c>
      <c r="E117" s="19">
        <v>5</v>
      </c>
      <c r="F117" s="19">
        <v>9</v>
      </c>
      <c r="G117" s="19">
        <v>6</v>
      </c>
      <c r="H117" s="19">
        <v>1</v>
      </c>
      <c r="I117" s="19">
        <v>7</v>
      </c>
      <c r="J117" s="13">
        <v>6</v>
      </c>
      <c r="K117" s="229">
        <v>27808195</v>
      </c>
      <c r="L117" s="230">
        <v>1</v>
      </c>
      <c r="M117" s="229">
        <v>4677777</v>
      </c>
      <c r="N117" s="231">
        <v>30401.3</v>
      </c>
      <c r="O117" s="232">
        <v>9</v>
      </c>
      <c r="P117" s="233">
        <v>122</v>
      </c>
      <c r="Q117" s="232">
        <v>1041</v>
      </c>
      <c r="R117" s="233">
        <v>10212</v>
      </c>
      <c r="S117" s="232">
        <v>103075</v>
      </c>
      <c r="T117" s="233">
        <v>1031199</v>
      </c>
    </row>
    <row r="118" spans="1:20" x14ac:dyDescent="0.15">
      <c r="A118" s="172">
        <v>51</v>
      </c>
      <c r="B118" s="173">
        <v>37244</v>
      </c>
      <c r="C118" s="174" t="s">
        <v>362</v>
      </c>
      <c r="D118" s="27">
        <v>0</v>
      </c>
      <c r="E118" s="27">
        <v>4</v>
      </c>
      <c r="F118" s="27">
        <v>4</v>
      </c>
      <c r="G118" s="27">
        <v>1</v>
      </c>
      <c r="H118" s="27">
        <v>8</v>
      </c>
      <c r="I118" s="27">
        <v>2</v>
      </c>
      <c r="J118" s="7">
        <v>8</v>
      </c>
      <c r="K118" s="222">
        <v>8092397.5</v>
      </c>
      <c r="L118" s="223" t="s">
        <v>23</v>
      </c>
      <c r="M118" s="224"/>
      <c r="N118" s="225">
        <v>605770.80000000005</v>
      </c>
      <c r="O118" s="226">
        <v>3</v>
      </c>
      <c r="P118" s="227">
        <v>34</v>
      </c>
      <c r="Q118" s="226">
        <v>351</v>
      </c>
      <c r="R118" s="227">
        <v>3327</v>
      </c>
      <c r="S118" s="226">
        <v>32685</v>
      </c>
      <c r="T118" s="227">
        <v>322855</v>
      </c>
    </row>
    <row r="119" spans="1:20" x14ac:dyDescent="0.15">
      <c r="A119" s="178"/>
      <c r="B119" s="179">
        <v>37247</v>
      </c>
      <c r="C119" s="180" t="s">
        <v>363</v>
      </c>
      <c r="D119" s="19">
        <v>7</v>
      </c>
      <c r="E119" s="19">
        <v>3</v>
      </c>
      <c r="F119" s="19">
        <v>1</v>
      </c>
      <c r="G119" s="19">
        <v>3</v>
      </c>
      <c r="H119" s="19">
        <v>1</v>
      </c>
      <c r="I119" s="19">
        <v>3</v>
      </c>
      <c r="J119" s="13">
        <v>4</v>
      </c>
      <c r="K119" s="229">
        <v>29038387.5</v>
      </c>
      <c r="L119" s="230">
        <v>3</v>
      </c>
      <c r="M119" s="229">
        <v>877777</v>
      </c>
      <c r="N119" s="231">
        <v>37069.199999999997</v>
      </c>
      <c r="O119" s="232">
        <v>12</v>
      </c>
      <c r="P119" s="233">
        <v>94</v>
      </c>
      <c r="Q119" s="232">
        <v>998</v>
      </c>
      <c r="R119" s="233">
        <v>10256</v>
      </c>
      <c r="S119" s="232">
        <v>101348</v>
      </c>
      <c r="T119" s="233">
        <v>988883</v>
      </c>
    </row>
    <row r="120" spans="1:20" x14ac:dyDescent="0.15">
      <c r="A120" s="172">
        <v>52</v>
      </c>
      <c r="B120" s="173">
        <v>37251</v>
      </c>
      <c r="C120" s="174" t="s">
        <v>362</v>
      </c>
      <c r="D120" s="27">
        <v>7</v>
      </c>
      <c r="E120" s="27">
        <v>9</v>
      </c>
      <c r="F120" s="27">
        <v>3</v>
      </c>
      <c r="G120" s="27">
        <v>3</v>
      </c>
      <c r="H120" s="27">
        <v>3</v>
      </c>
      <c r="I120" s="27">
        <v>5</v>
      </c>
      <c r="J120" s="7">
        <v>4</v>
      </c>
      <c r="K120" s="222">
        <v>7307847.5</v>
      </c>
      <c r="L120" s="223" t="s">
        <v>23</v>
      </c>
      <c r="M120" s="224"/>
      <c r="N120" s="225">
        <v>556657.19999999995</v>
      </c>
      <c r="O120" s="226">
        <v>4</v>
      </c>
      <c r="P120" s="227">
        <v>21</v>
      </c>
      <c r="Q120" s="226">
        <v>236</v>
      </c>
      <c r="R120" s="227">
        <v>2563</v>
      </c>
      <c r="S120" s="226">
        <v>25511</v>
      </c>
      <c r="T120" s="227">
        <v>245214</v>
      </c>
    </row>
    <row r="121" spans="1:20" x14ac:dyDescent="0.15">
      <c r="A121" s="178"/>
      <c r="B121" s="179">
        <v>37254</v>
      </c>
      <c r="C121" s="180" t="s">
        <v>363</v>
      </c>
      <c r="D121" s="38">
        <v>7</v>
      </c>
      <c r="E121" s="38">
        <v>9</v>
      </c>
      <c r="F121" s="38">
        <v>4</v>
      </c>
      <c r="G121" s="38">
        <v>5</v>
      </c>
      <c r="H121" s="38">
        <v>6</v>
      </c>
      <c r="I121" s="38">
        <v>0</v>
      </c>
      <c r="J121" s="39">
        <v>3</v>
      </c>
      <c r="K121" s="229">
        <v>28695930</v>
      </c>
      <c r="L121" s="230" t="s">
        <v>23</v>
      </c>
      <c r="M121" s="229"/>
      <c r="N121" s="231">
        <v>2596937.7999999998</v>
      </c>
      <c r="O121" s="232">
        <v>9</v>
      </c>
      <c r="P121" s="233">
        <v>106</v>
      </c>
      <c r="Q121" s="232">
        <v>977</v>
      </c>
      <c r="R121" s="233">
        <v>9593</v>
      </c>
      <c r="S121" s="232">
        <v>97609</v>
      </c>
      <c r="T121" s="233">
        <v>1149136</v>
      </c>
    </row>
    <row r="122" spans="1:20" s="90" customFormat="1" x14ac:dyDescent="0.15">
      <c r="A122" s="130"/>
      <c r="B122" s="97"/>
      <c r="C122" s="97"/>
      <c r="D122" s="260"/>
      <c r="E122" s="260"/>
      <c r="F122" s="260"/>
      <c r="G122" s="260"/>
      <c r="H122" s="260"/>
      <c r="I122" s="260" t="s">
        <v>24</v>
      </c>
      <c r="J122" s="260"/>
      <c r="K122" s="270"/>
      <c r="L122" s="259">
        <f>SUM(L70:L121)</f>
        <v>36</v>
      </c>
      <c r="M122" s="271"/>
      <c r="N122" s="259"/>
      <c r="O122" s="259">
        <f t="shared" ref="O122:T122" si="1">SUM(O70:O121)</f>
        <v>347</v>
      </c>
      <c r="P122" s="259">
        <f t="shared" si="1"/>
        <v>3346</v>
      </c>
      <c r="Q122" s="259">
        <f t="shared" si="1"/>
        <v>33420</v>
      </c>
      <c r="R122" s="259">
        <f t="shared" si="1"/>
        <v>332617</v>
      </c>
      <c r="S122" s="259">
        <f t="shared" si="1"/>
        <v>3322038</v>
      </c>
      <c r="T122" s="272">
        <f t="shared" si="1"/>
        <v>32944799</v>
      </c>
    </row>
    <row r="123" spans="1:20" s="90" customFormat="1" x14ac:dyDescent="0.15">
      <c r="K123" s="255"/>
    </row>
  </sheetData>
  <phoneticPr fontId="0" type="noConversion"/>
  <printOptions horizontalCentered="1" verticalCentered="1"/>
  <pageMargins left="0" right="0" top="0" bottom="0" header="0.51181102300000003" footer="0.51181102300000003"/>
  <pageSetup paperSize="9" scale="85" orientation="landscape" horizontalDpi="4294967292" verticalDpi="4294967292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123"/>
  <sheetViews>
    <sheetView workbookViewId="0">
      <pane ySplit="7" topLeftCell="A60" activePane="bottomLeft" state="frozen"/>
      <selection activeCell="A5" sqref="A5"/>
      <selection pane="bottomLef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3" width="20.33203125" customWidth="1"/>
    <col min="14" max="14" width="23.83203125" customWidth="1"/>
    <col min="15" max="20" width="15.83203125" customWidth="1"/>
  </cols>
  <sheetData>
    <row r="2" spans="1:20" ht="14.1" customHeight="1" x14ac:dyDescent="0.2">
      <c r="A2" s="1" t="s">
        <v>364</v>
      </c>
      <c r="T2" s="3" t="s">
        <v>425</v>
      </c>
    </row>
    <row r="3" spans="1:20" ht="11.1" customHeight="1" x14ac:dyDescent="0.15">
      <c r="A3" s="6" t="s">
        <v>2</v>
      </c>
    </row>
    <row r="4" spans="1:20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0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0" ht="11.1" customHeight="1" x14ac:dyDescent="0.15">
      <c r="A6" s="13" t="s">
        <v>428</v>
      </c>
      <c r="B6" s="14">
        <v>2002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366</v>
      </c>
      <c r="M6" s="18"/>
      <c r="N6" s="13" t="s">
        <v>367</v>
      </c>
      <c r="O6" s="239">
        <v>70000</v>
      </c>
      <c r="P6" s="239">
        <v>7000</v>
      </c>
      <c r="Q6" s="239">
        <v>700</v>
      </c>
      <c r="R6" s="239">
        <v>70</v>
      </c>
      <c r="S6" s="239">
        <v>7</v>
      </c>
      <c r="T6" s="239">
        <v>2.5</v>
      </c>
    </row>
    <row r="7" spans="1:20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0" x14ac:dyDescent="0.15">
      <c r="A8" s="172">
        <v>1</v>
      </c>
      <c r="B8" s="173">
        <v>37258</v>
      </c>
      <c r="C8" s="174" t="s">
        <v>362</v>
      </c>
      <c r="D8" s="27">
        <v>0</v>
      </c>
      <c r="E8" s="27">
        <v>6</v>
      </c>
      <c r="F8" s="27">
        <v>6</v>
      </c>
      <c r="G8" s="27">
        <v>8</v>
      </c>
      <c r="H8" s="27">
        <v>7</v>
      </c>
      <c r="I8" s="27">
        <v>9</v>
      </c>
      <c r="J8" s="7">
        <v>5</v>
      </c>
      <c r="K8" s="222">
        <v>4613427</v>
      </c>
      <c r="L8" s="223" t="s">
        <v>23</v>
      </c>
      <c r="M8" s="224"/>
      <c r="N8" s="225">
        <v>1635508.8</v>
      </c>
      <c r="O8" s="226">
        <v>3</v>
      </c>
      <c r="P8" s="227">
        <v>27</v>
      </c>
      <c r="Q8" s="226">
        <v>283</v>
      </c>
      <c r="R8" s="227">
        <v>3021</v>
      </c>
      <c r="S8" s="226">
        <v>29499</v>
      </c>
      <c r="T8" s="227">
        <v>309058</v>
      </c>
    </row>
    <row r="9" spans="1:20" x14ac:dyDescent="0.15">
      <c r="A9" s="178"/>
      <c r="B9" s="179">
        <v>37261</v>
      </c>
      <c r="C9" s="180" t="s">
        <v>363</v>
      </c>
      <c r="D9" s="19">
        <v>4</v>
      </c>
      <c r="E9" s="19">
        <v>9</v>
      </c>
      <c r="F9" s="19">
        <v>3</v>
      </c>
      <c r="G9" s="19">
        <v>2</v>
      </c>
      <c r="H9" s="19">
        <v>7</v>
      </c>
      <c r="I9" s="19">
        <v>9</v>
      </c>
      <c r="J9" s="13">
        <v>7</v>
      </c>
      <c r="K9" s="229">
        <v>15590604</v>
      </c>
      <c r="L9" s="230">
        <v>1</v>
      </c>
      <c r="M9" s="229">
        <v>2670000</v>
      </c>
      <c r="N9" s="231">
        <v>5402.1</v>
      </c>
      <c r="O9" s="232">
        <v>6</v>
      </c>
      <c r="P9" s="233">
        <v>89</v>
      </c>
      <c r="Q9" s="232">
        <v>947</v>
      </c>
      <c r="R9" s="233">
        <v>9927</v>
      </c>
      <c r="S9" s="232">
        <v>96835</v>
      </c>
      <c r="T9" s="233">
        <v>1015473</v>
      </c>
    </row>
    <row r="10" spans="1:20" x14ac:dyDescent="0.15">
      <c r="A10" s="172">
        <v>2</v>
      </c>
      <c r="B10" s="173">
        <v>37265</v>
      </c>
      <c r="C10" s="174" t="s">
        <v>362</v>
      </c>
      <c r="D10" s="238">
        <v>1</v>
      </c>
      <c r="E10" s="27">
        <v>0</v>
      </c>
      <c r="F10" s="27">
        <v>7</v>
      </c>
      <c r="G10" s="27">
        <v>7</v>
      </c>
      <c r="H10" s="27">
        <v>6</v>
      </c>
      <c r="I10" s="27">
        <v>3</v>
      </c>
      <c r="J10" s="7">
        <v>6</v>
      </c>
      <c r="K10" s="222">
        <v>4503313.5</v>
      </c>
      <c r="L10" s="234" t="s">
        <v>23</v>
      </c>
      <c r="M10" s="224"/>
      <c r="N10" s="225">
        <v>305773.09999999998</v>
      </c>
      <c r="O10" s="226">
        <v>3</v>
      </c>
      <c r="P10" s="227">
        <v>25</v>
      </c>
      <c r="Q10" s="226">
        <v>283</v>
      </c>
      <c r="R10" s="227">
        <v>2798</v>
      </c>
      <c r="S10" s="226">
        <v>28821</v>
      </c>
      <c r="T10" s="227">
        <v>279968</v>
      </c>
    </row>
    <row r="11" spans="1:20" x14ac:dyDescent="0.15">
      <c r="A11" s="178"/>
      <c r="B11" s="179">
        <v>37268</v>
      </c>
      <c r="C11" s="180" t="s">
        <v>363</v>
      </c>
      <c r="D11" s="76">
        <v>5</v>
      </c>
      <c r="E11" s="76">
        <v>8</v>
      </c>
      <c r="F11" s="76">
        <v>9</v>
      </c>
      <c r="G11" s="76">
        <v>1</v>
      </c>
      <c r="H11" s="76">
        <v>2</v>
      </c>
      <c r="I11" s="76">
        <v>5</v>
      </c>
      <c r="J11" s="13">
        <v>4</v>
      </c>
      <c r="K11" s="229">
        <v>15544584</v>
      </c>
      <c r="L11" s="237" t="s">
        <v>23</v>
      </c>
      <c r="M11" s="229"/>
      <c r="N11" s="229">
        <v>1342596.9</v>
      </c>
      <c r="O11" s="232">
        <v>5</v>
      </c>
      <c r="P11" s="233">
        <v>75</v>
      </c>
      <c r="Q11" s="232">
        <v>880</v>
      </c>
      <c r="R11" s="233">
        <v>9315</v>
      </c>
      <c r="S11" s="232">
        <v>92459</v>
      </c>
      <c r="T11" s="233">
        <v>889241</v>
      </c>
    </row>
    <row r="12" spans="1:20" x14ac:dyDescent="0.15">
      <c r="A12" s="172">
        <v>3</v>
      </c>
      <c r="B12" s="173">
        <v>37272</v>
      </c>
      <c r="C12" s="174" t="s">
        <v>362</v>
      </c>
      <c r="D12" s="27">
        <v>1</v>
      </c>
      <c r="E12" s="27">
        <v>5</v>
      </c>
      <c r="F12" s="27">
        <v>1</v>
      </c>
      <c r="G12" s="27">
        <v>6</v>
      </c>
      <c r="H12" s="27">
        <v>4</v>
      </c>
      <c r="I12" s="27">
        <v>1</v>
      </c>
      <c r="J12" s="7">
        <v>4</v>
      </c>
      <c r="K12" s="222">
        <v>4674012</v>
      </c>
      <c r="L12" s="223">
        <v>1</v>
      </c>
      <c r="M12" s="224">
        <v>1570000</v>
      </c>
      <c r="N12" s="225">
        <v>84353.5</v>
      </c>
      <c r="O12" s="226">
        <v>2</v>
      </c>
      <c r="P12" s="227">
        <v>27</v>
      </c>
      <c r="Q12" s="226">
        <v>265</v>
      </c>
      <c r="R12" s="227">
        <v>2714</v>
      </c>
      <c r="S12" s="226">
        <v>26325</v>
      </c>
      <c r="T12" s="227">
        <v>266971</v>
      </c>
    </row>
    <row r="13" spans="1:20" x14ac:dyDescent="0.15">
      <c r="A13" s="178"/>
      <c r="B13" s="179">
        <v>37275</v>
      </c>
      <c r="C13" s="180" t="s">
        <v>363</v>
      </c>
      <c r="D13" s="19">
        <v>5</v>
      </c>
      <c r="E13" s="19">
        <v>5</v>
      </c>
      <c r="F13" s="19">
        <v>6</v>
      </c>
      <c r="G13" s="19">
        <v>7</v>
      </c>
      <c r="H13" s="19">
        <v>6</v>
      </c>
      <c r="I13" s="19">
        <v>8</v>
      </c>
      <c r="J13" s="13">
        <v>6</v>
      </c>
      <c r="K13" s="229">
        <v>15851623.5</v>
      </c>
      <c r="L13" s="230">
        <v>2</v>
      </c>
      <c r="M13" s="229">
        <v>570000</v>
      </c>
      <c r="N13" s="231">
        <v>1656.8</v>
      </c>
      <c r="O13" s="232">
        <v>10</v>
      </c>
      <c r="P13" s="233">
        <v>120</v>
      </c>
      <c r="Q13" s="232">
        <v>981</v>
      </c>
      <c r="R13" s="233">
        <v>10040</v>
      </c>
      <c r="S13" s="232">
        <v>98664</v>
      </c>
      <c r="T13" s="233">
        <v>984185</v>
      </c>
    </row>
    <row r="14" spans="1:20" x14ac:dyDescent="0.15">
      <c r="A14" s="172">
        <v>4</v>
      </c>
      <c r="B14" s="173">
        <v>37279</v>
      </c>
      <c r="C14" s="174" t="s">
        <v>362</v>
      </c>
      <c r="D14" s="27">
        <v>5</v>
      </c>
      <c r="E14" s="27">
        <v>7</v>
      </c>
      <c r="F14" s="27">
        <v>0</v>
      </c>
      <c r="G14" s="27">
        <v>0</v>
      </c>
      <c r="H14" s="27">
        <v>0</v>
      </c>
      <c r="I14" s="27">
        <v>7</v>
      </c>
      <c r="J14" s="7">
        <v>7</v>
      </c>
      <c r="K14" s="222">
        <v>5033989.5</v>
      </c>
      <c r="L14" s="234" t="s">
        <v>23</v>
      </c>
      <c r="M14" s="224"/>
      <c r="N14" s="225">
        <v>337423.9</v>
      </c>
      <c r="O14" s="226">
        <v>1</v>
      </c>
      <c r="P14" s="227">
        <v>44</v>
      </c>
      <c r="Q14" s="226">
        <v>388</v>
      </c>
      <c r="R14" s="227">
        <v>3734</v>
      </c>
      <c r="S14" s="226">
        <v>40268</v>
      </c>
      <c r="T14" s="227">
        <v>325772</v>
      </c>
    </row>
    <row r="15" spans="1:20" x14ac:dyDescent="0.15">
      <c r="A15" s="178"/>
      <c r="B15" s="179">
        <v>37282</v>
      </c>
      <c r="C15" s="180" t="s">
        <v>363</v>
      </c>
      <c r="D15" s="19">
        <v>1</v>
      </c>
      <c r="E15" s="19">
        <v>1</v>
      </c>
      <c r="F15" s="19">
        <v>7</v>
      </c>
      <c r="G15" s="19">
        <v>6</v>
      </c>
      <c r="H15" s="19">
        <v>8</v>
      </c>
      <c r="I15" s="19">
        <v>9</v>
      </c>
      <c r="J15" s="13">
        <v>2</v>
      </c>
      <c r="K15" s="229">
        <v>16729806</v>
      </c>
      <c r="L15" s="230">
        <v>2</v>
      </c>
      <c r="M15" s="229">
        <v>670000</v>
      </c>
      <c r="N15" s="231">
        <v>113302</v>
      </c>
      <c r="O15" s="232">
        <v>8</v>
      </c>
      <c r="P15" s="233">
        <v>76</v>
      </c>
      <c r="Q15" s="232">
        <v>981</v>
      </c>
      <c r="R15" s="233">
        <v>9275</v>
      </c>
      <c r="S15" s="232">
        <v>89853</v>
      </c>
      <c r="T15" s="233">
        <v>913601</v>
      </c>
    </row>
    <row r="16" spans="1:20" x14ac:dyDescent="0.15">
      <c r="A16" s="172">
        <v>5</v>
      </c>
      <c r="B16" s="173">
        <v>37286</v>
      </c>
      <c r="C16" s="174" t="s">
        <v>362</v>
      </c>
      <c r="D16" s="27">
        <v>7</v>
      </c>
      <c r="E16" s="27">
        <v>4</v>
      </c>
      <c r="F16" s="27">
        <v>5</v>
      </c>
      <c r="G16" s="27">
        <v>4</v>
      </c>
      <c r="H16" s="27">
        <v>9</v>
      </c>
      <c r="I16" s="27">
        <v>5</v>
      </c>
      <c r="J16" s="7">
        <v>5</v>
      </c>
      <c r="K16" s="222">
        <v>4631967</v>
      </c>
      <c r="L16" s="223">
        <v>1</v>
      </c>
      <c r="M16" s="224">
        <v>370000</v>
      </c>
      <c r="N16" s="225">
        <v>52254.2</v>
      </c>
      <c r="O16" s="226">
        <v>3</v>
      </c>
      <c r="P16" s="227">
        <v>27</v>
      </c>
      <c r="Q16" s="226">
        <v>340</v>
      </c>
      <c r="R16" s="227">
        <v>3474</v>
      </c>
      <c r="S16" s="226">
        <v>34829</v>
      </c>
      <c r="T16" s="227">
        <v>304617</v>
      </c>
    </row>
    <row r="17" spans="1:20" x14ac:dyDescent="0.15">
      <c r="A17" s="178"/>
      <c r="B17" s="179">
        <v>37289</v>
      </c>
      <c r="C17" s="180" t="s">
        <v>363</v>
      </c>
      <c r="D17" s="19">
        <v>2</v>
      </c>
      <c r="E17" s="19">
        <v>6</v>
      </c>
      <c r="F17" s="19">
        <v>9</v>
      </c>
      <c r="G17" s="19">
        <v>9</v>
      </c>
      <c r="H17" s="19">
        <v>7</v>
      </c>
      <c r="I17" s="19">
        <v>5</v>
      </c>
      <c r="J17" s="13">
        <v>1</v>
      </c>
      <c r="K17" s="229">
        <v>15617388</v>
      </c>
      <c r="L17" s="230">
        <v>1</v>
      </c>
      <c r="M17" s="229">
        <v>1070000</v>
      </c>
      <c r="N17" s="231">
        <v>23934</v>
      </c>
      <c r="O17" s="232">
        <v>8</v>
      </c>
      <c r="P17" s="233">
        <v>85</v>
      </c>
      <c r="Q17" s="232">
        <v>781</v>
      </c>
      <c r="R17" s="233">
        <v>8005</v>
      </c>
      <c r="S17" s="232">
        <v>78086</v>
      </c>
      <c r="T17" s="233">
        <v>771339</v>
      </c>
    </row>
    <row r="18" spans="1:20" x14ac:dyDescent="0.15">
      <c r="A18" s="172">
        <v>6</v>
      </c>
      <c r="B18" s="173">
        <v>37293</v>
      </c>
      <c r="C18" s="174" t="s">
        <v>362</v>
      </c>
      <c r="D18" s="27">
        <v>7</v>
      </c>
      <c r="E18" s="27">
        <v>8</v>
      </c>
      <c r="F18" s="27">
        <v>3</v>
      </c>
      <c r="G18" s="27">
        <v>5</v>
      </c>
      <c r="H18" s="27">
        <v>8</v>
      </c>
      <c r="I18" s="27">
        <v>7</v>
      </c>
      <c r="J18" s="7">
        <v>6</v>
      </c>
      <c r="K18" s="222">
        <v>4540195.5</v>
      </c>
      <c r="L18" s="223">
        <v>2</v>
      </c>
      <c r="M18" s="224">
        <v>170000</v>
      </c>
      <c r="N18" s="225">
        <v>0</v>
      </c>
      <c r="O18" s="226">
        <v>1</v>
      </c>
      <c r="P18" s="227">
        <v>29</v>
      </c>
      <c r="Q18" s="226">
        <v>277</v>
      </c>
      <c r="R18" s="227">
        <v>2946</v>
      </c>
      <c r="S18" s="226">
        <v>28562</v>
      </c>
      <c r="T18" s="227">
        <v>286310</v>
      </c>
    </row>
    <row r="19" spans="1:20" x14ac:dyDescent="0.15">
      <c r="A19" s="178"/>
      <c r="B19" s="179">
        <v>37296</v>
      </c>
      <c r="C19" s="180" t="s">
        <v>363</v>
      </c>
      <c r="D19" s="19">
        <v>9</v>
      </c>
      <c r="E19" s="19">
        <v>6</v>
      </c>
      <c r="F19" s="19">
        <v>4</v>
      </c>
      <c r="G19" s="19">
        <v>1</v>
      </c>
      <c r="H19" s="19">
        <v>4</v>
      </c>
      <c r="I19" s="19">
        <v>4</v>
      </c>
      <c r="J19" s="13">
        <v>8</v>
      </c>
      <c r="K19" s="229">
        <v>15430434</v>
      </c>
      <c r="L19" s="230" t="s">
        <v>23</v>
      </c>
      <c r="M19" s="229"/>
      <c r="N19" s="231">
        <v>1029209.9</v>
      </c>
      <c r="O19" s="232">
        <v>9</v>
      </c>
      <c r="P19" s="233">
        <v>124</v>
      </c>
      <c r="Q19" s="232">
        <v>1020</v>
      </c>
      <c r="R19" s="233">
        <v>10565</v>
      </c>
      <c r="S19" s="232">
        <v>109784</v>
      </c>
      <c r="T19" s="233">
        <v>1050866</v>
      </c>
    </row>
    <row r="20" spans="1:20" x14ac:dyDescent="0.15">
      <c r="A20" s="172">
        <v>7</v>
      </c>
      <c r="B20" s="173">
        <v>37300</v>
      </c>
      <c r="C20" s="174" t="s">
        <v>362</v>
      </c>
      <c r="D20" s="27">
        <v>0</v>
      </c>
      <c r="E20" s="27">
        <v>1</v>
      </c>
      <c r="F20" s="27">
        <v>5</v>
      </c>
      <c r="G20" s="27">
        <v>7</v>
      </c>
      <c r="H20" s="27">
        <v>7</v>
      </c>
      <c r="I20" s="27">
        <v>1</v>
      </c>
      <c r="J20" s="7">
        <v>5</v>
      </c>
      <c r="K20" s="222">
        <v>4449675</v>
      </c>
      <c r="L20" s="223" t="s">
        <v>23</v>
      </c>
      <c r="M20" s="224"/>
      <c r="N20" s="225">
        <v>1326003.2</v>
      </c>
      <c r="O20" s="226">
        <v>5</v>
      </c>
      <c r="P20" s="227">
        <v>22</v>
      </c>
      <c r="Q20" s="226">
        <v>299</v>
      </c>
      <c r="R20" s="227">
        <v>2882</v>
      </c>
      <c r="S20" s="226">
        <v>28680</v>
      </c>
      <c r="T20" s="227">
        <v>299459</v>
      </c>
    </row>
    <row r="21" spans="1:20" x14ac:dyDescent="0.15">
      <c r="A21" s="178"/>
      <c r="B21" s="179">
        <v>37303</v>
      </c>
      <c r="C21" s="180" t="s">
        <v>363</v>
      </c>
      <c r="D21" s="19">
        <v>6</v>
      </c>
      <c r="E21" s="19">
        <v>0</v>
      </c>
      <c r="F21" s="19">
        <v>4</v>
      </c>
      <c r="G21" s="19">
        <v>9</v>
      </c>
      <c r="H21" s="19">
        <v>8</v>
      </c>
      <c r="I21" s="19">
        <v>0</v>
      </c>
      <c r="J21" s="13">
        <v>9</v>
      </c>
      <c r="K21" s="229">
        <v>15276645</v>
      </c>
      <c r="L21" s="230" t="s">
        <v>23</v>
      </c>
      <c r="M21" s="229"/>
      <c r="N21" s="231">
        <v>2344955.4</v>
      </c>
      <c r="O21" s="232">
        <v>7</v>
      </c>
      <c r="P21" s="233">
        <v>92</v>
      </c>
      <c r="Q21" s="232">
        <v>840</v>
      </c>
      <c r="R21" s="233">
        <v>8210</v>
      </c>
      <c r="S21" s="232">
        <v>82622</v>
      </c>
      <c r="T21" s="233">
        <v>965720</v>
      </c>
    </row>
    <row r="22" spans="1:20" x14ac:dyDescent="0.15">
      <c r="A22" s="172">
        <v>8</v>
      </c>
      <c r="B22" s="173">
        <v>37307</v>
      </c>
      <c r="C22" s="174" t="s">
        <v>362</v>
      </c>
      <c r="D22" s="27">
        <v>5</v>
      </c>
      <c r="E22" s="27">
        <v>7</v>
      </c>
      <c r="F22" s="27">
        <v>7</v>
      </c>
      <c r="G22" s="27">
        <v>2</v>
      </c>
      <c r="H22" s="27">
        <v>5</v>
      </c>
      <c r="I22" s="27">
        <v>7</v>
      </c>
      <c r="J22" s="7">
        <v>3</v>
      </c>
      <c r="K22" s="222">
        <v>4551493.5</v>
      </c>
      <c r="L22" s="223">
        <v>3</v>
      </c>
      <c r="M22" s="224">
        <v>870000</v>
      </c>
      <c r="N22" s="225">
        <v>38540</v>
      </c>
      <c r="O22" s="226" t="s">
        <v>17</v>
      </c>
      <c r="P22" s="227">
        <v>32</v>
      </c>
      <c r="Q22" s="226">
        <v>285</v>
      </c>
      <c r="R22" s="227">
        <v>2935</v>
      </c>
      <c r="S22" s="226">
        <v>28793</v>
      </c>
      <c r="T22" s="227">
        <v>292638</v>
      </c>
    </row>
    <row r="23" spans="1:20" x14ac:dyDescent="0.15">
      <c r="A23" s="178"/>
      <c r="B23" s="179">
        <v>37310</v>
      </c>
      <c r="C23" s="180" t="s">
        <v>363</v>
      </c>
      <c r="D23" s="19">
        <v>6</v>
      </c>
      <c r="E23" s="19">
        <v>7</v>
      </c>
      <c r="F23" s="19">
        <v>7</v>
      </c>
      <c r="G23" s="19">
        <v>7</v>
      </c>
      <c r="H23" s="19">
        <v>9</v>
      </c>
      <c r="I23" s="19">
        <v>1</v>
      </c>
      <c r="J23" s="13">
        <v>8</v>
      </c>
      <c r="K23" s="229">
        <v>15470215.5</v>
      </c>
      <c r="L23" s="230" t="s">
        <v>23</v>
      </c>
      <c r="M23" s="229"/>
      <c r="N23" s="231">
        <v>1070403.3999999999</v>
      </c>
      <c r="O23" s="232">
        <v>13</v>
      </c>
      <c r="P23" s="233">
        <v>102</v>
      </c>
      <c r="Q23" s="232">
        <v>1025</v>
      </c>
      <c r="R23" s="233">
        <v>10377</v>
      </c>
      <c r="S23" s="232">
        <v>102943</v>
      </c>
      <c r="T23" s="233">
        <v>1056808</v>
      </c>
    </row>
    <row r="24" spans="1:20" x14ac:dyDescent="0.15">
      <c r="A24" s="172">
        <v>9</v>
      </c>
      <c r="B24" s="173">
        <v>37314</v>
      </c>
      <c r="C24" s="174" t="s">
        <v>362</v>
      </c>
      <c r="D24" s="27">
        <v>2</v>
      </c>
      <c r="E24" s="27">
        <v>0</v>
      </c>
      <c r="F24" s="27">
        <v>0</v>
      </c>
      <c r="G24" s="27">
        <v>4</v>
      </c>
      <c r="H24" s="27">
        <v>1</v>
      </c>
      <c r="I24" s="27">
        <v>5</v>
      </c>
      <c r="J24" s="7">
        <v>5</v>
      </c>
      <c r="K24" s="222">
        <v>4913463</v>
      </c>
      <c r="L24" s="223" t="s">
        <v>23</v>
      </c>
      <c r="M24" s="224"/>
      <c r="N24" s="225">
        <v>1398131.4</v>
      </c>
      <c r="O24" s="226">
        <v>1</v>
      </c>
      <c r="P24" s="227">
        <v>26</v>
      </c>
      <c r="Q24" s="226">
        <v>373</v>
      </c>
      <c r="R24" s="227">
        <v>3751</v>
      </c>
      <c r="S24" s="226">
        <v>37502</v>
      </c>
      <c r="T24" s="227">
        <v>324847</v>
      </c>
    </row>
    <row r="25" spans="1:20" x14ac:dyDescent="0.15">
      <c r="A25" s="178"/>
      <c r="B25" s="179">
        <v>37317</v>
      </c>
      <c r="C25" s="180" t="s">
        <v>363</v>
      </c>
      <c r="D25" s="19">
        <v>3</v>
      </c>
      <c r="E25" s="19">
        <v>6</v>
      </c>
      <c r="F25" s="19">
        <v>0</v>
      </c>
      <c r="G25" s="19">
        <v>9</v>
      </c>
      <c r="H25" s="19">
        <v>2</v>
      </c>
      <c r="I25" s="19">
        <v>6</v>
      </c>
      <c r="J25" s="13">
        <v>6</v>
      </c>
      <c r="K25" s="229">
        <v>16370764.5</v>
      </c>
      <c r="L25" s="230">
        <v>3</v>
      </c>
      <c r="M25" s="229">
        <v>770000</v>
      </c>
      <c r="N25" s="231">
        <v>180061.4</v>
      </c>
      <c r="O25" s="232">
        <v>12</v>
      </c>
      <c r="P25" s="233">
        <v>94</v>
      </c>
      <c r="Q25" s="232">
        <v>1029</v>
      </c>
      <c r="R25" s="233">
        <v>10649</v>
      </c>
      <c r="S25" s="232">
        <v>107226</v>
      </c>
      <c r="T25" s="233">
        <v>1022910</v>
      </c>
    </row>
    <row r="26" spans="1:20" x14ac:dyDescent="0.15">
      <c r="A26" s="172">
        <v>10</v>
      </c>
      <c r="B26" s="173">
        <v>37321</v>
      </c>
      <c r="C26" s="174" t="s">
        <v>362</v>
      </c>
      <c r="D26" s="27">
        <v>8</v>
      </c>
      <c r="E26" s="27">
        <v>3</v>
      </c>
      <c r="F26" s="27">
        <v>5</v>
      </c>
      <c r="G26" s="27">
        <v>8</v>
      </c>
      <c r="H26" s="27">
        <v>1</v>
      </c>
      <c r="I26" s="27">
        <v>6</v>
      </c>
      <c r="J26" s="7">
        <v>3</v>
      </c>
      <c r="K26" s="222">
        <v>5142600</v>
      </c>
      <c r="L26" s="223" t="s">
        <v>23</v>
      </c>
      <c r="M26" s="224"/>
      <c r="N26" s="225">
        <v>523072.8</v>
      </c>
      <c r="O26" s="226">
        <v>3</v>
      </c>
      <c r="P26" s="227">
        <v>46</v>
      </c>
      <c r="Q26" s="226">
        <v>322</v>
      </c>
      <c r="R26" s="227">
        <v>3261</v>
      </c>
      <c r="S26" s="226">
        <v>32363</v>
      </c>
      <c r="T26" s="227">
        <v>328988</v>
      </c>
    </row>
    <row r="27" spans="1:20" x14ac:dyDescent="0.15">
      <c r="A27" s="178"/>
      <c r="B27" s="179">
        <v>37324</v>
      </c>
      <c r="C27" s="180" t="s">
        <v>363</v>
      </c>
      <c r="D27" s="19">
        <v>1</v>
      </c>
      <c r="E27" s="19">
        <v>5</v>
      </c>
      <c r="F27" s="19">
        <v>1</v>
      </c>
      <c r="G27" s="19">
        <v>9</v>
      </c>
      <c r="H27" s="19">
        <v>9</v>
      </c>
      <c r="I27" s="19">
        <v>2</v>
      </c>
      <c r="J27" s="13">
        <v>1</v>
      </c>
      <c r="K27" s="229">
        <v>16836270</v>
      </c>
      <c r="L27" s="230">
        <v>1</v>
      </c>
      <c r="M27" s="229">
        <v>1570000</v>
      </c>
      <c r="N27" s="231">
        <v>76052</v>
      </c>
      <c r="O27" s="232">
        <v>9</v>
      </c>
      <c r="P27" s="233">
        <v>89</v>
      </c>
      <c r="Q27" s="232">
        <v>865</v>
      </c>
      <c r="R27" s="233">
        <v>8966</v>
      </c>
      <c r="S27" s="232">
        <v>87768</v>
      </c>
      <c r="T27" s="233">
        <v>846221</v>
      </c>
    </row>
    <row r="28" spans="1:20" x14ac:dyDescent="0.15">
      <c r="A28" s="172">
        <v>11</v>
      </c>
      <c r="B28" s="173">
        <v>37328</v>
      </c>
      <c r="C28" s="174" t="s">
        <v>362</v>
      </c>
      <c r="D28" s="27">
        <v>5</v>
      </c>
      <c r="E28" s="27">
        <v>7</v>
      </c>
      <c r="F28" s="27">
        <v>4</v>
      </c>
      <c r="G28" s="27">
        <v>7</v>
      </c>
      <c r="H28" s="27">
        <v>7</v>
      </c>
      <c r="I28" s="27">
        <v>1</v>
      </c>
      <c r="J28" s="7">
        <v>5</v>
      </c>
      <c r="K28" s="222">
        <v>4599892.5</v>
      </c>
      <c r="L28" s="223" t="s">
        <v>23</v>
      </c>
      <c r="M28" s="224"/>
      <c r="N28" s="225">
        <v>382864.8</v>
      </c>
      <c r="O28" s="226">
        <v>3</v>
      </c>
      <c r="P28" s="227">
        <v>34</v>
      </c>
      <c r="Q28" s="226">
        <v>289</v>
      </c>
      <c r="R28" s="227">
        <v>3032</v>
      </c>
      <c r="S28" s="226">
        <v>30274</v>
      </c>
      <c r="T28" s="227">
        <v>312110</v>
      </c>
    </row>
    <row r="29" spans="1:20" x14ac:dyDescent="0.15">
      <c r="A29" s="178"/>
      <c r="B29" s="179">
        <v>37331</v>
      </c>
      <c r="C29" s="180" t="s">
        <v>363</v>
      </c>
      <c r="D29" s="19">
        <v>7</v>
      </c>
      <c r="E29" s="19">
        <v>6</v>
      </c>
      <c r="F29" s="19">
        <v>0</v>
      </c>
      <c r="G29" s="19">
        <v>4</v>
      </c>
      <c r="H29" s="19">
        <v>8</v>
      </c>
      <c r="I29" s="19">
        <v>1</v>
      </c>
      <c r="J29" s="13">
        <v>9</v>
      </c>
      <c r="K29" s="229">
        <v>15443166</v>
      </c>
      <c r="L29" s="230" t="s">
        <v>23</v>
      </c>
      <c r="M29" s="229"/>
      <c r="N29" s="231">
        <v>1412924</v>
      </c>
      <c r="O29" s="232">
        <v>10</v>
      </c>
      <c r="P29" s="233">
        <v>91</v>
      </c>
      <c r="Q29" s="232">
        <v>971</v>
      </c>
      <c r="R29" s="233">
        <v>9404</v>
      </c>
      <c r="S29" s="232">
        <v>93515</v>
      </c>
      <c r="T29" s="233">
        <v>963490</v>
      </c>
    </row>
    <row r="30" spans="1:20" x14ac:dyDescent="0.15">
      <c r="A30" s="172">
        <v>12</v>
      </c>
      <c r="B30" s="173">
        <v>37335</v>
      </c>
      <c r="C30" s="174" t="s">
        <v>362</v>
      </c>
      <c r="D30" s="27">
        <v>3</v>
      </c>
      <c r="E30" s="27">
        <v>2</v>
      </c>
      <c r="F30" s="27">
        <v>8</v>
      </c>
      <c r="G30" s="27">
        <v>5</v>
      </c>
      <c r="H30" s="27">
        <v>4</v>
      </c>
      <c r="I30" s="27">
        <v>3</v>
      </c>
      <c r="J30" s="7">
        <v>8</v>
      </c>
      <c r="K30" s="222">
        <v>4511722.5</v>
      </c>
      <c r="L30" s="223">
        <v>1</v>
      </c>
      <c r="M30" s="224">
        <v>1670000</v>
      </c>
      <c r="N30" s="225">
        <v>43855.9</v>
      </c>
      <c r="O30" s="226">
        <v>3</v>
      </c>
      <c r="P30" s="227">
        <v>32</v>
      </c>
      <c r="Q30" s="226">
        <v>289</v>
      </c>
      <c r="R30" s="227">
        <v>3170</v>
      </c>
      <c r="S30" s="226">
        <v>31036</v>
      </c>
      <c r="T30" s="227">
        <v>296814</v>
      </c>
    </row>
    <row r="31" spans="1:20" x14ac:dyDescent="0.15">
      <c r="A31" s="178"/>
      <c r="B31" s="179">
        <v>37338</v>
      </c>
      <c r="C31" s="180" t="s">
        <v>363</v>
      </c>
      <c r="D31" s="19">
        <v>2</v>
      </c>
      <c r="E31" s="19">
        <v>2</v>
      </c>
      <c r="F31" s="19">
        <v>8</v>
      </c>
      <c r="G31" s="19">
        <v>7</v>
      </c>
      <c r="H31" s="19">
        <v>1</v>
      </c>
      <c r="I31" s="19">
        <v>0</v>
      </c>
      <c r="J31" s="13">
        <v>5</v>
      </c>
      <c r="K31" s="229">
        <v>15214474.5</v>
      </c>
      <c r="L31" s="230">
        <v>1</v>
      </c>
      <c r="M31" s="229">
        <v>970000</v>
      </c>
      <c r="N31" s="231">
        <v>88661.3</v>
      </c>
      <c r="O31" s="232">
        <v>10</v>
      </c>
      <c r="P31" s="233">
        <v>69</v>
      </c>
      <c r="Q31" s="232">
        <v>819</v>
      </c>
      <c r="R31" s="233">
        <v>8464</v>
      </c>
      <c r="S31" s="232">
        <v>83990</v>
      </c>
      <c r="T31" s="233">
        <v>1006224</v>
      </c>
    </row>
    <row r="32" spans="1:20" x14ac:dyDescent="0.15">
      <c r="A32" s="172">
        <v>13</v>
      </c>
      <c r="B32" s="173">
        <v>37342</v>
      </c>
      <c r="C32" s="174" t="s">
        <v>362</v>
      </c>
      <c r="D32" s="27">
        <v>4</v>
      </c>
      <c r="E32" s="27">
        <v>1</v>
      </c>
      <c r="F32" s="27">
        <v>7</v>
      </c>
      <c r="G32" s="27">
        <v>1</v>
      </c>
      <c r="H32" s="27">
        <v>2</v>
      </c>
      <c r="I32" s="27">
        <v>6</v>
      </c>
      <c r="J32" s="7">
        <v>6</v>
      </c>
      <c r="K32" s="222">
        <v>4709101.5</v>
      </c>
      <c r="L32" s="223" t="s">
        <v>23</v>
      </c>
      <c r="M32" s="224"/>
      <c r="N32" s="225">
        <v>402758.40000000002</v>
      </c>
      <c r="O32" s="226">
        <v>3</v>
      </c>
      <c r="P32" s="227">
        <v>25</v>
      </c>
      <c r="Q32" s="226">
        <v>280</v>
      </c>
      <c r="R32" s="227">
        <v>3195</v>
      </c>
      <c r="S32" s="226">
        <v>32298</v>
      </c>
      <c r="T32" s="227">
        <v>298989</v>
      </c>
    </row>
    <row r="33" spans="1:20" x14ac:dyDescent="0.15">
      <c r="A33" s="178"/>
      <c r="B33" s="179">
        <v>37345</v>
      </c>
      <c r="C33" s="180" t="s">
        <v>363</v>
      </c>
      <c r="D33" s="19">
        <v>6</v>
      </c>
      <c r="E33" s="19">
        <v>8</v>
      </c>
      <c r="F33" s="19">
        <v>7</v>
      </c>
      <c r="G33" s="19">
        <v>8</v>
      </c>
      <c r="H33" s="19">
        <v>6</v>
      </c>
      <c r="I33" s="19">
        <v>4</v>
      </c>
      <c r="J33" s="13">
        <v>8</v>
      </c>
      <c r="K33" s="229">
        <v>15560844</v>
      </c>
      <c r="L33" s="230" t="s">
        <v>23</v>
      </c>
      <c r="M33" s="229"/>
      <c r="N33" s="231">
        <v>1440666.7</v>
      </c>
      <c r="O33" s="232">
        <v>5</v>
      </c>
      <c r="P33" s="233">
        <v>101</v>
      </c>
      <c r="Q33" s="232">
        <v>1164</v>
      </c>
      <c r="R33" s="233">
        <v>11100</v>
      </c>
      <c r="S33" s="232">
        <v>110695</v>
      </c>
      <c r="T33" s="233">
        <v>1057787</v>
      </c>
    </row>
    <row r="34" spans="1:20" x14ac:dyDescent="0.15">
      <c r="A34" s="172">
        <v>14</v>
      </c>
      <c r="B34" s="173">
        <v>37349</v>
      </c>
      <c r="C34" s="174" t="s">
        <v>362</v>
      </c>
      <c r="D34" s="27">
        <v>2</v>
      </c>
      <c r="E34" s="27">
        <v>3</v>
      </c>
      <c r="F34" s="27">
        <v>7</v>
      </c>
      <c r="G34" s="27">
        <v>7</v>
      </c>
      <c r="H34" s="27">
        <v>7</v>
      </c>
      <c r="I34" s="27">
        <v>3</v>
      </c>
      <c r="J34" s="7">
        <v>3</v>
      </c>
      <c r="K34" s="222">
        <v>4357120.5</v>
      </c>
      <c r="L34" s="223" t="s">
        <v>23</v>
      </c>
      <c r="M34" s="224"/>
      <c r="N34" s="225">
        <v>1731286.6</v>
      </c>
      <c r="O34" s="226">
        <v>2</v>
      </c>
      <c r="P34" s="227">
        <v>25</v>
      </c>
      <c r="Q34" s="226">
        <v>280</v>
      </c>
      <c r="R34" s="227">
        <v>2784</v>
      </c>
      <c r="S34" s="226">
        <v>28562</v>
      </c>
      <c r="T34" s="227">
        <v>277023</v>
      </c>
    </row>
    <row r="35" spans="1:20" x14ac:dyDescent="0.15">
      <c r="A35" s="178"/>
      <c r="B35" s="179">
        <v>37352</v>
      </c>
      <c r="C35" s="180" t="s">
        <v>363</v>
      </c>
      <c r="D35" s="19">
        <v>3</v>
      </c>
      <c r="E35" s="19">
        <v>4</v>
      </c>
      <c r="F35" s="19">
        <v>5</v>
      </c>
      <c r="G35" s="19">
        <v>9</v>
      </c>
      <c r="H35" s="19">
        <v>1</v>
      </c>
      <c r="I35" s="19">
        <v>0</v>
      </c>
      <c r="J35" s="13">
        <v>5</v>
      </c>
      <c r="K35" s="229">
        <v>15039162</v>
      </c>
      <c r="L35" s="230">
        <v>1</v>
      </c>
      <c r="M35" s="229">
        <v>2670000</v>
      </c>
      <c r="N35" s="231">
        <v>64398.7</v>
      </c>
      <c r="O35" s="232">
        <v>4</v>
      </c>
      <c r="P35" s="233">
        <v>80</v>
      </c>
      <c r="Q35" s="232">
        <v>810</v>
      </c>
      <c r="R35" s="233">
        <v>8425</v>
      </c>
      <c r="S35" s="232">
        <v>83197</v>
      </c>
      <c r="T35" s="233">
        <v>992320</v>
      </c>
    </row>
    <row r="36" spans="1:20" x14ac:dyDescent="0.15">
      <c r="A36" s="172">
        <v>15</v>
      </c>
      <c r="B36" s="173">
        <v>37356</v>
      </c>
      <c r="C36" s="174" t="s">
        <v>362</v>
      </c>
      <c r="D36" s="27">
        <v>9</v>
      </c>
      <c r="E36" s="27">
        <v>0</v>
      </c>
      <c r="F36" s="27">
        <v>4</v>
      </c>
      <c r="G36" s="27">
        <v>0</v>
      </c>
      <c r="H36" s="27">
        <v>5</v>
      </c>
      <c r="I36" s="27">
        <v>7</v>
      </c>
      <c r="J36" s="7">
        <v>6</v>
      </c>
      <c r="K36" s="222">
        <v>4592241</v>
      </c>
      <c r="L36" s="223" t="s">
        <v>23</v>
      </c>
      <c r="M36" s="224"/>
      <c r="N36" s="225">
        <v>370701.2</v>
      </c>
      <c r="O36" s="226">
        <v>5</v>
      </c>
      <c r="P36" s="227">
        <v>32</v>
      </c>
      <c r="Q36" s="226">
        <v>294</v>
      </c>
      <c r="R36" s="227">
        <v>3018</v>
      </c>
      <c r="S36" s="226">
        <v>29727</v>
      </c>
      <c r="T36" s="227">
        <v>296193</v>
      </c>
    </row>
    <row r="37" spans="1:20" x14ac:dyDescent="0.15">
      <c r="A37" s="178"/>
      <c r="B37" s="179">
        <v>37359</v>
      </c>
      <c r="C37" s="180" t="s">
        <v>363</v>
      </c>
      <c r="D37" s="19">
        <v>1</v>
      </c>
      <c r="E37" s="19">
        <v>5</v>
      </c>
      <c r="F37" s="19">
        <v>1</v>
      </c>
      <c r="G37" s="19">
        <v>7</v>
      </c>
      <c r="H37" s="19">
        <v>8</v>
      </c>
      <c r="I37" s="19">
        <v>9</v>
      </c>
      <c r="J37" s="13">
        <v>9</v>
      </c>
      <c r="K37" s="229">
        <v>15114537</v>
      </c>
      <c r="L37" s="230">
        <v>2</v>
      </c>
      <c r="M37" s="229">
        <v>670000</v>
      </c>
      <c r="N37" s="231">
        <v>38840.800000000003</v>
      </c>
      <c r="O37" s="232">
        <v>7</v>
      </c>
      <c r="P37" s="233">
        <v>106</v>
      </c>
      <c r="Q37" s="232">
        <v>973</v>
      </c>
      <c r="R37" s="233">
        <v>9533</v>
      </c>
      <c r="S37" s="232">
        <v>96385</v>
      </c>
      <c r="T37" s="233">
        <v>951723</v>
      </c>
    </row>
    <row r="38" spans="1:20" x14ac:dyDescent="0.15">
      <c r="A38" s="172">
        <v>16</v>
      </c>
      <c r="B38" s="173">
        <v>37363</v>
      </c>
      <c r="C38" s="174" t="s">
        <v>362</v>
      </c>
      <c r="D38" s="27">
        <v>3</v>
      </c>
      <c r="E38" s="27">
        <v>4</v>
      </c>
      <c r="F38" s="27">
        <v>3</v>
      </c>
      <c r="G38" s="27">
        <v>4</v>
      </c>
      <c r="H38" s="27">
        <v>5</v>
      </c>
      <c r="I38" s="27">
        <v>3</v>
      </c>
      <c r="J38" s="7">
        <v>3</v>
      </c>
      <c r="K38" s="222">
        <v>4629144</v>
      </c>
      <c r="L38" s="223" t="s">
        <v>23</v>
      </c>
      <c r="M38" s="224"/>
      <c r="N38" s="225">
        <v>347604.7</v>
      </c>
      <c r="O38" s="226">
        <v>4</v>
      </c>
      <c r="P38" s="227">
        <v>29</v>
      </c>
      <c r="Q38" s="226">
        <v>313</v>
      </c>
      <c r="R38" s="227">
        <v>2848</v>
      </c>
      <c r="S38" s="226">
        <v>30543</v>
      </c>
      <c r="T38" s="227">
        <v>292042</v>
      </c>
    </row>
    <row r="39" spans="1:20" x14ac:dyDescent="0.15">
      <c r="A39" s="178"/>
      <c r="B39" s="179">
        <v>37366</v>
      </c>
      <c r="C39" s="180" t="s">
        <v>363</v>
      </c>
      <c r="D39" s="19">
        <v>9</v>
      </c>
      <c r="E39" s="19">
        <v>4</v>
      </c>
      <c r="F39" s="19">
        <v>1</v>
      </c>
      <c r="G39" s="19">
        <v>5</v>
      </c>
      <c r="H39" s="19">
        <v>7</v>
      </c>
      <c r="I39" s="19">
        <v>3</v>
      </c>
      <c r="J39" s="13">
        <v>5</v>
      </c>
      <c r="K39" s="229">
        <v>15444952.5</v>
      </c>
      <c r="L39" s="230" t="s">
        <v>23</v>
      </c>
      <c r="M39" s="229"/>
      <c r="N39" s="231">
        <v>1377783</v>
      </c>
      <c r="O39" s="232">
        <v>15</v>
      </c>
      <c r="P39" s="233">
        <v>113</v>
      </c>
      <c r="Q39" s="232">
        <v>1086</v>
      </c>
      <c r="R39" s="233">
        <v>10512</v>
      </c>
      <c r="S39" s="232">
        <v>101377</v>
      </c>
      <c r="T39" s="233">
        <v>1005244</v>
      </c>
    </row>
    <row r="40" spans="1:20" x14ac:dyDescent="0.15">
      <c r="A40" s="172">
        <v>17</v>
      </c>
      <c r="B40" s="173">
        <v>37370</v>
      </c>
      <c r="C40" s="174" t="s">
        <v>362</v>
      </c>
      <c r="D40" s="27">
        <v>8</v>
      </c>
      <c r="E40" s="27">
        <v>1</v>
      </c>
      <c r="F40" s="27">
        <v>3</v>
      </c>
      <c r="G40" s="27">
        <v>8</v>
      </c>
      <c r="H40" s="27">
        <v>3</v>
      </c>
      <c r="I40" s="27">
        <v>3</v>
      </c>
      <c r="J40" s="7">
        <v>9</v>
      </c>
      <c r="K40" s="222">
        <v>4921260</v>
      </c>
      <c r="L40" s="223" t="s">
        <v>23</v>
      </c>
      <c r="M40" s="224"/>
      <c r="N40" s="225">
        <v>1706031</v>
      </c>
      <c r="O40" s="226">
        <v>3</v>
      </c>
      <c r="P40" s="227">
        <v>39</v>
      </c>
      <c r="Q40" s="226">
        <v>349</v>
      </c>
      <c r="R40" s="227">
        <v>3036</v>
      </c>
      <c r="S40" s="226">
        <v>30283</v>
      </c>
      <c r="T40" s="227">
        <v>293616</v>
      </c>
    </row>
    <row r="41" spans="1:20" x14ac:dyDescent="0.15">
      <c r="A41" s="178"/>
      <c r="B41" s="179">
        <v>37373</v>
      </c>
      <c r="C41" s="180" t="s">
        <v>363</v>
      </c>
      <c r="D41" s="19">
        <v>0</v>
      </c>
      <c r="E41" s="19">
        <v>7</v>
      </c>
      <c r="F41" s="19">
        <v>8</v>
      </c>
      <c r="G41" s="19">
        <v>2</v>
      </c>
      <c r="H41" s="19">
        <v>5</v>
      </c>
      <c r="I41" s="19">
        <v>0</v>
      </c>
      <c r="J41" s="13">
        <v>5</v>
      </c>
      <c r="K41" s="229">
        <v>16345456.5</v>
      </c>
      <c r="L41" s="230">
        <v>2</v>
      </c>
      <c r="M41" s="229">
        <v>1370000</v>
      </c>
      <c r="N41" s="231">
        <v>56272.9</v>
      </c>
      <c r="O41" s="232">
        <v>7</v>
      </c>
      <c r="P41" s="233">
        <v>83</v>
      </c>
      <c r="Q41" s="232">
        <v>950</v>
      </c>
      <c r="R41" s="233">
        <v>9665</v>
      </c>
      <c r="S41" s="232">
        <v>91975</v>
      </c>
      <c r="T41" s="233">
        <v>1080342</v>
      </c>
    </row>
    <row r="42" spans="1:20" x14ac:dyDescent="0.15">
      <c r="A42" s="172">
        <v>18</v>
      </c>
      <c r="B42" s="173">
        <v>37377</v>
      </c>
      <c r="C42" s="174" t="s">
        <v>362</v>
      </c>
      <c r="D42" s="27">
        <v>6</v>
      </c>
      <c r="E42" s="27">
        <v>5</v>
      </c>
      <c r="F42" s="27">
        <v>6</v>
      </c>
      <c r="G42" s="27">
        <v>6</v>
      </c>
      <c r="H42" s="27">
        <v>5</v>
      </c>
      <c r="I42" s="27">
        <v>7</v>
      </c>
      <c r="J42" s="7">
        <v>3</v>
      </c>
      <c r="K42" s="222">
        <v>5907618</v>
      </c>
      <c r="L42" s="223" t="s">
        <v>23</v>
      </c>
      <c r="M42" s="224"/>
      <c r="N42" s="225">
        <v>450311</v>
      </c>
      <c r="O42" s="226">
        <v>4</v>
      </c>
      <c r="P42" s="227">
        <v>32</v>
      </c>
      <c r="Q42" s="226">
        <v>415</v>
      </c>
      <c r="R42" s="227">
        <v>3761</v>
      </c>
      <c r="S42" s="226">
        <v>37123</v>
      </c>
      <c r="T42" s="227">
        <v>373803</v>
      </c>
    </row>
    <row r="43" spans="1:20" x14ac:dyDescent="0.15">
      <c r="A43" s="178"/>
      <c r="B43" s="179">
        <v>37380</v>
      </c>
      <c r="C43" s="180" t="s">
        <v>363</v>
      </c>
      <c r="D43" s="19">
        <v>5</v>
      </c>
      <c r="E43" s="19">
        <v>9</v>
      </c>
      <c r="F43" s="19">
        <v>4</v>
      </c>
      <c r="G43" s="19">
        <v>6</v>
      </c>
      <c r="H43" s="19">
        <v>0</v>
      </c>
      <c r="I43" s="19">
        <v>7</v>
      </c>
      <c r="J43" s="13">
        <v>3</v>
      </c>
      <c r="K43" s="229">
        <v>18930993</v>
      </c>
      <c r="L43" s="230">
        <v>3</v>
      </c>
      <c r="M43" s="229">
        <v>570000</v>
      </c>
      <c r="N43" s="231">
        <v>3008.2</v>
      </c>
      <c r="O43" s="232">
        <v>11</v>
      </c>
      <c r="P43" s="233">
        <v>123</v>
      </c>
      <c r="Q43" s="232">
        <v>1123</v>
      </c>
      <c r="R43" s="233">
        <v>11441</v>
      </c>
      <c r="S43" s="232">
        <v>120831</v>
      </c>
      <c r="T43" s="233">
        <v>1212843</v>
      </c>
    </row>
    <row r="44" spans="1:20" x14ac:dyDescent="0.15">
      <c r="A44" s="172">
        <v>19</v>
      </c>
      <c r="B44" s="173">
        <v>37384</v>
      </c>
      <c r="C44" s="174" t="s">
        <v>362</v>
      </c>
      <c r="D44" s="27">
        <v>1</v>
      </c>
      <c r="E44" s="27">
        <v>3</v>
      </c>
      <c r="F44" s="27">
        <v>8</v>
      </c>
      <c r="G44" s="27">
        <v>6</v>
      </c>
      <c r="H44" s="27">
        <v>7</v>
      </c>
      <c r="I44" s="27">
        <v>8</v>
      </c>
      <c r="J44" s="7">
        <v>7</v>
      </c>
      <c r="K44" s="222">
        <v>5051740.5</v>
      </c>
      <c r="L44" s="234" t="s">
        <v>23</v>
      </c>
      <c r="M44" s="224"/>
      <c r="N44" s="225">
        <v>339959.3</v>
      </c>
      <c r="O44" s="226">
        <v>1</v>
      </c>
      <c r="P44" s="227">
        <v>34</v>
      </c>
      <c r="Q44" s="226">
        <v>314</v>
      </c>
      <c r="R44" s="227">
        <v>3277</v>
      </c>
      <c r="S44" s="226">
        <v>31451</v>
      </c>
      <c r="T44" s="227">
        <v>334475</v>
      </c>
    </row>
    <row r="45" spans="1:20" x14ac:dyDescent="0.15">
      <c r="A45" s="178"/>
      <c r="B45" s="179">
        <v>37387</v>
      </c>
      <c r="C45" s="180" t="s">
        <v>363</v>
      </c>
      <c r="D45" s="19">
        <v>2</v>
      </c>
      <c r="E45" s="19">
        <v>3</v>
      </c>
      <c r="F45" s="19">
        <v>2</v>
      </c>
      <c r="G45" s="19">
        <v>5</v>
      </c>
      <c r="H45" s="19">
        <v>5</v>
      </c>
      <c r="I45" s="19">
        <v>1</v>
      </c>
      <c r="J45" s="13">
        <v>5</v>
      </c>
      <c r="K45" s="229">
        <v>15199023</v>
      </c>
      <c r="L45" s="230">
        <v>1</v>
      </c>
      <c r="M45" s="229">
        <v>1270000</v>
      </c>
      <c r="N45" s="231">
        <v>83734.100000000006</v>
      </c>
      <c r="O45" s="232">
        <v>5</v>
      </c>
      <c r="P45" s="233">
        <v>102</v>
      </c>
      <c r="Q45" s="232">
        <v>999</v>
      </c>
      <c r="R45" s="233">
        <v>10110</v>
      </c>
      <c r="S45" s="232">
        <v>98514</v>
      </c>
      <c r="T45" s="233">
        <v>1020868</v>
      </c>
    </row>
    <row r="46" spans="1:20" x14ac:dyDescent="0.15">
      <c r="A46" s="172">
        <v>20</v>
      </c>
      <c r="B46" s="173">
        <v>37391</v>
      </c>
      <c r="C46" s="174" t="s">
        <v>362</v>
      </c>
      <c r="D46" s="27">
        <v>8</v>
      </c>
      <c r="E46" s="27">
        <v>8</v>
      </c>
      <c r="F46" s="27">
        <v>7</v>
      </c>
      <c r="G46" s="27">
        <v>6</v>
      </c>
      <c r="H46" s="27">
        <v>8</v>
      </c>
      <c r="I46" s="27">
        <v>0</v>
      </c>
      <c r="J46" s="7">
        <v>5</v>
      </c>
      <c r="K46" s="222">
        <v>4886838</v>
      </c>
      <c r="L46" s="223" t="s">
        <v>23</v>
      </c>
      <c r="M46" s="224"/>
      <c r="N46" s="225">
        <v>409686.2</v>
      </c>
      <c r="O46" s="226">
        <v>2</v>
      </c>
      <c r="P46" s="227">
        <v>32</v>
      </c>
      <c r="Q46" s="226">
        <v>303</v>
      </c>
      <c r="R46" s="227">
        <v>2958</v>
      </c>
      <c r="S46" s="226">
        <v>29454</v>
      </c>
      <c r="T46" s="227">
        <v>345059</v>
      </c>
    </row>
    <row r="47" spans="1:20" x14ac:dyDescent="0.15">
      <c r="A47" s="178"/>
      <c r="B47" s="179">
        <v>37394</v>
      </c>
      <c r="C47" s="180" t="s">
        <v>363</v>
      </c>
      <c r="D47" s="19">
        <v>5</v>
      </c>
      <c r="E47" s="19">
        <v>6</v>
      </c>
      <c r="F47" s="19">
        <v>6</v>
      </c>
      <c r="G47" s="19">
        <v>6</v>
      </c>
      <c r="H47" s="19">
        <v>0</v>
      </c>
      <c r="I47" s="19">
        <v>8</v>
      </c>
      <c r="J47" s="13">
        <v>5</v>
      </c>
      <c r="K47" s="229">
        <v>15329617.5</v>
      </c>
      <c r="L47" s="230">
        <v>1</v>
      </c>
      <c r="M47" s="229">
        <v>1370000</v>
      </c>
      <c r="N47" s="231">
        <v>62171.7</v>
      </c>
      <c r="O47" s="232">
        <v>12</v>
      </c>
      <c r="P47" s="233">
        <v>88</v>
      </c>
      <c r="Q47" s="232">
        <v>953</v>
      </c>
      <c r="R47" s="233">
        <v>9805</v>
      </c>
      <c r="S47" s="232">
        <v>104193</v>
      </c>
      <c r="T47" s="233">
        <v>1038290</v>
      </c>
    </row>
    <row r="48" spans="1:20" x14ac:dyDescent="0.15">
      <c r="A48" s="172">
        <v>21</v>
      </c>
      <c r="B48" s="173">
        <v>37398</v>
      </c>
      <c r="C48" s="174" t="s">
        <v>362</v>
      </c>
      <c r="D48" s="27">
        <v>5</v>
      </c>
      <c r="E48" s="27">
        <v>1</v>
      </c>
      <c r="F48" s="27">
        <v>3</v>
      </c>
      <c r="G48" s="27">
        <v>8</v>
      </c>
      <c r="H48" s="27">
        <v>8</v>
      </c>
      <c r="I48" s="27">
        <v>7</v>
      </c>
      <c r="J48" s="7">
        <v>6</v>
      </c>
      <c r="K48" s="222">
        <v>4457319</v>
      </c>
      <c r="L48" s="223">
        <v>2</v>
      </c>
      <c r="M48" s="224">
        <v>170000</v>
      </c>
      <c r="N48" s="225">
        <v>19474.900000000001</v>
      </c>
      <c r="O48" s="226">
        <v>1</v>
      </c>
      <c r="P48" s="227">
        <v>27</v>
      </c>
      <c r="Q48" s="226">
        <v>277</v>
      </c>
      <c r="R48" s="227">
        <v>3108</v>
      </c>
      <c r="S48" s="226">
        <v>29154</v>
      </c>
      <c r="T48" s="227">
        <v>287162</v>
      </c>
    </row>
    <row r="49" spans="1:21" x14ac:dyDescent="0.15">
      <c r="A49" s="178"/>
      <c r="B49" s="179">
        <v>37401</v>
      </c>
      <c r="C49" s="180" t="s">
        <v>363</v>
      </c>
      <c r="D49" s="19">
        <v>0</v>
      </c>
      <c r="E49" s="19">
        <v>5</v>
      </c>
      <c r="F49" s="19">
        <v>8</v>
      </c>
      <c r="G49" s="19">
        <v>6</v>
      </c>
      <c r="H49" s="19">
        <v>8</v>
      </c>
      <c r="I49" s="19">
        <v>8</v>
      </c>
      <c r="J49" s="13">
        <v>1</v>
      </c>
      <c r="K49" s="229">
        <v>14756494.5</v>
      </c>
      <c r="L49" s="230" t="s">
        <v>23</v>
      </c>
      <c r="M49" s="229"/>
      <c r="N49" s="231">
        <v>1003733.1</v>
      </c>
      <c r="O49" s="232">
        <v>6</v>
      </c>
      <c r="P49" s="233">
        <v>67</v>
      </c>
      <c r="Q49" s="232">
        <v>719</v>
      </c>
      <c r="R49" s="233">
        <v>7080</v>
      </c>
      <c r="S49" s="232">
        <v>71357</v>
      </c>
      <c r="T49" s="233">
        <v>732042</v>
      </c>
    </row>
    <row r="50" spans="1:21" x14ac:dyDescent="0.15">
      <c r="A50" s="172">
        <v>22</v>
      </c>
      <c r="B50" s="173">
        <v>37405</v>
      </c>
      <c r="C50" s="174" t="s">
        <v>362</v>
      </c>
      <c r="D50" s="27">
        <v>5</v>
      </c>
      <c r="E50" s="27">
        <v>1</v>
      </c>
      <c r="F50" s="27">
        <v>4</v>
      </c>
      <c r="G50" s="27">
        <v>3</v>
      </c>
      <c r="H50" s="27">
        <v>9</v>
      </c>
      <c r="I50" s="27">
        <v>4</v>
      </c>
      <c r="J50" s="7">
        <v>5</v>
      </c>
      <c r="K50" s="222">
        <v>4533658.5</v>
      </c>
      <c r="L50" s="223">
        <v>1</v>
      </c>
      <c r="M50" s="224">
        <v>1270000</v>
      </c>
      <c r="N50" s="225">
        <v>36128.1</v>
      </c>
      <c r="O50" s="226">
        <v>5</v>
      </c>
      <c r="P50" s="227">
        <v>36</v>
      </c>
      <c r="Q50" s="226">
        <v>338</v>
      </c>
      <c r="R50" s="227">
        <v>3371</v>
      </c>
      <c r="S50" s="226">
        <v>33099</v>
      </c>
      <c r="T50" s="227">
        <v>328816</v>
      </c>
    </row>
    <row r="51" spans="1:21" x14ac:dyDescent="0.15">
      <c r="A51" s="178"/>
      <c r="B51" s="179">
        <v>37408</v>
      </c>
      <c r="C51" s="180" t="s">
        <v>363</v>
      </c>
      <c r="D51" s="19">
        <v>0</v>
      </c>
      <c r="E51" s="19">
        <v>4</v>
      </c>
      <c r="F51" s="19">
        <v>1</v>
      </c>
      <c r="G51" s="19">
        <v>0</v>
      </c>
      <c r="H51" s="19">
        <v>6</v>
      </c>
      <c r="I51" s="19">
        <v>9</v>
      </c>
      <c r="J51" s="13">
        <v>8</v>
      </c>
      <c r="K51" s="229">
        <v>14724645</v>
      </c>
      <c r="L51" s="230">
        <v>1</v>
      </c>
      <c r="M51" s="229">
        <v>970000</v>
      </c>
      <c r="N51" s="231">
        <v>48261.9</v>
      </c>
      <c r="O51" s="232">
        <v>11</v>
      </c>
      <c r="P51" s="233">
        <v>100</v>
      </c>
      <c r="Q51" s="232">
        <v>974</v>
      </c>
      <c r="R51" s="233">
        <v>10137</v>
      </c>
      <c r="S51" s="232">
        <v>98826</v>
      </c>
      <c r="T51" s="233">
        <v>1008308</v>
      </c>
    </row>
    <row r="52" spans="1:21" x14ac:dyDescent="0.15">
      <c r="A52" s="172">
        <v>23</v>
      </c>
      <c r="B52" s="173">
        <v>37412</v>
      </c>
      <c r="C52" s="174" t="s">
        <v>362</v>
      </c>
      <c r="D52" s="27">
        <v>0</v>
      </c>
      <c r="E52" s="27">
        <v>1</v>
      </c>
      <c r="F52" s="27">
        <v>3</v>
      </c>
      <c r="G52" s="27">
        <v>3</v>
      </c>
      <c r="H52" s="27">
        <v>4</v>
      </c>
      <c r="I52" s="27">
        <v>1</v>
      </c>
      <c r="J52" s="7">
        <v>6</v>
      </c>
      <c r="K52" s="222">
        <v>4600224</v>
      </c>
      <c r="L52" s="223">
        <v>1</v>
      </c>
      <c r="M52" s="224">
        <v>270000</v>
      </c>
      <c r="N52" s="225">
        <v>85096.8</v>
      </c>
      <c r="O52" s="226" t="s">
        <v>17</v>
      </c>
      <c r="P52" s="227">
        <v>25</v>
      </c>
      <c r="Q52" s="226">
        <v>314</v>
      </c>
      <c r="R52" s="227">
        <v>2954</v>
      </c>
      <c r="S52" s="226">
        <v>28753</v>
      </c>
      <c r="T52" s="227">
        <v>301429</v>
      </c>
    </row>
    <row r="53" spans="1:21" x14ac:dyDescent="0.15">
      <c r="A53" s="178"/>
      <c r="B53" s="179">
        <v>37415</v>
      </c>
      <c r="C53" s="180" t="s">
        <v>363</v>
      </c>
      <c r="D53" s="19">
        <v>1</v>
      </c>
      <c r="E53" s="19">
        <v>4</v>
      </c>
      <c r="F53" s="19">
        <v>5</v>
      </c>
      <c r="G53" s="19">
        <v>7</v>
      </c>
      <c r="H53" s="19">
        <v>7</v>
      </c>
      <c r="I53" s="19">
        <v>5</v>
      </c>
      <c r="J53" s="13">
        <v>7</v>
      </c>
      <c r="K53" s="229">
        <v>15189877.5</v>
      </c>
      <c r="L53" s="230" t="s">
        <v>23</v>
      </c>
      <c r="M53" s="229"/>
      <c r="N53" s="231">
        <v>1098261.6000000001</v>
      </c>
      <c r="O53" s="232">
        <v>11</v>
      </c>
      <c r="P53" s="233">
        <v>111</v>
      </c>
      <c r="Q53" s="232">
        <v>931</v>
      </c>
      <c r="R53" s="233">
        <v>10386</v>
      </c>
      <c r="S53" s="232">
        <v>98650</v>
      </c>
      <c r="T53" s="233">
        <v>981871</v>
      </c>
    </row>
    <row r="54" spans="1:21" x14ac:dyDescent="0.15">
      <c r="A54" s="172">
        <v>24</v>
      </c>
      <c r="B54" s="173">
        <v>37419</v>
      </c>
      <c r="C54" s="174" t="s">
        <v>362</v>
      </c>
      <c r="D54" s="27">
        <v>4</v>
      </c>
      <c r="E54" s="27">
        <v>3</v>
      </c>
      <c r="F54" s="27">
        <v>9</v>
      </c>
      <c r="G54" s="27">
        <v>9</v>
      </c>
      <c r="H54" s="27">
        <v>7</v>
      </c>
      <c r="I54" s="27">
        <v>6</v>
      </c>
      <c r="J54" s="7">
        <v>3</v>
      </c>
      <c r="K54" s="222">
        <v>4496190</v>
      </c>
      <c r="L54" s="223">
        <v>1</v>
      </c>
      <c r="M54" s="224">
        <v>1370000</v>
      </c>
      <c r="N54" s="225">
        <v>28157.5</v>
      </c>
      <c r="O54" s="226">
        <v>3</v>
      </c>
      <c r="P54" s="227">
        <v>35</v>
      </c>
      <c r="Q54" s="226">
        <v>304</v>
      </c>
      <c r="R54" s="227">
        <v>2841</v>
      </c>
      <c r="S54" s="226">
        <v>28029</v>
      </c>
      <c r="T54" s="227">
        <v>283794</v>
      </c>
    </row>
    <row r="55" spans="1:21" x14ac:dyDescent="0.15">
      <c r="A55" s="178"/>
      <c r="B55" s="179">
        <v>37422</v>
      </c>
      <c r="C55" s="180" t="s">
        <v>363</v>
      </c>
      <c r="D55" s="19">
        <v>3</v>
      </c>
      <c r="E55" s="19">
        <v>1</v>
      </c>
      <c r="F55" s="19">
        <v>3</v>
      </c>
      <c r="G55" s="19">
        <v>4</v>
      </c>
      <c r="H55" s="19">
        <v>0</v>
      </c>
      <c r="I55" s="19">
        <v>6</v>
      </c>
      <c r="J55" s="13">
        <v>5</v>
      </c>
      <c r="K55" s="229">
        <v>14657362.5</v>
      </c>
      <c r="L55" s="230">
        <v>1</v>
      </c>
      <c r="M55" s="229">
        <v>970000</v>
      </c>
      <c r="N55" s="231">
        <v>35803.599999999999</v>
      </c>
      <c r="O55" s="232">
        <v>12</v>
      </c>
      <c r="P55" s="233">
        <v>93</v>
      </c>
      <c r="Q55" s="232">
        <v>934</v>
      </c>
      <c r="R55" s="233">
        <v>9848</v>
      </c>
      <c r="S55" s="232">
        <v>105575</v>
      </c>
      <c r="T55" s="233">
        <v>1027049</v>
      </c>
    </row>
    <row r="56" spans="1:21" x14ac:dyDescent="0.15">
      <c r="A56" s="172">
        <v>25</v>
      </c>
      <c r="B56" s="173">
        <v>37426</v>
      </c>
      <c r="C56" s="174" t="s">
        <v>362</v>
      </c>
      <c r="D56" s="27">
        <v>0</v>
      </c>
      <c r="E56" s="27">
        <v>4</v>
      </c>
      <c r="F56" s="27">
        <v>3</v>
      </c>
      <c r="G56" s="27">
        <v>8</v>
      </c>
      <c r="H56" s="27">
        <v>7</v>
      </c>
      <c r="I56" s="27">
        <v>1</v>
      </c>
      <c r="J56" s="7">
        <v>2</v>
      </c>
      <c r="K56" s="222">
        <v>4349583</v>
      </c>
      <c r="L56" s="234" t="s">
        <v>23</v>
      </c>
      <c r="M56" s="224"/>
      <c r="N56" s="225">
        <v>325920.8</v>
      </c>
      <c r="O56" s="226">
        <v>1</v>
      </c>
      <c r="P56" s="227">
        <v>29</v>
      </c>
      <c r="Q56" s="226">
        <v>250</v>
      </c>
      <c r="R56" s="227">
        <v>2357</v>
      </c>
      <c r="S56" s="226">
        <v>23426</v>
      </c>
      <c r="T56" s="227">
        <v>226094</v>
      </c>
      <c r="U56" s="240"/>
    </row>
    <row r="57" spans="1:21" x14ac:dyDescent="0.15">
      <c r="A57" s="178"/>
      <c r="B57" s="179">
        <v>37429</v>
      </c>
      <c r="C57" s="180" t="s">
        <v>363</v>
      </c>
      <c r="D57" s="19">
        <v>5</v>
      </c>
      <c r="E57" s="19">
        <v>4</v>
      </c>
      <c r="F57" s="19">
        <v>9</v>
      </c>
      <c r="G57" s="19">
        <v>8</v>
      </c>
      <c r="H57" s="19">
        <v>1</v>
      </c>
      <c r="I57" s="19">
        <v>5</v>
      </c>
      <c r="J57" s="13">
        <v>3</v>
      </c>
      <c r="K57" s="229">
        <v>14343867</v>
      </c>
      <c r="L57" s="230" t="s">
        <v>23</v>
      </c>
      <c r="M57" s="229"/>
      <c r="N57" s="231">
        <v>1282656.7</v>
      </c>
      <c r="O57" s="232">
        <v>16</v>
      </c>
      <c r="P57" s="233">
        <v>81</v>
      </c>
      <c r="Q57" s="232">
        <v>981</v>
      </c>
      <c r="R57" s="233">
        <v>9571</v>
      </c>
      <c r="S57" s="232">
        <v>93286</v>
      </c>
      <c r="T57" s="233">
        <v>917609</v>
      </c>
    </row>
    <row r="58" spans="1:21" x14ac:dyDescent="0.15">
      <c r="A58" s="172">
        <v>26</v>
      </c>
      <c r="B58" s="173">
        <v>37433</v>
      </c>
      <c r="C58" s="174" t="s">
        <v>362</v>
      </c>
      <c r="D58" s="27">
        <v>6</v>
      </c>
      <c r="E58" s="27">
        <v>1</v>
      </c>
      <c r="F58" s="27">
        <v>7</v>
      </c>
      <c r="G58" s="27">
        <v>5</v>
      </c>
      <c r="H58" s="27">
        <v>8</v>
      </c>
      <c r="I58" s="27">
        <v>9</v>
      </c>
      <c r="J58" s="7">
        <v>1</v>
      </c>
      <c r="K58" s="222">
        <v>4313776.5</v>
      </c>
      <c r="L58" s="223">
        <v>1</v>
      </c>
      <c r="M58" s="224">
        <v>1570000</v>
      </c>
      <c r="N58" s="225">
        <v>385.6</v>
      </c>
      <c r="O58" s="226">
        <v>3</v>
      </c>
      <c r="P58" s="227">
        <v>35</v>
      </c>
      <c r="Q58" s="226">
        <v>199</v>
      </c>
      <c r="R58" s="227">
        <v>2019</v>
      </c>
      <c r="S58" s="226">
        <v>20779</v>
      </c>
      <c r="T58" s="227">
        <v>218434</v>
      </c>
    </row>
    <row r="59" spans="1:21" x14ac:dyDescent="0.15">
      <c r="A59" s="178"/>
      <c r="B59" s="179">
        <v>37436</v>
      </c>
      <c r="C59" s="180" t="s">
        <v>363</v>
      </c>
      <c r="D59" s="38">
        <v>0</v>
      </c>
      <c r="E59" s="38">
        <v>0</v>
      </c>
      <c r="F59" s="38">
        <v>0</v>
      </c>
      <c r="G59" s="38">
        <v>9</v>
      </c>
      <c r="H59" s="38">
        <v>4</v>
      </c>
      <c r="I59" s="38">
        <v>2</v>
      </c>
      <c r="J59" s="39">
        <v>8</v>
      </c>
      <c r="K59" s="229">
        <v>14687830.5</v>
      </c>
      <c r="L59" s="230">
        <v>1</v>
      </c>
      <c r="M59" s="229">
        <v>970000</v>
      </c>
      <c r="N59" s="231">
        <v>10063.9</v>
      </c>
      <c r="O59" s="232">
        <v>7</v>
      </c>
      <c r="P59" s="233">
        <v>96</v>
      </c>
      <c r="Q59" s="232">
        <v>1026</v>
      </c>
      <c r="R59" s="233">
        <v>10256</v>
      </c>
      <c r="S59" s="232">
        <v>101774</v>
      </c>
      <c r="T59" s="233">
        <v>1004936</v>
      </c>
    </row>
    <row r="60" spans="1:21" s="90" customFormat="1" x14ac:dyDescent="0.15">
      <c r="A60" s="130"/>
      <c r="B60" s="97"/>
      <c r="C60" s="97"/>
      <c r="D60" s="260"/>
      <c r="E60" s="260"/>
      <c r="F60" s="260"/>
      <c r="G60" s="260"/>
      <c r="H60" s="260"/>
      <c r="I60" s="260" t="s">
        <v>24</v>
      </c>
      <c r="J60" s="260"/>
      <c r="K60" s="270"/>
      <c r="L60" s="259">
        <f>SUM(L8:L59)</f>
        <v>38</v>
      </c>
      <c r="M60" s="271"/>
      <c r="N60" s="259"/>
      <c r="O60" s="259">
        <f t="shared" ref="O60:T60" si="0">SUM(O8:O59)</f>
        <v>301</v>
      </c>
      <c r="P60" s="259">
        <f t="shared" si="0"/>
        <v>3256</v>
      </c>
      <c r="Q60" s="259">
        <f t="shared" si="0"/>
        <v>32685</v>
      </c>
      <c r="R60" s="259">
        <f t="shared" si="0"/>
        <v>330311</v>
      </c>
      <c r="S60" s="259">
        <f t="shared" si="0"/>
        <v>3290013</v>
      </c>
      <c r="T60" s="272">
        <f t="shared" si="0"/>
        <v>33301791</v>
      </c>
    </row>
    <row r="61" spans="1:21" s="90" customFormat="1" x14ac:dyDescent="0.15"/>
    <row r="64" spans="1:21" ht="12.75" x14ac:dyDescent="0.2">
      <c r="A64" s="1" t="s">
        <v>364</v>
      </c>
      <c r="T64" s="3" t="s">
        <v>424</v>
      </c>
    </row>
    <row r="65" spans="1:20" ht="11.1" customHeight="1" x14ac:dyDescent="0.15">
      <c r="A65" s="6" t="s">
        <v>2</v>
      </c>
    </row>
    <row r="66" spans="1:20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0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0" ht="11.1" customHeight="1" x14ac:dyDescent="0.15">
      <c r="A68" s="13" t="s">
        <v>428</v>
      </c>
      <c r="B68" s="14">
        <v>2002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366</v>
      </c>
      <c r="M68" s="18"/>
      <c r="N68" s="13" t="s">
        <v>367</v>
      </c>
      <c r="O68" s="239">
        <v>70000</v>
      </c>
      <c r="P68" s="239">
        <v>7000</v>
      </c>
      <c r="Q68" s="239">
        <v>700</v>
      </c>
      <c r="R68" s="239">
        <v>70</v>
      </c>
      <c r="S68" s="239">
        <v>7</v>
      </c>
      <c r="T68" s="239">
        <v>2.5</v>
      </c>
    </row>
    <row r="69" spans="1:20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</row>
    <row r="70" spans="1:20" x14ac:dyDescent="0.15">
      <c r="A70" s="172">
        <v>27</v>
      </c>
      <c r="B70" s="173">
        <v>37440</v>
      </c>
      <c r="C70" s="174" t="s">
        <v>362</v>
      </c>
      <c r="D70" s="27">
        <v>0</v>
      </c>
      <c r="E70" s="27">
        <v>5</v>
      </c>
      <c r="F70" s="27">
        <v>8</v>
      </c>
      <c r="G70" s="27">
        <v>8</v>
      </c>
      <c r="H70" s="27">
        <v>6</v>
      </c>
      <c r="I70" s="27">
        <v>1</v>
      </c>
      <c r="J70" s="7">
        <v>4</v>
      </c>
      <c r="K70" s="222">
        <v>4429749</v>
      </c>
      <c r="L70" s="223">
        <v>1</v>
      </c>
      <c r="M70" s="224">
        <v>270000</v>
      </c>
      <c r="N70" s="225">
        <v>35528.199999999997</v>
      </c>
      <c r="O70" s="226">
        <v>2</v>
      </c>
      <c r="P70" s="227">
        <v>26</v>
      </c>
      <c r="Q70" s="226">
        <v>222</v>
      </c>
      <c r="R70" s="227">
        <v>2413</v>
      </c>
      <c r="S70" s="226">
        <v>24190</v>
      </c>
      <c r="T70" s="227">
        <v>245111</v>
      </c>
    </row>
    <row r="71" spans="1:20" x14ac:dyDescent="0.15">
      <c r="A71" s="178"/>
      <c r="B71" s="179">
        <v>37443</v>
      </c>
      <c r="C71" s="180" t="s">
        <v>363</v>
      </c>
      <c r="D71" s="19">
        <v>2</v>
      </c>
      <c r="E71" s="19">
        <v>5</v>
      </c>
      <c r="F71" s="19">
        <v>5</v>
      </c>
      <c r="G71" s="19">
        <v>2</v>
      </c>
      <c r="H71" s="19">
        <v>8</v>
      </c>
      <c r="I71" s="19">
        <v>6</v>
      </c>
      <c r="J71" s="13">
        <v>3</v>
      </c>
      <c r="K71" s="229">
        <v>14570461.5</v>
      </c>
      <c r="L71" s="230" t="s">
        <v>23</v>
      </c>
      <c r="M71" s="229"/>
      <c r="N71" s="231">
        <v>1007378</v>
      </c>
      <c r="O71" s="232">
        <v>14</v>
      </c>
      <c r="P71" s="233">
        <v>105</v>
      </c>
      <c r="Q71" s="232">
        <v>981</v>
      </c>
      <c r="R71" s="233">
        <v>9622</v>
      </c>
      <c r="S71" s="232">
        <v>93674</v>
      </c>
      <c r="T71" s="233">
        <v>937703</v>
      </c>
    </row>
    <row r="72" spans="1:20" x14ac:dyDescent="0.15">
      <c r="A72" s="172">
        <v>28</v>
      </c>
      <c r="B72" s="173">
        <v>37447</v>
      </c>
      <c r="C72" s="174" t="s">
        <v>362</v>
      </c>
      <c r="D72" s="27">
        <v>4</v>
      </c>
      <c r="E72" s="27">
        <v>4</v>
      </c>
      <c r="F72" s="27">
        <v>2</v>
      </c>
      <c r="G72" s="27">
        <v>1</v>
      </c>
      <c r="H72" s="27">
        <v>8</v>
      </c>
      <c r="I72" s="27">
        <v>7</v>
      </c>
      <c r="J72" s="7">
        <v>8</v>
      </c>
      <c r="K72" s="222">
        <v>4346017.5</v>
      </c>
      <c r="L72" s="223" t="s">
        <v>23</v>
      </c>
      <c r="M72" s="224"/>
      <c r="N72" s="225">
        <v>1297257.3999999999</v>
      </c>
      <c r="O72" s="226" t="s">
        <v>17</v>
      </c>
      <c r="P72" s="227">
        <v>30</v>
      </c>
      <c r="Q72" s="226">
        <v>293</v>
      </c>
      <c r="R72" s="227">
        <v>2958</v>
      </c>
      <c r="S72" s="226">
        <v>28611</v>
      </c>
      <c r="T72" s="227">
        <v>286181</v>
      </c>
    </row>
    <row r="73" spans="1:20" x14ac:dyDescent="0.15">
      <c r="A73" s="178"/>
      <c r="B73" s="179">
        <v>37450</v>
      </c>
      <c r="C73" s="180" t="s">
        <v>363</v>
      </c>
      <c r="D73" s="19">
        <v>0</v>
      </c>
      <c r="E73" s="19">
        <v>9</v>
      </c>
      <c r="F73" s="19">
        <v>7</v>
      </c>
      <c r="G73" s="19">
        <v>1</v>
      </c>
      <c r="H73" s="19">
        <v>3</v>
      </c>
      <c r="I73" s="19">
        <v>1</v>
      </c>
      <c r="J73" s="13">
        <v>5</v>
      </c>
      <c r="K73" s="229">
        <v>14445243</v>
      </c>
      <c r="L73" s="230">
        <v>2</v>
      </c>
      <c r="M73" s="229">
        <v>1070000</v>
      </c>
      <c r="N73" s="231">
        <v>120755.1</v>
      </c>
      <c r="O73" s="232">
        <v>9</v>
      </c>
      <c r="P73" s="233">
        <v>105</v>
      </c>
      <c r="Q73" s="232">
        <v>976</v>
      </c>
      <c r="R73" s="233">
        <v>10051</v>
      </c>
      <c r="S73" s="232">
        <v>99403</v>
      </c>
      <c r="T73" s="233">
        <v>1026545</v>
      </c>
    </row>
    <row r="74" spans="1:20" x14ac:dyDescent="0.15">
      <c r="A74" s="172">
        <v>29</v>
      </c>
      <c r="B74" s="173">
        <v>37454</v>
      </c>
      <c r="C74" s="174" t="s">
        <v>362</v>
      </c>
      <c r="D74" s="27">
        <v>0</v>
      </c>
      <c r="E74" s="27">
        <v>4</v>
      </c>
      <c r="F74" s="27">
        <v>2</v>
      </c>
      <c r="G74" s="27">
        <v>4</v>
      </c>
      <c r="H74" s="27">
        <v>2</v>
      </c>
      <c r="I74" s="27">
        <v>9</v>
      </c>
      <c r="J74" s="7">
        <v>7</v>
      </c>
      <c r="K74" s="222">
        <v>4478895</v>
      </c>
      <c r="L74" s="223" t="s">
        <v>23</v>
      </c>
      <c r="M74" s="224"/>
      <c r="N74" s="225">
        <v>419497.4</v>
      </c>
      <c r="O74" s="226">
        <v>2</v>
      </c>
      <c r="P74" s="227">
        <v>30</v>
      </c>
      <c r="Q74" s="226">
        <v>284</v>
      </c>
      <c r="R74" s="227">
        <v>2757</v>
      </c>
      <c r="S74" s="226">
        <v>27786</v>
      </c>
      <c r="T74" s="227">
        <v>297083</v>
      </c>
    </row>
    <row r="75" spans="1:20" x14ac:dyDescent="0.15">
      <c r="A75" s="178"/>
      <c r="B75" s="179">
        <v>37457</v>
      </c>
      <c r="C75" s="180" t="s">
        <v>363</v>
      </c>
      <c r="D75" s="19">
        <v>7</v>
      </c>
      <c r="E75" s="19">
        <v>2</v>
      </c>
      <c r="F75" s="19">
        <v>8</v>
      </c>
      <c r="G75" s="19">
        <v>6</v>
      </c>
      <c r="H75" s="19">
        <v>3</v>
      </c>
      <c r="I75" s="19">
        <v>4</v>
      </c>
      <c r="J75" s="13">
        <v>5</v>
      </c>
      <c r="K75" s="229">
        <v>14792514</v>
      </c>
      <c r="L75" s="230">
        <v>1</v>
      </c>
      <c r="M75" s="229">
        <v>1370000</v>
      </c>
      <c r="N75" s="231">
        <v>36158.1</v>
      </c>
      <c r="O75" s="232">
        <v>14</v>
      </c>
      <c r="P75" s="233">
        <v>108</v>
      </c>
      <c r="Q75" s="232">
        <v>1124</v>
      </c>
      <c r="R75" s="233">
        <v>10870</v>
      </c>
      <c r="S75" s="232">
        <v>106694</v>
      </c>
      <c r="T75" s="233">
        <v>1042733</v>
      </c>
    </row>
    <row r="76" spans="1:20" x14ac:dyDescent="0.15">
      <c r="A76" s="172">
        <v>30</v>
      </c>
      <c r="B76" s="173">
        <v>37461</v>
      </c>
      <c r="C76" s="174" t="s">
        <v>362</v>
      </c>
      <c r="D76" s="27">
        <v>5</v>
      </c>
      <c r="E76" s="27">
        <v>7</v>
      </c>
      <c r="F76" s="27">
        <v>5</v>
      </c>
      <c r="G76" s="27">
        <v>4</v>
      </c>
      <c r="H76" s="27">
        <v>9</v>
      </c>
      <c r="I76" s="27">
        <v>5</v>
      </c>
      <c r="J76" s="7">
        <v>0</v>
      </c>
      <c r="K76" s="222">
        <v>4392628.5</v>
      </c>
      <c r="L76" s="223">
        <v>1</v>
      </c>
      <c r="M76" s="224">
        <v>270000</v>
      </c>
      <c r="N76" s="225">
        <v>59146.400000000001</v>
      </c>
      <c r="O76" s="226">
        <v>5</v>
      </c>
      <c r="P76" s="227">
        <v>22</v>
      </c>
      <c r="Q76" s="226">
        <v>210</v>
      </c>
      <c r="R76" s="227">
        <v>2219</v>
      </c>
      <c r="S76" s="226">
        <v>21520</v>
      </c>
      <c r="T76" s="227">
        <v>210798</v>
      </c>
    </row>
    <row r="77" spans="1:20" x14ac:dyDescent="0.15">
      <c r="A77" s="178"/>
      <c r="B77" s="179">
        <v>37464</v>
      </c>
      <c r="C77" s="180" t="s">
        <v>363</v>
      </c>
      <c r="D77" s="19">
        <v>3</v>
      </c>
      <c r="E77" s="19">
        <v>6</v>
      </c>
      <c r="F77" s="19">
        <v>0</v>
      </c>
      <c r="G77" s="19">
        <v>4</v>
      </c>
      <c r="H77" s="19">
        <v>8</v>
      </c>
      <c r="I77" s="19">
        <v>2</v>
      </c>
      <c r="J77" s="13">
        <v>6</v>
      </c>
      <c r="K77" s="229">
        <v>14425593</v>
      </c>
      <c r="L77" s="230">
        <v>4</v>
      </c>
      <c r="M77" s="229">
        <v>170000</v>
      </c>
      <c r="N77" s="231">
        <v>341333.5</v>
      </c>
      <c r="O77" s="232">
        <v>13</v>
      </c>
      <c r="P77" s="233">
        <v>107</v>
      </c>
      <c r="Q77" s="232">
        <v>966</v>
      </c>
      <c r="R77" s="233">
        <v>9312</v>
      </c>
      <c r="S77" s="232">
        <v>92113</v>
      </c>
      <c r="T77" s="233">
        <v>907996</v>
      </c>
    </row>
    <row r="78" spans="1:20" x14ac:dyDescent="0.15">
      <c r="A78" s="172">
        <v>31</v>
      </c>
      <c r="B78" s="173">
        <v>37468</v>
      </c>
      <c r="C78" s="174" t="s">
        <v>362</v>
      </c>
      <c r="D78" s="27">
        <v>6</v>
      </c>
      <c r="E78" s="27">
        <v>2</v>
      </c>
      <c r="F78" s="27">
        <v>4</v>
      </c>
      <c r="G78" s="27">
        <v>7</v>
      </c>
      <c r="H78" s="27">
        <v>9</v>
      </c>
      <c r="I78" s="27">
        <v>4</v>
      </c>
      <c r="J78" s="7">
        <v>5</v>
      </c>
      <c r="K78" s="222">
        <v>4526751</v>
      </c>
      <c r="L78" s="223" t="s">
        <v>23</v>
      </c>
      <c r="M78" s="224"/>
      <c r="N78" s="225">
        <v>643267.80000000005</v>
      </c>
      <c r="O78" s="226">
        <v>1</v>
      </c>
      <c r="P78" s="227">
        <v>33</v>
      </c>
      <c r="Q78" s="226">
        <v>337</v>
      </c>
      <c r="R78" s="227">
        <v>3626</v>
      </c>
      <c r="S78" s="226">
        <v>34392</v>
      </c>
      <c r="T78" s="227">
        <v>331554</v>
      </c>
    </row>
    <row r="79" spans="1:20" x14ac:dyDescent="0.15">
      <c r="A79" s="178"/>
      <c r="B79" s="179">
        <v>37471</v>
      </c>
      <c r="C79" s="180" t="s">
        <v>363</v>
      </c>
      <c r="D79" s="19">
        <v>6</v>
      </c>
      <c r="E79" s="19">
        <v>2</v>
      </c>
      <c r="F79" s="19">
        <v>1</v>
      </c>
      <c r="G79" s="19">
        <v>9</v>
      </c>
      <c r="H79" s="19">
        <v>0</v>
      </c>
      <c r="I79" s="19">
        <v>9</v>
      </c>
      <c r="J79" s="13">
        <v>4</v>
      </c>
      <c r="K79" s="229">
        <v>14497101</v>
      </c>
      <c r="L79" s="230">
        <v>1</v>
      </c>
      <c r="M79" s="229">
        <v>1570000</v>
      </c>
      <c r="N79" s="229">
        <v>40224.400000000001</v>
      </c>
      <c r="O79" s="232">
        <v>5</v>
      </c>
      <c r="P79" s="233">
        <v>72</v>
      </c>
      <c r="Q79" s="232">
        <v>756</v>
      </c>
      <c r="R79" s="233">
        <v>7558</v>
      </c>
      <c r="S79" s="232">
        <v>79240</v>
      </c>
      <c r="T79" s="233">
        <v>812118</v>
      </c>
    </row>
    <row r="80" spans="1:20" x14ac:dyDescent="0.15">
      <c r="A80" s="172">
        <v>32</v>
      </c>
      <c r="B80" s="173">
        <v>37475</v>
      </c>
      <c r="C80" s="174" t="s">
        <v>362</v>
      </c>
      <c r="D80" s="27">
        <v>7</v>
      </c>
      <c r="E80" s="27">
        <v>0</v>
      </c>
      <c r="F80" s="27">
        <v>0</v>
      </c>
      <c r="G80" s="27">
        <v>6</v>
      </c>
      <c r="H80" s="27">
        <v>7</v>
      </c>
      <c r="I80" s="27">
        <v>7</v>
      </c>
      <c r="J80" s="7">
        <v>1</v>
      </c>
      <c r="K80" s="222">
        <v>4462440</v>
      </c>
      <c r="L80" s="234">
        <v>1</v>
      </c>
      <c r="M80" s="224">
        <v>270000</v>
      </c>
      <c r="N80" s="225">
        <v>67869.100000000006</v>
      </c>
      <c r="O80" s="236">
        <v>1</v>
      </c>
      <c r="P80" s="227">
        <v>26</v>
      </c>
      <c r="Q80" s="226">
        <v>213</v>
      </c>
      <c r="R80" s="227">
        <v>2287</v>
      </c>
      <c r="S80" s="226">
        <v>21892</v>
      </c>
      <c r="T80" s="227">
        <v>226448</v>
      </c>
    </row>
    <row r="81" spans="1:20" x14ac:dyDescent="0.15">
      <c r="A81" s="178"/>
      <c r="B81" s="179">
        <v>37478</v>
      </c>
      <c r="C81" s="180" t="s">
        <v>363</v>
      </c>
      <c r="D81" s="19">
        <v>0</v>
      </c>
      <c r="E81" s="19">
        <v>1</v>
      </c>
      <c r="F81" s="19">
        <v>4</v>
      </c>
      <c r="G81" s="19">
        <v>4</v>
      </c>
      <c r="H81" s="19">
        <v>6</v>
      </c>
      <c r="I81" s="19">
        <v>6</v>
      </c>
      <c r="J81" s="13">
        <v>9</v>
      </c>
      <c r="K81" s="229">
        <v>14515042.5</v>
      </c>
      <c r="L81" s="230">
        <v>2</v>
      </c>
      <c r="M81" s="229">
        <v>470000</v>
      </c>
      <c r="N81" s="231">
        <v>96022.399999999994</v>
      </c>
      <c r="O81" s="232">
        <v>6</v>
      </c>
      <c r="P81" s="233">
        <v>85</v>
      </c>
      <c r="Q81" s="232">
        <v>896</v>
      </c>
      <c r="R81" s="233">
        <v>9058</v>
      </c>
      <c r="S81" s="232">
        <v>92329</v>
      </c>
      <c r="T81" s="233">
        <v>892968</v>
      </c>
    </row>
    <row r="82" spans="1:20" x14ac:dyDescent="0.15">
      <c r="A82" s="172">
        <v>33</v>
      </c>
      <c r="B82" s="173">
        <v>37482</v>
      </c>
      <c r="C82" s="174" t="s">
        <v>362</v>
      </c>
      <c r="D82" s="27">
        <v>0</v>
      </c>
      <c r="E82" s="27">
        <v>1</v>
      </c>
      <c r="F82" s="27">
        <v>9</v>
      </c>
      <c r="G82" s="27">
        <v>6</v>
      </c>
      <c r="H82" s="27">
        <v>0</v>
      </c>
      <c r="I82" s="27">
        <v>5</v>
      </c>
      <c r="J82" s="7">
        <v>8</v>
      </c>
      <c r="K82" s="222">
        <v>4559086.5</v>
      </c>
      <c r="L82" s="223" t="s">
        <v>23</v>
      </c>
      <c r="N82" s="225">
        <v>400113.5</v>
      </c>
      <c r="O82" s="226" t="s">
        <v>17</v>
      </c>
      <c r="P82" s="227">
        <v>31</v>
      </c>
      <c r="Q82" s="226">
        <v>282</v>
      </c>
      <c r="R82" s="227">
        <v>2914</v>
      </c>
      <c r="S82" s="226">
        <v>31228</v>
      </c>
      <c r="T82" s="227">
        <v>301375</v>
      </c>
    </row>
    <row r="83" spans="1:20" x14ac:dyDescent="0.15">
      <c r="A83" s="178"/>
      <c r="B83" s="179">
        <v>37485</v>
      </c>
      <c r="C83" s="180" t="s">
        <v>363</v>
      </c>
      <c r="D83" s="19">
        <v>5</v>
      </c>
      <c r="E83" s="19">
        <v>0</v>
      </c>
      <c r="F83" s="19">
        <v>2</v>
      </c>
      <c r="G83" s="19">
        <v>4</v>
      </c>
      <c r="H83" s="19">
        <v>2</v>
      </c>
      <c r="I83" s="19">
        <v>0</v>
      </c>
      <c r="J83" s="13">
        <v>2</v>
      </c>
      <c r="K83" s="229">
        <v>14585856</v>
      </c>
      <c r="L83" s="230">
        <v>2</v>
      </c>
      <c r="M83" s="229">
        <v>670000</v>
      </c>
      <c r="N83" s="231">
        <v>32990.1</v>
      </c>
      <c r="O83" s="232">
        <v>5</v>
      </c>
      <c r="P83" s="233">
        <v>64</v>
      </c>
      <c r="Q83" s="232">
        <v>707</v>
      </c>
      <c r="R83" s="233">
        <v>7025</v>
      </c>
      <c r="S83" s="232">
        <v>67906</v>
      </c>
      <c r="T83" s="233">
        <v>772235</v>
      </c>
    </row>
    <row r="84" spans="1:20" x14ac:dyDescent="0.15">
      <c r="A84" s="172">
        <v>34</v>
      </c>
      <c r="B84" s="173">
        <v>37489</v>
      </c>
      <c r="C84" s="174" t="s">
        <v>362</v>
      </c>
      <c r="D84" s="27">
        <v>8</v>
      </c>
      <c r="E84" s="27">
        <v>8</v>
      </c>
      <c r="F84" s="27">
        <v>9</v>
      </c>
      <c r="G84" s="27">
        <v>1</v>
      </c>
      <c r="H84" s="27">
        <v>1</v>
      </c>
      <c r="I84" s="27">
        <v>7</v>
      </c>
      <c r="J84" s="7">
        <v>1</v>
      </c>
      <c r="K84" s="222">
        <v>4982260.5</v>
      </c>
      <c r="L84" s="223" t="s">
        <v>23</v>
      </c>
      <c r="M84" s="224"/>
      <c r="N84" s="225">
        <v>365306.9</v>
      </c>
      <c r="O84" s="226">
        <v>2</v>
      </c>
      <c r="P84" s="227">
        <v>23</v>
      </c>
      <c r="Q84" s="226">
        <v>216</v>
      </c>
      <c r="R84" s="227">
        <v>2600</v>
      </c>
      <c r="S84" s="226">
        <v>25133</v>
      </c>
      <c r="T84" s="227">
        <v>256183</v>
      </c>
    </row>
    <row r="85" spans="1:20" x14ac:dyDescent="0.15">
      <c r="A85" s="178"/>
      <c r="B85" s="179">
        <v>37492</v>
      </c>
      <c r="C85" s="180" t="s">
        <v>363</v>
      </c>
      <c r="D85" s="19">
        <v>6</v>
      </c>
      <c r="E85" s="19">
        <v>3</v>
      </c>
      <c r="F85" s="19">
        <v>4</v>
      </c>
      <c r="G85" s="19">
        <v>4</v>
      </c>
      <c r="H85" s="19">
        <v>6</v>
      </c>
      <c r="I85" s="19">
        <v>3</v>
      </c>
      <c r="J85" s="13">
        <v>5</v>
      </c>
      <c r="K85" s="229">
        <v>15556260</v>
      </c>
      <c r="L85" s="230">
        <v>3</v>
      </c>
      <c r="M85" s="229">
        <v>370000</v>
      </c>
      <c r="N85" s="231">
        <v>292909.40000000002</v>
      </c>
      <c r="O85" s="232">
        <v>9</v>
      </c>
      <c r="P85" s="233">
        <v>119</v>
      </c>
      <c r="Q85" s="232">
        <v>1156</v>
      </c>
      <c r="R85" s="233">
        <v>11461</v>
      </c>
      <c r="S85" s="232">
        <v>113334</v>
      </c>
      <c r="T85" s="233">
        <v>1109648</v>
      </c>
    </row>
    <row r="86" spans="1:20" x14ac:dyDescent="0.15">
      <c r="A86" s="172">
        <v>35</v>
      </c>
      <c r="B86" s="173">
        <v>37496</v>
      </c>
      <c r="C86" s="174" t="s">
        <v>362</v>
      </c>
      <c r="D86" s="27">
        <v>6</v>
      </c>
      <c r="E86" s="27">
        <v>7</v>
      </c>
      <c r="F86" s="27">
        <v>0</v>
      </c>
      <c r="G86" s="27">
        <v>1</v>
      </c>
      <c r="H86" s="27">
        <v>0</v>
      </c>
      <c r="I86" s="27">
        <v>6</v>
      </c>
      <c r="J86" s="7">
        <v>4</v>
      </c>
      <c r="K86" s="222">
        <v>4469977.5</v>
      </c>
      <c r="L86" s="223">
        <v>1</v>
      </c>
      <c r="M86" s="224">
        <v>570000</v>
      </c>
      <c r="N86" s="225">
        <v>21056.9</v>
      </c>
      <c r="O86" s="226">
        <v>2</v>
      </c>
      <c r="P86" s="227">
        <v>27</v>
      </c>
      <c r="Q86" s="226">
        <v>264</v>
      </c>
      <c r="R86" s="227">
        <v>2500</v>
      </c>
      <c r="S86" s="226">
        <v>25547</v>
      </c>
      <c r="T86" s="227">
        <v>247875</v>
      </c>
    </row>
    <row r="87" spans="1:20" x14ac:dyDescent="0.15">
      <c r="A87" s="178"/>
      <c r="B87" s="179">
        <v>37499</v>
      </c>
      <c r="C87" s="180" t="s">
        <v>363</v>
      </c>
      <c r="D87" s="19">
        <v>2</v>
      </c>
      <c r="E87" s="19">
        <v>5</v>
      </c>
      <c r="F87" s="19">
        <v>1</v>
      </c>
      <c r="G87" s="19">
        <v>5</v>
      </c>
      <c r="H87" s="19">
        <v>2</v>
      </c>
      <c r="I87" s="19">
        <v>1</v>
      </c>
      <c r="J87" s="13">
        <v>3</v>
      </c>
      <c r="K87" s="229">
        <v>14555223</v>
      </c>
      <c r="L87" s="230">
        <v>5</v>
      </c>
      <c r="M87" s="229">
        <v>170000</v>
      </c>
      <c r="N87" s="231">
        <v>141890.29999999999</v>
      </c>
      <c r="O87" s="232">
        <v>8</v>
      </c>
      <c r="P87" s="233">
        <v>110</v>
      </c>
      <c r="Q87" s="232">
        <v>1082</v>
      </c>
      <c r="R87" s="233">
        <v>11101</v>
      </c>
      <c r="S87" s="232">
        <v>110426</v>
      </c>
      <c r="T87" s="233">
        <v>917453</v>
      </c>
    </row>
    <row r="88" spans="1:20" x14ac:dyDescent="0.15">
      <c r="A88" s="172">
        <v>36</v>
      </c>
      <c r="B88" s="173">
        <v>37503</v>
      </c>
      <c r="C88" s="174" t="s">
        <v>362</v>
      </c>
      <c r="D88" s="27">
        <v>7</v>
      </c>
      <c r="E88" s="27">
        <v>7</v>
      </c>
      <c r="F88" s="27">
        <v>6</v>
      </c>
      <c r="G88" s="27">
        <v>5</v>
      </c>
      <c r="H88" s="27">
        <v>9</v>
      </c>
      <c r="I88" s="27">
        <v>7</v>
      </c>
      <c r="J88" s="7">
        <v>0</v>
      </c>
      <c r="K88" s="222">
        <v>4670973</v>
      </c>
      <c r="L88" s="223" t="s">
        <v>23</v>
      </c>
      <c r="M88" s="224"/>
      <c r="N88" s="225">
        <v>453444.2</v>
      </c>
      <c r="O88" s="226">
        <v>3</v>
      </c>
      <c r="P88" s="227">
        <v>23</v>
      </c>
      <c r="Q88" s="226">
        <v>218</v>
      </c>
      <c r="R88" s="227">
        <v>2242</v>
      </c>
      <c r="S88" s="226">
        <v>21876</v>
      </c>
      <c r="T88" s="227">
        <v>224502</v>
      </c>
    </row>
    <row r="89" spans="1:20" x14ac:dyDescent="0.15">
      <c r="A89" s="178"/>
      <c r="B89" s="179">
        <v>37506</v>
      </c>
      <c r="C89" s="180" t="s">
        <v>363</v>
      </c>
      <c r="D89" s="19">
        <v>0</v>
      </c>
      <c r="E89" s="19">
        <v>6</v>
      </c>
      <c r="F89" s="19">
        <v>4</v>
      </c>
      <c r="G89" s="19">
        <v>8</v>
      </c>
      <c r="H89" s="19">
        <v>4</v>
      </c>
      <c r="I89" s="19">
        <v>0</v>
      </c>
      <c r="J89" s="13">
        <v>3</v>
      </c>
      <c r="K89" s="229">
        <v>14544027</v>
      </c>
      <c r="L89" s="230">
        <v>1</v>
      </c>
      <c r="M89" s="229">
        <v>1370000</v>
      </c>
      <c r="N89" s="231">
        <v>53530.8</v>
      </c>
      <c r="O89" s="232">
        <v>5</v>
      </c>
      <c r="P89" s="233">
        <v>70</v>
      </c>
      <c r="Q89" s="232">
        <v>746</v>
      </c>
      <c r="R89" s="233">
        <v>8023</v>
      </c>
      <c r="S89" s="232">
        <v>79209</v>
      </c>
      <c r="T89" s="233">
        <v>949874</v>
      </c>
    </row>
    <row r="90" spans="1:20" x14ac:dyDescent="0.15">
      <c r="A90" s="172">
        <v>37</v>
      </c>
      <c r="B90" s="173">
        <v>37510</v>
      </c>
      <c r="C90" s="174" t="s">
        <v>362</v>
      </c>
      <c r="D90" s="27">
        <v>3</v>
      </c>
      <c r="E90" s="27">
        <v>5</v>
      </c>
      <c r="F90" s="27">
        <v>6</v>
      </c>
      <c r="G90" s="27">
        <v>1</v>
      </c>
      <c r="H90" s="27">
        <v>8</v>
      </c>
      <c r="I90" s="27">
        <v>3</v>
      </c>
      <c r="J90" s="7">
        <v>7</v>
      </c>
      <c r="K90" s="222">
        <v>4579134</v>
      </c>
      <c r="L90" s="223">
        <v>1</v>
      </c>
      <c r="M90" s="224">
        <v>270000</v>
      </c>
      <c r="N90" s="225">
        <v>88959</v>
      </c>
      <c r="O90" s="226">
        <v>1</v>
      </c>
      <c r="P90" s="227">
        <v>29</v>
      </c>
      <c r="Q90" s="226">
        <v>311</v>
      </c>
      <c r="R90" s="227">
        <v>2841</v>
      </c>
      <c r="S90" s="226">
        <v>29529</v>
      </c>
      <c r="T90" s="227">
        <v>298618</v>
      </c>
    </row>
    <row r="91" spans="1:20" x14ac:dyDescent="0.15">
      <c r="A91" s="178"/>
      <c r="B91" s="179">
        <v>37513</v>
      </c>
      <c r="C91" s="180" t="s">
        <v>363</v>
      </c>
      <c r="D91" s="19">
        <v>2</v>
      </c>
      <c r="E91" s="19">
        <v>4</v>
      </c>
      <c r="F91" s="19">
        <v>5</v>
      </c>
      <c r="G91" s="19">
        <v>5</v>
      </c>
      <c r="H91" s="19">
        <v>3</v>
      </c>
      <c r="I91" s="19">
        <v>8</v>
      </c>
      <c r="J91" s="13">
        <v>1</v>
      </c>
      <c r="K91" s="229">
        <v>14896566</v>
      </c>
      <c r="L91" s="230" t="s">
        <v>23</v>
      </c>
      <c r="M91" s="229"/>
      <c r="N91" s="231">
        <v>1082560</v>
      </c>
      <c r="O91" s="232">
        <v>6</v>
      </c>
      <c r="P91" s="233">
        <v>70</v>
      </c>
      <c r="Q91" s="232">
        <v>757</v>
      </c>
      <c r="R91" s="233">
        <v>7461</v>
      </c>
      <c r="S91" s="232">
        <v>72446</v>
      </c>
      <c r="T91" s="233">
        <v>740274</v>
      </c>
    </row>
    <row r="92" spans="1:20" x14ac:dyDescent="0.15">
      <c r="A92" s="172">
        <v>38</v>
      </c>
      <c r="B92" s="173">
        <v>37517</v>
      </c>
      <c r="C92" s="174" t="s">
        <v>362</v>
      </c>
      <c r="D92" s="27">
        <v>0</v>
      </c>
      <c r="E92" s="27">
        <v>5</v>
      </c>
      <c r="F92" s="27">
        <v>5</v>
      </c>
      <c r="G92" s="27">
        <v>2</v>
      </c>
      <c r="H92" s="27">
        <v>3</v>
      </c>
      <c r="I92" s="27">
        <v>1</v>
      </c>
      <c r="J92" s="7">
        <v>8</v>
      </c>
      <c r="K92" s="222">
        <v>5046814.5</v>
      </c>
      <c r="L92" s="223" t="s">
        <v>23</v>
      </c>
      <c r="M92" s="224"/>
      <c r="N92" s="225">
        <v>1419182.5</v>
      </c>
      <c r="O92" s="226">
        <v>2</v>
      </c>
      <c r="P92" s="227">
        <v>33</v>
      </c>
      <c r="Q92" s="226">
        <v>344</v>
      </c>
      <c r="R92" s="227">
        <v>3354</v>
      </c>
      <c r="S92" s="226">
        <v>32786</v>
      </c>
      <c r="T92" s="227">
        <v>332246</v>
      </c>
    </row>
    <row r="93" spans="1:20" x14ac:dyDescent="0.15">
      <c r="A93" s="178"/>
      <c r="B93" s="179">
        <v>37520</v>
      </c>
      <c r="C93" s="180" t="s">
        <v>363</v>
      </c>
      <c r="D93" s="19">
        <v>2</v>
      </c>
      <c r="E93" s="19">
        <v>6</v>
      </c>
      <c r="F93" s="19">
        <v>8</v>
      </c>
      <c r="G93" s="19">
        <v>5</v>
      </c>
      <c r="H93" s="19">
        <v>3</v>
      </c>
      <c r="I93" s="19">
        <v>8</v>
      </c>
      <c r="J93" s="13">
        <v>1</v>
      </c>
      <c r="K93" s="229">
        <v>16215205.5</v>
      </c>
      <c r="L93" s="230" t="s">
        <v>23</v>
      </c>
      <c r="M93" s="229"/>
      <c r="N93" s="231">
        <v>2500736.7000000002</v>
      </c>
      <c r="O93" s="232">
        <v>7</v>
      </c>
      <c r="P93" s="233">
        <v>108</v>
      </c>
      <c r="Q93" s="232">
        <v>872</v>
      </c>
      <c r="R93" s="233">
        <v>8210</v>
      </c>
      <c r="S93" s="232">
        <v>80747</v>
      </c>
      <c r="T93" s="233">
        <v>818402</v>
      </c>
    </row>
    <row r="94" spans="1:20" x14ac:dyDescent="0.15">
      <c r="A94" s="172">
        <v>39</v>
      </c>
      <c r="B94" s="173">
        <v>37524</v>
      </c>
      <c r="C94" s="174" t="s">
        <v>362</v>
      </c>
      <c r="D94" s="27">
        <v>6</v>
      </c>
      <c r="E94" s="27">
        <v>6</v>
      </c>
      <c r="F94" s="27">
        <v>8</v>
      </c>
      <c r="G94" s="27">
        <v>8</v>
      </c>
      <c r="H94" s="27">
        <v>2</v>
      </c>
      <c r="I94" s="27">
        <v>9</v>
      </c>
      <c r="J94" s="7">
        <v>9</v>
      </c>
      <c r="K94" s="222">
        <v>5092647</v>
      </c>
      <c r="L94" s="223">
        <v>2</v>
      </c>
      <c r="M94" s="224">
        <v>1370000</v>
      </c>
      <c r="N94" s="225">
        <v>100416.3</v>
      </c>
      <c r="O94" s="226">
        <v>3</v>
      </c>
      <c r="P94" s="227">
        <v>26</v>
      </c>
      <c r="Q94" s="226">
        <v>317</v>
      </c>
      <c r="R94" s="227">
        <v>2997</v>
      </c>
      <c r="S94" s="226">
        <v>31310</v>
      </c>
      <c r="T94" s="227">
        <v>300013</v>
      </c>
    </row>
    <row r="95" spans="1:20" x14ac:dyDescent="0.15">
      <c r="A95" s="178"/>
      <c r="B95" s="179">
        <v>37527</v>
      </c>
      <c r="C95" s="180" t="s">
        <v>363</v>
      </c>
      <c r="D95" s="19">
        <v>3</v>
      </c>
      <c r="E95" s="19">
        <v>5</v>
      </c>
      <c r="F95" s="19">
        <v>9</v>
      </c>
      <c r="G95" s="19">
        <v>7</v>
      </c>
      <c r="H95" s="19">
        <v>9</v>
      </c>
      <c r="I95" s="19">
        <v>9</v>
      </c>
      <c r="J95" s="13">
        <v>1</v>
      </c>
      <c r="K95" s="229">
        <v>15967539</v>
      </c>
      <c r="L95" s="230">
        <v>2</v>
      </c>
      <c r="M95" s="229">
        <v>570000</v>
      </c>
      <c r="N95" s="231">
        <v>25451.200000000001</v>
      </c>
      <c r="O95" s="232">
        <v>3</v>
      </c>
      <c r="P95" s="233">
        <v>91</v>
      </c>
      <c r="Q95" s="232">
        <v>781</v>
      </c>
      <c r="R95" s="233">
        <v>7896</v>
      </c>
      <c r="S95" s="232">
        <v>79478</v>
      </c>
      <c r="T95" s="233">
        <v>811839</v>
      </c>
    </row>
    <row r="96" spans="1:20" x14ac:dyDescent="0.15">
      <c r="A96" s="172">
        <v>40</v>
      </c>
      <c r="B96" s="173">
        <v>37531</v>
      </c>
      <c r="C96" s="174" t="s">
        <v>362</v>
      </c>
      <c r="D96" s="27">
        <v>1</v>
      </c>
      <c r="E96" s="27">
        <v>6</v>
      </c>
      <c r="F96" s="27">
        <v>5</v>
      </c>
      <c r="G96" s="27">
        <v>8</v>
      </c>
      <c r="H96" s="27">
        <v>7</v>
      </c>
      <c r="I96" s="27">
        <v>1</v>
      </c>
      <c r="J96" s="7">
        <v>7</v>
      </c>
      <c r="K96" s="222">
        <v>4713958.5</v>
      </c>
      <c r="L96" s="223">
        <v>2</v>
      </c>
      <c r="M96" s="224">
        <v>170000</v>
      </c>
      <c r="N96" s="225">
        <v>0</v>
      </c>
      <c r="O96" s="226">
        <v>4</v>
      </c>
      <c r="P96" s="227">
        <v>35</v>
      </c>
      <c r="Q96" s="226">
        <v>339</v>
      </c>
      <c r="R96" s="227">
        <v>3196</v>
      </c>
      <c r="S96" s="226">
        <v>30393</v>
      </c>
      <c r="T96" s="227">
        <v>305564</v>
      </c>
    </row>
    <row r="97" spans="1:20" x14ac:dyDescent="0.15">
      <c r="A97" s="178"/>
      <c r="B97" s="179">
        <v>37534</v>
      </c>
      <c r="C97" s="180" t="s">
        <v>363</v>
      </c>
      <c r="D97" s="19">
        <v>4</v>
      </c>
      <c r="E97" s="19">
        <v>5</v>
      </c>
      <c r="F97" s="19">
        <v>3</v>
      </c>
      <c r="G97" s="19">
        <v>9</v>
      </c>
      <c r="H97" s="19">
        <v>1</v>
      </c>
      <c r="I97" s="19">
        <v>7</v>
      </c>
      <c r="J97" s="13">
        <v>8</v>
      </c>
      <c r="K97" s="229">
        <v>14627083.5</v>
      </c>
      <c r="L97" s="230">
        <v>3</v>
      </c>
      <c r="M97" s="229">
        <v>270000</v>
      </c>
      <c r="N97" s="231">
        <v>165626.5</v>
      </c>
      <c r="O97" s="232">
        <v>7</v>
      </c>
      <c r="P97" s="233">
        <v>106</v>
      </c>
      <c r="Q97" s="232">
        <v>1007</v>
      </c>
      <c r="R97" s="233">
        <v>10304</v>
      </c>
      <c r="S97" s="232">
        <v>101683</v>
      </c>
      <c r="T97" s="233">
        <v>992280</v>
      </c>
    </row>
    <row r="98" spans="1:20" x14ac:dyDescent="0.15">
      <c r="A98" s="172">
        <v>41</v>
      </c>
      <c r="B98" s="173">
        <v>37538</v>
      </c>
      <c r="C98" s="174" t="s">
        <v>362</v>
      </c>
      <c r="D98" s="27">
        <v>0</v>
      </c>
      <c r="E98" s="27">
        <v>4</v>
      </c>
      <c r="F98" s="27">
        <v>3</v>
      </c>
      <c r="G98" s="27">
        <v>7</v>
      </c>
      <c r="H98" s="27">
        <v>4</v>
      </c>
      <c r="I98" s="27">
        <v>4</v>
      </c>
      <c r="J98" s="7">
        <v>3</v>
      </c>
      <c r="K98" s="222">
        <v>4743477</v>
      </c>
      <c r="L98" s="223" t="s">
        <v>23</v>
      </c>
      <c r="M98" s="224"/>
      <c r="N98" s="225">
        <v>482016.4</v>
      </c>
      <c r="O98" s="226" t="s">
        <v>17</v>
      </c>
      <c r="P98" s="227">
        <v>28</v>
      </c>
      <c r="Q98" s="226">
        <v>284</v>
      </c>
      <c r="R98" s="227">
        <v>2922</v>
      </c>
      <c r="S98" s="226">
        <v>30043</v>
      </c>
      <c r="T98" s="227">
        <v>301153</v>
      </c>
    </row>
    <row r="99" spans="1:20" x14ac:dyDescent="0.15">
      <c r="A99" s="178"/>
      <c r="B99" s="179">
        <v>37541</v>
      </c>
      <c r="C99" s="180" t="s">
        <v>363</v>
      </c>
      <c r="D99" s="19">
        <v>7</v>
      </c>
      <c r="E99" s="19">
        <v>8</v>
      </c>
      <c r="F99" s="19">
        <v>0</v>
      </c>
      <c r="G99" s="19">
        <v>5</v>
      </c>
      <c r="H99" s="19">
        <v>7</v>
      </c>
      <c r="I99" s="19">
        <v>2</v>
      </c>
      <c r="J99" s="13">
        <v>1</v>
      </c>
      <c r="K99" s="229">
        <v>14772223.5</v>
      </c>
      <c r="L99" s="230">
        <v>2</v>
      </c>
      <c r="M99" s="229">
        <v>670000</v>
      </c>
      <c r="N99" s="231">
        <v>127323.7</v>
      </c>
      <c r="O99" s="232">
        <v>9</v>
      </c>
      <c r="P99" s="233">
        <v>82</v>
      </c>
      <c r="Q99" s="232">
        <v>745</v>
      </c>
      <c r="R99" s="233">
        <v>7859</v>
      </c>
      <c r="S99" s="232">
        <v>79281</v>
      </c>
      <c r="T99" s="233">
        <v>755144</v>
      </c>
    </row>
    <row r="100" spans="1:20" x14ac:dyDescent="0.15">
      <c r="A100" s="172">
        <v>42</v>
      </c>
      <c r="B100" s="173">
        <v>37545</v>
      </c>
      <c r="C100" s="174" t="s">
        <v>362</v>
      </c>
      <c r="D100" s="27">
        <v>8</v>
      </c>
      <c r="E100" s="27">
        <v>1</v>
      </c>
      <c r="F100" s="27">
        <v>4</v>
      </c>
      <c r="G100" s="27">
        <v>2</v>
      </c>
      <c r="H100" s="27">
        <v>4</v>
      </c>
      <c r="I100" s="27">
        <v>2</v>
      </c>
      <c r="J100" s="7">
        <v>8</v>
      </c>
      <c r="K100" s="222">
        <v>4502028</v>
      </c>
      <c r="L100" s="234">
        <v>1</v>
      </c>
      <c r="M100" s="224">
        <v>370000</v>
      </c>
      <c r="N100" s="225">
        <v>57609</v>
      </c>
      <c r="O100" s="226">
        <v>4</v>
      </c>
      <c r="P100" s="227">
        <v>34</v>
      </c>
      <c r="Q100" s="226">
        <v>334</v>
      </c>
      <c r="R100" s="227">
        <v>3140</v>
      </c>
      <c r="S100" s="226">
        <v>30048</v>
      </c>
      <c r="T100" s="227">
        <v>295402</v>
      </c>
    </row>
    <row r="101" spans="1:20" x14ac:dyDescent="0.15">
      <c r="A101" s="178"/>
      <c r="B101" s="179">
        <v>37548</v>
      </c>
      <c r="C101" s="180" t="s">
        <v>363</v>
      </c>
      <c r="D101" s="19">
        <v>2</v>
      </c>
      <c r="E101" s="19">
        <v>1</v>
      </c>
      <c r="F101" s="19">
        <v>0</v>
      </c>
      <c r="G101" s="19">
        <v>6</v>
      </c>
      <c r="H101" s="19">
        <v>3</v>
      </c>
      <c r="I101" s="19">
        <v>3</v>
      </c>
      <c r="J101" s="13">
        <v>6</v>
      </c>
      <c r="K101" s="229">
        <v>14648148</v>
      </c>
      <c r="L101" s="237">
        <v>1</v>
      </c>
      <c r="M101" s="229">
        <v>970000</v>
      </c>
      <c r="N101" s="231">
        <v>64640.5</v>
      </c>
      <c r="O101" s="232">
        <v>9</v>
      </c>
      <c r="P101" s="233">
        <v>86</v>
      </c>
      <c r="Q101" s="232">
        <v>977</v>
      </c>
      <c r="R101" s="233">
        <v>9213</v>
      </c>
      <c r="S101" s="232">
        <v>95321</v>
      </c>
      <c r="T101" s="233">
        <v>915362</v>
      </c>
    </row>
    <row r="102" spans="1:20" x14ac:dyDescent="0.15">
      <c r="A102" s="172">
        <v>43</v>
      </c>
      <c r="B102" s="173">
        <v>37552</v>
      </c>
      <c r="C102" s="174" t="s">
        <v>362</v>
      </c>
      <c r="D102" s="27">
        <v>9</v>
      </c>
      <c r="E102" s="27">
        <v>9</v>
      </c>
      <c r="F102" s="27">
        <v>8</v>
      </c>
      <c r="G102" s="27">
        <v>5</v>
      </c>
      <c r="H102" s="27">
        <v>2</v>
      </c>
      <c r="I102" s="27">
        <v>4</v>
      </c>
      <c r="J102" s="7">
        <v>1</v>
      </c>
      <c r="K102" s="222">
        <v>4435777.5</v>
      </c>
      <c r="L102" s="223">
        <v>1</v>
      </c>
      <c r="M102" s="224">
        <v>270000</v>
      </c>
      <c r="N102" s="225">
        <v>90506.9</v>
      </c>
      <c r="O102" s="226">
        <v>2</v>
      </c>
      <c r="P102" s="227">
        <v>22</v>
      </c>
      <c r="Q102" s="226">
        <v>245</v>
      </c>
      <c r="R102" s="227">
        <v>2345</v>
      </c>
      <c r="S102" s="226">
        <v>23523</v>
      </c>
      <c r="T102" s="227">
        <v>240913</v>
      </c>
    </row>
    <row r="103" spans="1:20" x14ac:dyDescent="0.15">
      <c r="A103" s="178"/>
      <c r="B103" s="179">
        <v>37555</v>
      </c>
      <c r="C103" s="180" t="s">
        <v>363</v>
      </c>
      <c r="D103" s="19">
        <v>0</v>
      </c>
      <c r="E103" s="19">
        <v>5</v>
      </c>
      <c r="F103" s="19">
        <v>9</v>
      </c>
      <c r="G103" s="19">
        <v>2</v>
      </c>
      <c r="H103" s="19">
        <v>4</v>
      </c>
      <c r="I103" s="19">
        <v>6</v>
      </c>
      <c r="J103" s="13">
        <v>1</v>
      </c>
      <c r="K103" s="229">
        <v>14467072.5</v>
      </c>
      <c r="L103" s="237">
        <v>1</v>
      </c>
      <c r="M103" s="229">
        <v>970000</v>
      </c>
      <c r="N103" s="231">
        <v>85460.6</v>
      </c>
      <c r="O103" s="232">
        <v>6</v>
      </c>
      <c r="P103" s="233">
        <v>101</v>
      </c>
      <c r="Q103" s="232">
        <v>722</v>
      </c>
      <c r="R103" s="233">
        <v>7756</v>
      </c>
      <c r="S103" s="232">
        <v>74918</v>
      </c>
      <c r="T103" s="233">
        <v>749366</v>
      </c>
    </row>
    <row r="104" spans="1:20" x14ac:dyDescent="0.15">
      <c r="A104" s="172">
        <v>44</v>
      </c>
      <c r="B104" s="173">
        <v>37559</v>
      </c>
      <c r="C104" s="174" t="s">
        <v>362</v>
      </c>
      <c r="D104" s="27">
        <v>9</v>
      </c>
      <c r="E104" s="27">
        <v>5</v>
      </c>
      <c r="F104" s="27">
        <v>6</v>
      </c>
      <c r="G104" s="27">
        <v>7</v>
      </c>
      <c r="H104" s="27">
        <v>8</v>
      </c>
      <c r="I104" s="27">
        <v>6</v>
      </c>
      <c r="J104" s="7">
        <v>3</v>
      </c>
      <c r="K104" s="222">
        <v>4644451.5</v>
      </c>
      <c r="L104" s="223" t="s">
        <v>23</v>
      </c>
      <c r="M104" s="224"/>
      <c r="N104" s="225">
        <v>395245.5</v>
      </c>
      <c r="O104" s="226">
        <v>4</v>
      </c>
      <c r="P104" s="227">
        <v>29</v>
      </c>
      <c r="Q104" s="226">
        <v>322</v>
      </c>
      <c r="R104" s="227">
        <v>2964</v>
      </c>
      <c r="S104" s="226">
        <v>29469</v>
      </c>
      <c r="T104" s="227">
        <v>294309</v>
      </c>
    </row>
    <row r="105" spans="1:20" x14ac:dyDescent="0.15">
      <c r="A105" s="178"/>
      <c r="B105" s="179">
        <v>37562</v>
      </c>
      <c r="C105" s="180" t="s">
        <v>363</v>
      </c>
      <c r="D105" s="19">
        <v>5</v>
      </c>
      <c r="E105" s="19">
        <v>3</v>
      </c>
      <c r="F105" s="19">
        <v>3</v>
      </c>
      <c r="G105" s="19">
        <v>5</v>
      </c>
      <c r="H105" s="19">
        <v>2</v>
      </c>
      <c r="I105" s="19">
        <v>7</v>
      </c>
      <c r="J105" s="13">
        <v>3</v>
      </c>
      <c r="K105" s="229">
        <v>15129571.5</v>
      </c>
      <c r="L105" s="230">
        <v>1</v>
      </c>
      <c r="M105" s="229">
        <v>1370000</v>
      </c>
      <c r="N105" s="231">
        <v>34387.9</v>
      </c>
      <c r="O105" s="232">
        <v>15</v>
      </c>
      <c r="P105" s="233">
        <v>103</v>
      </c>
      <c r="Q105" s="232">
        <v>990</v>
      </c>
      <c r="R105" s="233">
        <v>9656</v>
      </c>
      <c r="S105" s="232">
        <v>96442</v>
      </c>
      <c r="T105" s="233">
        <v>974609</v>
      </c>
    </row>
    <row r="106" spans="1:20" x14ac:dyDescent="0.15">
      <c r="A106" s="172">
        <v>45</v>
      </c>
      <c r="B106" s="173">
        <v>37566</v>
      </c>
      <c r="C106" s="174" t="s">
        <v>362</v>
      </c>
      <c r="D106" s="27">
        <v>8</v>
      </c>
      <c r="E106" s="27">
        <v>4</v>
      </c>
      <c r="F106" s="27">
        <v>5</v>
      </c>
      <c r="G106" s="27">
        <v>9</v>
      </c>
      <c r="H106" s="27">
        <v>4</v>
      </c>
      <c r="I106" s="27">
        <v>4</v>
      </c>
      <c r="J106" s="7">
        <v>8</v>
      </c>
      <c r="K106" s="222">
        <v>5444139</v>
      </c>
      <c r="L106" s="223" t="s">
        <v>23</v>
      </c>
      <c r="M106" s="224"/>
      <c r="N106" s="225">
        <v>397512</v>
      </c>
      <c r="O106" s="226">
        <v>2</v>
      </c>
      <c r="P106" s="227">
        <v>42</v>
      </c>
      <c r="Q106" s="226">
        <v>370</v>
      </c>
      <c r="R106" s="227">
        <v>3767</v>
      </c>
      <c r="S106" s="226">
        <v>36658</v>
      </c>
      <c r="T106" s="227">
        <v>351294</v>
      </c>
    </row>
    <row r="107" spans="1:20" x14ac:dyDescent="0.15">
      <c r="A107" s="178"/>
      <c r="B107" s="179">
        <v>37569</v>
      </c>
      <c r="C107" s="180" t="s">
        <v>363</v>
      </c>
      <c r="D107" s="19">
        <v>0</v>
      </c>
      <c r="E107" s="19">
        <v>9</v>
      </c>
      <c r="F107" s="19">
        <v>0</v>
      </c>
      <c r="G107" s="19">
        <v>4</v>
      </c>
      <c r="H107" s="19">
        <v>5</v>
      </c>
      <c r="I107" s="19">
        <v>9</v>
      </c>
      <c r="J107" s="13">
        <v>6</v>
      </c>
      <c r="K107" s="229">
        <v>16851168</v>
      </c>
      <c r="L107" s="230" t="s">
        <v>23</v>
      </c>
      <c r="M107" s="229"/>
      <c r="N107" s="231">
        <v>1521484.9</v>
      </c>
      <c r="O107" s="232">
        <v>11</v>
      </c>
      <c r="P107" s="233">
        <v>92</v>
      </c>
      <c r="Q107" s="232">
        <v>1099</v>
      </c>
      <c r="R107" s="233">
        <v>10366</v>
      </c>
      <c r="S107" s="232">
        <v>104823</v>
      </c>
      <c r="T107" s="233">
        <v>1059064</v>
      </c>
    </row>
    <row r="108" spans="1:20" x14ac:dyDescent="0.15">
      <c r="A108" s="172">
        <v>46</v>
      </c>
      <c r="B108" s="173">
        <v>37573</v>
      </c>
      <c r="C108" s="174" t="s">
        <v>362</v>
      </c>
      <c r="D108" s="27">
        <v>9</v>
      </c>
      <c r="E108" s="27">
        <v>4</v>
      </c>
      <c r="F108" s="27">
        <v>6</v>
      </c>
      <c r="G108" s="27">
        <v>6</v>
      </c>
      <c r="H108" s="27">
        <v>4</v>
      </c>
      <c r="I108" s="27">
        <v>9</v>
      </c>
      <c r="J108" s="7">
        <v>1</v>
      </c>
      <c r="K108" s="222">
        <v>4824462</v>
      </c>
      <c r="L108" s="223" t="s">
        <v>23</v>
      </c>
      <c r="M108" s="224"/>
      <c r="N108" s="225">
        <v>1843276.5</v>
      </c>
      <c r="O108" s="226">
        <v>1</v>
      </c>
      <c r="P108" s="227">
        <v>25</v>
      </c>
      <c r="Q108" s="226">
        <v>259</v>
      </c>
      <c r="R108" s="227">
        <v>2603</v>
      </c>
      <c r="S108" s="226">
        <v>26131</v>
      </c>
      <c r="T108" s="227">
        <v>271465</v>
      </c>
    </row>
    <row r="109" spans="1:20" x14ac:dyDescent="0.15">
      <c r="A109" s="178"/>
      <c r="B109" s="179">
        <v>37576</v>
      </c>
      <c r="C109" s="180" t="s">
        <v>363</v>
      </c>
      <c r="D109" s="19">
        <v>9</v>
      </c>
      <c r="E109" s="19">
        <v>4</v>
      </c>
      <c r="F109" s="19">
        <v>5</v>
      </c>
      <c r="G109" s="19">
        <v>0</v>
      </c>
      <c r="H109" s="19">
        <v>6</v>
      </c>
      <c r="I109" s="19">
        <v>4</v>
      </c>
      <c r="J109" s="13">
        <v>0</v>
      </c>
      <c r="K109" s="229">
        <v>15112021.5</v>
      </c>
      <c r="L109" s="230" t="s">
        <v>23</v>
      </c>
      <c r="M109" s="229"/>
      <c r="N109" s="231">
        <v>2851248.3</v>
      </c>
      <c r="O109" s="232">
        <v>5</v>
      </c>
      <c r="P109" s="233">
        <v>71</v>
      </c>
      <c r="Q109" s="232">
        <v>660</v>
      </c>
      <c r="R109" s="233">
        <v>7027</v>
      </c>
      <c r="S109" s="232">
        <v>70293</v>
      </c>
      <c r="T109" s="233">
        <v>708040</v>
      </c>
    </row>
    <row r="110" spans="1:20" x14ac:dyDescent="0.15">
      <c r="A110" s="172">
        <v>47</v>
      </c>
      <c r="B110" s="173">
        <v>37580</v>
      </c>
      <c r="C110" s="174" t="s">
        <v>362</v>
      </c>
      <c r="D110" s="27">
        <v>6</v>
      </c>
      <c r="E110" s="27">
        <v>0</v>
      </c>
      <c r="F110" s="27">
        <v>6</v>
      </c>
      <c r="G110" s="27">
        <v>2</v>
      </c>
      <c r="H110" s="27">
        <v>8</v>
      </c>
      <c r="I110" s="27">
        <v>4</v>
      </c>
      <c r="J110" s="7">
        <v>9</v>
      </c>
      <c r="K110" s="222">
        <v>4657341</v>
      </c>
      <c r="L110" s="223" t="s">
        <v>23</v>
      </c>
      <c r="M110" s="224"/>
      <c r="N110" s="225">
        <v>3161892.9</v>
      </c>
      <c r="O110" s="226">
        <v>2</v>
      </c>
      <c r="P110" s="227">
        <v>34</v>
      </c>
      <c r="Q110" s="226">
        <v>282</v>
      </c>
      <c r="R110" s="227">
        <v>2792</v>
      </c>
      <c r="S110" s="226">
        <v>28374</v>
      </c>
      <c r="T110" s="227">
        <v>273206</v>
      </c>
    </row>
    <row r="111" spans="1:20" x14ac:dyDescent="0.15">
      <c r="A111" s="178"/>
      <c r="B111" s="179">
        <v>37583</v>
      </c>
      <c r="C111" s="180" t="s">
        <v>363</v>
      </c>
      <c r="D111" s="19">
        <v>0</v>
      </c>
      <c r="E111" s="19">
        <v>2</v>
      </c>
      <c r="F111" s="19">
        <v>2</v>
      </c>
      <c r="G111" s="19">
        <v>0</v>
      </c>
      <c r="H111" s="19">
        <v>8</v>
      </c>
      <c r="I111" s="19">
        <v>4</v>
      </c>
      <c r="J111" s="13">
        <v>3</v>
      </c>
      <c r="K111" s="229">
        <v>15277732.5</v>
      </c>
      <c r="L111" s="230">
        <v>1</v>
      </c>
      <c r="M111" s="229">
        <v>4170000</v>
      </c>
      <c r="N111" s="231">
        <v>10917.7</v>
      </c>
      <c r="O111" s="232">
        <v>10</v>
      </c>
      <c r="P111" s="233">
        <v>89</v>
      </c>
      <c r="Q111" s="232">
        <v>1010</v>
      </c>
      <c r="R111" s="233">
        <v>10067</v>
      </c>
      <c r="S111" s="232">
        <v>99366</v>
      </c>
      <c r="T111" s="233">
        <v>986838</v>
      </c>
    </row>
    <row r="112" spans="1:20" x14ac:dyDescent="0.15">
      <c r="A112" s="172">
        <v>48</v>
      </c>
      <c r="B112" s="173">
        <v>37587</v>
      </c>
      <c r="C112" s="174" t="s">
        <v>362</v>
      </c>
      <c r="D112" s="27">
        <v>1</v>
      </c>
      <c r="E112" s="27">
        <v>6</v>
      </c>
      <c r="F112" s="27">
        <v>6</v>
      </c>
      <c r="G112" s="27">
        <v>7</v>
      </c>
      <c r="H112" s="27">
        <v>8</v>
      </c>
      <c r="I112" s="27">
        <v>3</v>
      </c>
      <c r="J112" s="7">
        <v>2</v>
      </c>
      <c r="K112" s="222">
        <v>4598532</v>
      </c>
      <c r="L112" s="223" t="s">
        <v>23</v>
      </c>
      <c r="M112" s="224"/>
      <c r="N112" s="225">
        <v>317639.8</v>
      </c>
      <c r="O112" s="226" t="s">
        <v>17</v>
      </c>
      <c r="P112" s="227">
        <v>26</v>
      </c>
      <c r="Q112" s="226">
        <v>275</v>
      </c>
      <c r="R112" s="227">
        <v>2427</v>
      </c>
      <c r="S112" s="226">
        <v>24304</v>
      </c>
      <c r="T112" s="227">
        <v>243115</v>
      </c>
    </row>
    <row r="113" spans="1:20" x14ac:dyDescent="0.15">
      <c r="A113" s="178"/>
      <c r="B113" s="179">
        <v>37590</v>
      </c>
      <c r="C113" s="180" t="s">
        <v>363</v>
      </c>
      <c r="D113" s="19">
        <v>2</v>
      </c>
      <c r="E113" s="19">
        <v>2</v>
      </c>
      <c r="F113" s="19">
        <v>6</v>
      </c>
      <c r="G113" s="19">
        <v>0</v>
      </c>
      <c r="H113" s="19">
        <v>6</v>
      </c>
      <c r="I113" s="19">
        <v>3</v>
      </c>
      <c r="J113" s="13">
        <v>7</v>
      </c>
      <c r="K113" s="229">
        <v>15105393</v>
      </c>
      <c r="L113" s="230" t="s">
        <v>23</v>
      </c>
      <c r="M113" s="229"/>
      <c r="N113" s="231">
        <v>1325169.5</v>
      </c>
      <c r="O113" s="232">
        <v>11</v>
      </c>
      <c r="P113" s="233">
        <v>79</v>
      </c>
      <c r="Q113" s="232">
        <v>906</v>
      </c>
      <c r="R113" s="233">
        <v>9604</v>
      </c>
      <c r="S113" s="232">
        <v>95858</v>
      </c>
      <c r="T113" s="233">
        <v>966220</v>
      </c>
    </row>
    <row r="114" spans="1:20" x14ac:dyDescent="0.15">
      <c r="A114" s="172">
        <v>49</v>
      </c>
      <c r="B114" s="173">
        <v>37594</v>
      </c>
      <c r="C114" s="174" t="s">
        <v>362</v>
      </c>
      <c r="D114" s="27">
        <v>0</v>
      </c>
      <c r="E114" s="27">
        <v>8</v>
      </c>
      <c r="F114" s="27">
        <v>1</v>
      </c>
      <c r="G114" s="27">
        <v>9</v>
      </c>
      <c r="H114" s="27">
        <v>1</v>
      </c>
      <c r="I114" s="27">
        <v>4</v>
      </c>
      <c r="J114" s="7">
        <v>3</v>
      </c>
      <c r="K114" s="222">
        <v>5615443.5</v>
      </c>
      <c r="L114" s="223" t="s">
        <v>23</v>
      </c>
      <c r="M114" s="224"/>
      <c r="N114" s="225">
        <v>1699719.6</v>
      </c>
      <c r="O114" s="226">
        <v>3</v>
      </c>
      <c r="P114" s="227">
        <v>40</v>
      </c>
      <c r="Q114" s="226">
        <v>360</v>
      </c>
      <c r="R114" s="227">
        <v>3590</v>
      </c>
      <c r="S114" s="226">
        <v>36382</v>
      </c>
      <c r="T114" s="227">
        <v>361103</v>
      </c>
    </row>
    <row r="115" spans="1:20" x14ac:dyDescent="0.15">
      <c r="A115" s="178"/>
      <c r="B115" s="179">
        <v>37597</v>
      </c>
      <c r="C115" s="180" t="s">
        <v>363</v>
      </c>
      <c r="D115" s="19">
        <v>6</v>
      </c>
      <c r="E115" s="19">
        <v>4</v>
      </c>
      <c r="F115" s="19">
        <v>6</v>
      </c>
      <c r="G115" s="19">
        <v>1</v>
      </c>
      <c r="H115" s="19">
        <v>8</v>
      </c>
      <c r="I115" s="19">
        <v>3</v>
      </c>
      <c r="J115" s="13">
        <v>8</v>
      </c>
      <c r="K115" s="229">
        <v>17035843.5</v>
      </c>
      <c r="L115" s="230">
        <v>3</v>
      </c>
      <c r="M115" s="229">
        <v>870000</v>
      </c>
      <c r="N115" s="231">
        <v>226010.4</v>
      </c>
      <c r="O115" s="232">
        <v>14</v>
      </c>
      <c r="P115" s="233">
        <v>117</v>
      </c>
      <c r="Q115" s="232">
        <v>1149</v>
      </c>
      <c r="R115" s="233">
        <v>11857</v>
      </c>
      <c r="S115" s="232">
        <v>116470</v>
      </c>
      <c r="T115" s="233">
        <v>1139269</v>
      </c>
    </row>
    <row r="116" spans="1:20" x14ac:dyDescent="0.15">
      <c r="A116" s="172">
        <v>50</v>
      </c>
      <c r="B116" s="173">
        <v>37601</v>
      </c>
      <c r="C116" s="174" t="s">
        <v>362</v>
      </c>
      <c r="D116" s="27">
        <v>2</v>
      </c>
      <c r="E116" s="27">
        <v>5</v>
      </c>
      <c r="F116" s="27">
        <v>6</v>
      </c>
      <c r="G116" s="27">
        <v>0</v>
      </c>
      <c r="H116" s="27">
        <v>6</v>
      </c>
      <c r="I116" s="27">
        <v>5</v>
      </c>
      <c r="J116" s="7">
        <v>7</v>
      </c>
      <c r="K116" s="222">
        <v>4933477.5</v>
      </c>
      <c r="L116" s="223">
        <v>1</v>
      </c>
      <c r="M116" s="224">
        <v>470000</v>
      </c>
      <c r="N116" s="225">
        <v>85073.3</v>
      </c>
      <c r="O116" s="226">
        <v>2</v>
      </c>
      <c r="P116" s="227">
        <v>40</v>
      </c>
      <c r="Q116" s="226">
        <v>304</v>
      </c>
      <c r="R116" s="227">
        <v>3257</v>
      </c>
      <c r="S116" s="226">
        <v>31728</v>
      </c>
      <c r="T116" s="227">
        <v>316604</v>
      </c>
    </row>
    <row r="117" spans="1:20" x14ac:dyDescent="0.15">
      <c r="A117" s="178"/>
      <c r="B117" s="179">
        <v>37604</v>
      </c>
      <c r="C117" s="180" t="s">
        <v>363</v>
      </c>
      <c r="D117" s="19">
        <v>8</v>
      </c>
      <c r="E117" s="19">
        <v>3</v>
      </c>
      <c r="F117" s="19">
        <v>8</v>
      </c>
      <c r="G117" s="19">
        <v>8</v>
      </c>
      <c r="H117" s="19">
        <v>6</v>
      </c>
      <c r="I117" s="19">
        <v>4</v>
      </c>
      <c r="J117" s="13">
        <v>0</v>
      </c>
      <c r="K117" s="229">
        <v>16001821.5</v>
      </c>
      <c r="L117" s="230" t="s">
        <v>23</v>
      </c>
      <c r="M117" s="229"/>
      <c r="N117" s="231">
        <v>1152394.8</v>
      </c>
      <c r="O117" s="232">
        <v>10</v>
      </c>
      <c r="P117" s="233">
        <v>69</v>
      </c>
      <c r="Q117" s="232">
        <v>788</v>
      </c>
      <c r="R117" s="233">
        <v>7576</v>
      </c>
      <c r="S117" s="232">
        <v>75557</v>
      </c>
      <c r="T117" s="233">
        <v>756235</v>
      </c>
    </row>
    <row r="118" spans="1:20" x14ac:dyDescent="0.15">
      <c r="A118" s="172">
        <v>51</v>
      </c>
      <c r="B118" s="173">
        <v>37608</v>
      </c>
      <c r="C118" s="174" t="s">
        <v>362</v>
      </c>
      <c r="D118" s="27">
        <v>9</v>
      </c>
      <c r="E118" s="27">
        <v>5</v>
      </c>
      <c r="F118" s="27">
        <v>0</v>
      </c>
      <c r="G118" s="27">
        <v>5</v>
      </c>
      <c r="H118" s="27">
        <v>1</v>
      </c>
      <c r="I118" s="27">
        <v>8</v>
      </c>
      <c r="J118" s="7">
        <v>5</v>
      </c>
      <c r="K118" s="222">
        <v>4889415</v>
      </c>
      <c r="L118" s="223">
        <v>1</v>
      </c>
      <c r="M118" s="224">
        <v>1470000</v>
      </c>
      <c r="N118" s="225">
        <v>8518.7999999999993</v>
      </c>
      <c r="O118" s="226">
        <v>3</v>
      </c>
      <c r="P118" s="227">
        <v>39</v>
      </c>
      <c r="Q118" s="226">
        <v>369</v>
      </c>
      <c r="R118" s="227">
        <v>3286</v>
      </c>
      <c r="S118" s="226">
        <v>33240</v>
      </c>
      <c r="T118" s="227">
        <v>338787</v>
      </c>
    </row>
    <row r="119" spans="1:20" x14ac:dyDescent="0.15">
      <c r="A119" s="178"/>
      <c r="B119" s="179">
        <v>37611</v>
      </c>
      <c r="C119" s="180" t="s">
        <v>363</v>
      </c>
      <c r="D119" s="19">
        <v>9</v>
      </c>
      <c r="E119" s="19">
        <v>2</v>
      </c>
      <c r="F119" s="19">
        <v>4</v>
      </c>
      <c r="G119" s="19">
        <v>9</v>
      </c>
      <c r="H119" s="19">
        <v>3</v>
      </c>
      <c r="I119" s="19">
        <v>4</v>
      </c>
      <c r="J119" s="13">
        <v>1</v>
      </c>
      <c r="K119" s="229">
        <v>15762708</v>
      </c>
      <c r="L119" s="230">
        <v>1</v>
      </c>
      <c r="M119" s="229">
        <v>970000</v>
      </c>
      <c r="N119" s="231">
        <v>89891.4</v>
      </c>
      <c r="O119" s="232">
        <v>8</v>
      </c>
      <c r="P119" s="233">
        <v>82</v>
      </c>
      <c r="Q119" s="232">
        <v>863</v>
      </c>
      <c r="R119" s="233">
        <v>8481</v>
      </c>
      <c r="S119" s="232">
        <v>82127</v>
      </c>
      <c r="T119" s="233">
        <v>832730</v>
      </c>
    </row>
    <row r="120" spans="1:20" x14ac:dyDescent="0.15">
      <c r="A120" s="172">
        <v>52</v>
      </c>
      <c r="B120" s="173">
        <v>37615</v>
      </c>
      <c r="C120" s="174" t="s">
        <v>362</v>
      </c>
      <c r="D120" s="27">
        <v>5</v>
      </c>
      <c r="E120" s="27">
        <v>6</v>
      </c>
      <c r="F120" s="27">
        <v>4</v>
      </c>
      <c r="G120" s="27">
        <v>6</v>
      </c>
      <c r="H120" s="27">
        <v>6</v>
      </c>
      <c r="I120" s="27">
        <v>8</v>
      </c>
      <c r="J120" s="7">
        <v>9</v>
      </c>
      <c r="K120" s="222">
        <v>5081355</v>
      </c>
      <c r="L120" s="223">
        <v>1</v>
      </c>
      <c r="M120" s="224">
        <v>370000</v>
      </c>
      <c r="N120" s="225">
        <v>58817.8</v>
      </c>
      <c r="O120" s="226">
        <v>3</v>
      </c>
      <c r="P120" s="227">
        <v>33</v>
      </c>
      <c r="Q120" s="226">
        <v>301</v>
      </c>
      <c r="R120" s="227">
        <v>2974</v>
      </c>
      <c r="S120" s="226">
        <v>29646</v>
      </c>
      <c r="T120" s="227">
        <v>301441</v>
      </c>
    </row>
    <row r="121" spans="1:20" x14ac:dyDescent="0.15">
      <c r="A121" s="178"/>
      <c r="B121" s="179">
        <v>37618</v>
      </c>
      <c r="C121" s="180" t="s">
        <v>363</v>
      </c>
      <c r="D121" s="38">
        <v>2</v>
      </c>
      <c r="E121" s="38">
        <v>0</v>
      </c>
      <c r="F121" s="38">
        <v>9</v>
      </c>
      <c r="G121" s="38">
        <v>2</v>
      </c>
      <c r="H121" s="38">
        <v>9</v>
      </c>
      <c r="I121" s="38">
        <v>5</v>
      </c>
      <c r="J121" s="39">
        <v>8</v>
      </c>
      <c r="K121" s="229">
        <v>15529597.5</v>
      </c>
      <c r="L121" s="230">
        <v>4</v>
      </c>
      <c r="M121" s="229">
        <v>270000</v>
      </c>
      <c r="N121" s="231">
        <v>14642</v>
      </c>
      <c r="O121" s="232">
        <v>13</v>
      </c>
      <c r="P121" s="233">
        <v>112</v>
      </c>
      <c r="Q121" s="232">
        <v>1087</v>
      </c>
      <c r="R121" s="233">
        <v>10998</v>
      </c>
      <c r="S121" s="232">
        <v>108957</v>
      </c>
      <c r="T121" s="233">
        <v>1044937</v>
      </c>
    </row>
    <row r="122" spans="1:20" s="90" customFormat="1" x14ac:dyDescent="0.15">
      <c r="A122" s="130"/>
      <c r="B122" s="97"/>
      <c r="C122" s="97"/>
      <c r="D122" s="260"/>
      <c r="E122" s="260"/>
      <c r="F122" s="260"/>
      <c r="G122" s="260"/>
      <c r="H122" s="260"/>
      <c r="I122" s="260" t="s">
        <v>24</v>
      </c>
      <c r="J122" s="260"/>
      <c r="K122" s="270"/>
      <c r="L122" s="259">
        <f>SUM(L70:L121)</f>
        <v>54</v>
      </c>
      <c r="M122" s="271"/>
      <c r="N122" s="259"/>
      <c r="O122" s="259">
        <f t="shared" ref="O122:T122" si="1">SUM(O70:O121)</f>
        <v>286</v>
      </c>
      <c r="P122" s="259">
        <f t="shared" si="1"/>
        <v>3189</v>
      </c>
      <c r="Q122" s="259">
        <f t="shared" si="1"/>
        <v>31358</v>
      </c>
      <c r="R122" s="259">
        <f t="shared" si="1"/>
        <v>313383</v>
      </c>
      <c r="S122" s="259">
        <f t="shared" si="1"/>
        <v>3113834</v>
      </c>
      <c r="T122" s="272">
        <f t="shared" si="1"/>
        <v>31072225</v>
      </c>
    </row>
    <row r="123" spans="1:20" s="90" customFormat="1" x14ac:dyDescent="0.15">
      <c r="K123" s="255"/>
    </row>
  </sheetData>
  <phoneticPr fontId="0" type="noConversion"/>
  <printOptions horizontalCentered="1" verticalCentered="1"/>
  <pageMargins left="0" right="0" top="0" bottom="0" header="0.51181102300000003" footer="0.51181102300000003"/>
  <pageSetup paperSize="9" scale="85" orientation="landscape" horizontalDpi="4294967292" verticalDpi="4294967292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122"/>
  <sheetViews>
    <sheetView topLeftCell="A41" workbookViewId="0"/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3" width="20.33203125" customWidth="1"/>
    <col min="14" max="14" width="23.83203125" customWidth="1"/>
    <col min="15" max="20" width="15.83203125" customWidth="1"/>
    <col min="21" max="21" width="12.5" customWidth="1"/>
  </cols>
  <sheetData>
    <row r="2" spans="1:20" ht="14.1" customHeight="1" x14ac:dyDescent="0.2">
      <c r="A2" s="1" t="s">
        <v>364</v>
      </c>
      <c r="T2" s="3" t="s">
        <v>423</v>
      </c>
    </row>
    <row r="3" spans="1:20" ht="11.1" customHeight="1" x14ac:dyDescent="0.15">
      <c r="A3" s="6" t="s">
        <v>2</v>
      </c>
    </row>
    <row r="4" spans="1:20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0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0" ht="11.1" customHeight="1" x14ac:dyDescent="0.15">
      <c r="A6" s="13" t="s">
        <v>428</v>
      </c>
      <c r="B6" s="14">
        <v>2003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366</v>
      </c>
      <c r="M6" s="18"/>
      <c r="N6" s="13" t="s">
        <v>367</v>
      </c>
      <c r="O6" s="239">
        <v>70000</v>
      </c>
      <c r="P6" s="239">
        <v>7000</v>
      </c>
      <c r="Q6" s="239">
        <v>700</v>
      </c>
      <c r="R6" s="239">
        <v>70</v>
      </c>
      <c r="S6" s="239">
        <v>7</v>
      </c>
      <c r="T6" s="239">
        <v>2.5</v>
      </c>
    </row>
    <row r="7" spans="1:20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0" x14ac:dyDescent="0.15">
      <c r="A8" s="172">
        <v>1</v>
      </c>
      <c r="B8" s="173">
        <v>37622</v>
      </c>
      <c r="C8" s="174" t="s">
        <v>362</v>
      </c>
      <c r="D8" s="27">
        <v>4</v>
      </c>
      <c r="E8" s="27">
        <v>5</v>
      </c>
      <c r="F8" s="27">
        <v>2</v>
      </c>
      <c r="G8" s="27">
        <v>1</v>
      </c>
      <c r="H8" s="27">
        <v>6</v>
      </c>
      <c r="I8" s="27">
        <v>4</v>
      </c>
      <c r="J8" s="7">
        <v>6</v>
      </c>
      <c r="K8" s="222">
        <v>5171503.5</v>
      </c>
      <c r="L8" s="223" t="s">
        <v>23</v>
      </c>
      <c r="M8" s="224"/>
      <c r="N8" s="225">
        <v>359581.3</v>
      </c>
      <c r="O8" s="226">
        <v>5</v>
      </c>
      <c r="P8" s="227">
        <v>36</v>
      </c>
      <c r="Q8" s="226">
        <v>328</v>
      </c>
      <c r="R8" s="227">
        <v>3364</v>
      </c>
      <c r="S8" s="226">
        <v>33903</v>
      </c>
      <c r="T8" s="227">
        <v>325303</v>
      </c>
    </row>
    <row r="9" spans="1:20" x14ac:dyDescent="0.15">
      <c r="A9" s="178"/>
      <c r="B9" s="179">
        <v>37625</v>
      </c>
      <c r="C9" s="180" t="s">
        <v>363</v>
      </c>
      <c r="D9" s="19">
        <v>8</v>
      </c>
      <c r="E9" s="19">
        <v>8</v>
      </c>
      <c r="F9" s="19">
        <v>6</v>
      </c>
      <c r="G9" s="19">
        <v>7</v>
      </c>
      <c r="H9" s="19">
        <v>0</v>
      </c>
      <c r="I9" s="19">
        <v>8</v>
      </c>
      <c r="J9" s="13">
        <v>9</v>
      </c>
      <c r="K9" s="229">
        <v>15183951</v>
      </c>
      <c r="L9" s="230">
        <v>4</v>
      </c>
      <c r="M9" s="229">
        <v>270000</v>
      </c>
      <c r="N9" s="231">
        <v>292350.8</v>
      </c>
      <c r="O9" s="232">
        <v>13</v>
      </c>
      <c r="P9" s="233">
        <v>84</v>
      </c>
      <c r="Q9" s="232">
        <v>916</v>
      </c>
      <c r="R9" s="233">
        <v>9012</v>
      </c>
      <c r="S9" s="232">
        <v>93866</v>
      </c>
      <c r="T9" s="233">
        <v>932654</v>
      </c>
    </row>
    <row r="10" spans="1:20" x14ac:dyDescent="0.15">
      <c r="A10" s="172">
        <v>2</v>
      </c>
      <c r="B10" s="173">
        <v>37629</v>
      </c>
      <c r="C10" s="174" t="s">
        <v>362</v>
      </c>
      <c r="D10" s="238">
        <v>3</v>
      </c>
      <c r="E10" s="27">
        <v>7</v>
      </c>
      <c r="F10" s="27">
        <v>7</v>
      </c>
      <c r="G10" s="27">
        <v>0</v>
      </c>
      <c r="H10" s="27">
        <v>0</v>
      </c>
      <c r="I10" s="27">
        <v>5</v>
      </c>
      <c r="J10" s="7">
        <v>1</v>
      </c>
      <c r="K10" s="222">
        <v>4589902.5</v>
      </c>
      <c r="L10" s="234">
        <v>1</v>
      </c>
      <c r="M10" s="224">
        <v>570000</v>
      </c>
      <c r="N10" s="225">
        <v>28497.3</v>
      </c>
      <c r="O10" s="226" t="s">
        <v>17</v>
      </c>
      <c r="P10" s="227">
        <v>14</v>
      </c>
      <c r="Q10" s="226">
        <v>252</v>
      </c>
      <c r="R10" s="227">
        <v>2356</v>
      </c>
      <c r="S10" s="226">
        <v>25746</v>
      </c>
      <c r="T10" s="227">
        <v>255077</v>
      </c>
    </row>
    <row r="11" spans="1:20" x14ac:dyDescent="0.15">
      <c r="A11" s="178"/>
      <c r="B11" s="179">
        <v>37632</v>
      </c>
      <c r="C11" s="180" t="s">
        <v>363</v>
      </c>
      <c r="D11" s="76">
        <v>6</v>
      </c>
      <c r="E11" s="76">
        <v>6</v>
      </c>
      <c r="F11" s="76">
        <v>6</v>
      </c>
      <c r="G11" s="76">
        <v>3</v>
      </c>
      <c r="H11" s="76">
        <v>7</v>
      </c>
      <c r="I11" s="76">
        <v>5</v>
      </c>
      <c r="J11" s="13">
        <v>3</v>
      </c>
      <c r="K11" s="229">
        <v>14946541.5</v>
      </c>
      <c r="L11" s="237">
        <v>2</v>
      </c>
      <c r="M11" s="229">
        <v>470000</v>
      </c>
      <c r="N11" s="229">
        <v>85431.6</v>
      </c>
      <c r="O11" s="232">
        <v>7</v>
      </c>
      <c r="P11" s="233">
        <v>100</v>
      </c>
      <c r="Q11" s="232">
        <v>996</v>
      </c>
      <c r="R11" s="233">
        <v>10110</v>
      </c>
      <c r="S11" s="232">
        <v>99147</v>
      </c>
      <c r="T11" s="233">
        <v>969247</v>
      </c>
    </row>
    <row r="12" spans="1:20" x14ac:dyDescent="0.15">
      <c r="A12" s="172">
        <v>3</v>
      </c>
      <c r="B12" s="173">
        <v>37636</v>
      </c>
      <c r="C12" s="174" t="s">
        <v>362</v>
      </c>
      <c r="D12" s="27">
        <v>7</v>
      </c>
      <c r="E12" s="27">
        <v>3</v>
      </c>
      <c r="F12" s="27">
        <v>8</v>
      </c>
      <c r="G12" s="27">
        <v>6</v>
      </c>
      <c r="H12" s="27">
        <v>0</v>
      </c>
      <c r="I12" s="27">
        <v>0</v>
      </c>
      <c r="J12" s="7">
        <v>1</v>
      </c>
      <c r="K12" s="222">
        <v>4787769</v>
      </c>
      <c r="L12" s="223" t="s">
        <v>23</v>
      </c>
      <c r="M12" s="224"/>
      <c r="N12" s="225">
        <v>404775.8</v>
      </c>
      <c r="O12" s="226">
        <v>2</v>
      </c>
      <c r="P12" s="227">
        <v>13</v>
      </c>
      <c r="Q12" s="226">
        <v>258</v>
      </c>
      <c r="R12" s="227">
        <v>2405</v>
      </c>
      <c r="S12" s="226">
        <v>24433</v>
      </c>
      <c r="T12" s="227">
        <v>267261</v>
      </c>
    </row>
    <row r="13" spans="1:20" x14ac:dyDescent="0.15">
      <c r="A13" s="178"/>
      <c r="B13" s="179">
        <v>37639</v>
      </c>
      <c r="C13" s="180" t="s">
        <v>363</v>
      </c>
      <c r="D13" s="19">
        <v>0</v>
      </c>
      <c r="E13" s="19">
        <v>8</v>
      </c>
      <c r="F13" s="19">
        <v>8</v>
      </c>
      <c r="G13" s="19">
        <v>9</v>
      </c>
      <c r="H13" s="19">
        <v>1</v>
      </c>
      <c r="I13" s="19">
        <v>5</v>
      </c>
      <c r="J13" s="13">
        <v>4</v>
      </c>
      <c r="K13" s="229">
        <v>15498954</v>
      </c>
      <c r="L13" s="230">
        <v>1</v>
      </c>
      <c r="M13" s="229">
        <v>1370000</v>
      </c>
      <c r="N13" s="231">
        <v>68556</v>
      </c>
      <c r="O13" s="232">
        <v>8</v>
      </c>
      <c r="P13" s="233">
        <v>90</v>
      </c>
      <c r="Q13" s="232">
        <v>954</v>
      </c>
      <c r="R13" s="233">
        <v>9084</v>
      </c>
      <c r="S13" s="232">
        <v>92235</v>
      </c>
      <c r="T13" s="233">
        <v>882159</v>
      </c>
    </row>
    <row r="14" spans="1:20" x14ac:dyDescent="0.15">
      <c r="A14" s="172">
        <v>4</v>
      </c>
      <c r="B14" s="173">
        <v>37643</v>
      </c>
      <c r="C14" s="174" t="s">
        <v>362</v>
      </c>
      <c r="D14" s="27">
        <v>2</v>
      </c>
      <c r="E14" s="27">
        <v>4</v>
      </c>
      <c r="F14" s="27">
        <v>5</v>
      </c>
      <c r="G14" s="27">
        <v>8</v>
      </c>
      <c r="H14" s="27">
        <v>2</v>
      </c>
      <c r="I14" s="27">
        <v>7</v>
      </c>
      <c r="J14" s="7">
        <v>1</v>
      </c>
      <c r="K14" s="222">
        <v>5649474</v>
      </c>
      <c r="L14" s="234" t="s">
        <v>23</v>
      </c>
      <c r="M14" s="224"/>
      <c r="N14" s="225">
        <v>445375.9</v>
      </c>
      <c r="O14" s="226">
        <v>2</v>
      </c>
      <c r="P14" s="227">
        <v>31</v>
      </c>
      <c r="Q14" s="226">
        <v>357</v>
      </c>
      <c r="R14" s="227">
        <v>3084</v>
      </c>
      <c r="S14" s="226">
        <v>31213</v>
      </c>
      <c r="T14" s="227">
        <v>315891</v>
      </c>
    </row>
    <row r="15" spans="1:20" x14ac:dyDescent="0.15">
      <c r="A15" s="178"/>
      <c r="B15" s="179">
        <v>37646</v>
      </c>
      <c r="C15" s="180" t="s">
        <v>363</v>
      </c>
      <c r="D15" s="19">
        <v>9</v>
      </c>
      <c r="E15" s="19">
        <v>3</v>
      </c>
      <c r="F15" s="19">
        <v>7</v>
      </c>
      <c r="G15" s="19">
        <v>4</v>
      </c>
      <c r="H15" s="19">
        <v>4</v>
      </c>
      <c r="I15" s="19">
        <v>4</v>
      </c>
      <c r="J15" s="13">
        <v>6</v>
      </c>
      <c r="K15" s="229">
        <v>17782474.5</v>
      </c>
      <c r="L15" s="230" t="s">
        <v>23</v>
      </c>
      <c r="M15" s="229"/>
      <c r="N15" s="231">
        <v>1631466.9</v>
      </c>
      <c r="O15" s="232">
        <v>8</v>
      </c>
      <c r="P15" s="233">
        <v>110</v>
      </c>
      <c r="Q15" s="232">
        <v>981</v>
      </c>
      <c r="R15" s="233">
        <v>10981</v>
      </c>
      <c r="S15" s="232">
        <v>114055</v>
      </c>
      <c r="T15" s="233">
        <v>1114357</v>
      </c>
    </row>
    <row r="16" spans="1:20" x14ac:dyDescent="0.15">
      <c r="A16" s="172">
        <v>5</v>
      </c>
      <c r="B16" s="173">
        <v>37650</v>
      </c>
      <c r="C16" s="174" t="s">
        <v>362</v>
      </c>
      <c r="D16" s="27">
        <v>4</v>
      </c>
      <c r="E16" s="27">
        <v>6</v>
      </c>
      <c r="F16" s="27">
        <v>5</v>
      </c>
      <c r="G16" s="27">
        <v>8</v>
      </c>
      <c r="H16" s="27">
        <v>6</v>
      </c>
      <c r="I16" s="27">
        <v>0</v>
      </c>
      <c r="J16" s="7">
        <v>8</v>
      </c>
      <c r="K16" s="222">
        <v>5436759</v>
      </c>
      <c r="L16" s="223" t="s">
        <v>23</v>
      </c>
      <c r="M16" s="224"/>
      <c r="N16" s="225">
        <v>1994098.7</v>
      </c>
      <c r="O16" s="226">
        <v>3</v>
      </c>
      <c r="P16" s="227">
        <v>25</v>
      </c>
      <c r="Q16" s="226">
        <v>290</v>
      </c>
      <c r="R16" s="227">
        <v>3099</v>
      </c>
      <c r="S16" s="226">
        <v>31288</v>
      </c>
      <c r="T16" s="227">
        <v>363974</v>
      </c>
    </row>
    <row r="17" spans="1:20" x14ac:dyDescent="0.15">
      <c r="A17" s="178"/>
      <c r="B17" s="179">
        <v>37653</v>
      </c>
      <c r="C17" s="180" t="s">
        <v>363</v>
      </c>
      <c r="D17" s="19">
        <v>1</v>
      </c>
      <c r="E17" s="19">
        <v>1</v>
      </c>
      <c r="F17" s="19">
        <v>1</v>
      </c>
      <c r="G17" s="19">
        <v>1</v>
      </c>
      <c r="H17" s="19">
        <v>3</v>
      </c>
      <c r="I17" s="19">
        <v>0</v>
      </c>
      <c r="J17" s="13">
        <v>1</v>
      </c>
      <c r="K17" s="229">
        <v>16600054.5</v>
      </c>
      <c r="L17" s="230" t="s">
        <v>23</v>
      </c>
      <c r="M17" s="229"/>
      <c r="N17" s="231">
        <v>3101322.3</v>
      </c>
      <c r="O17" s="232">
        <v>9</v>
      </c>
      <c r="P17" s="233">
        <v>71</v>
      </c>
      <c r="Q17" s="232">
        <v>827</v>
      </c>
      <c r="R17" s="233">
        <v>7893</v>
      </c>
      <c r="S17" s="232">
        <v>80546</v>
      </c>
      <c r="T17" s="233">
        <v>889204</v>
      </c>
    </row>
    <row r="18" spans="1:20" x14ac:dyDescent="0.15">
      <c r="A18" s="172">
        <v>6</v>
      </c>
      <c r="B18" s="173">
        <v>37657</v>
      </c>
      <c r="C18" s="174" t="s">
        <v>362</v>
      </c>
      <c r="D18" s="27">
        <v>4</v>
      </c>
      <c r="E18" s="27">
        <v>1</v>
      </c>
      <c r="F18" s="27">
        <v>1</v>
      </c>
      <c r="G18" s="27">
        <v>2</v>
      </c>
      <c r="H18" s="27">
        <v>3</v>
      </c>
      <c r="I18" s="27">
        <v>4</v>
      </c>
      <c r="J18" s="7">
        <v>4</v>
      </c>
      <c r="K18" s="222">
        <v>5182857</v>
      </c>
      <c r="L18" s="223" t="s">
        <v>23</v>
      </c>
      <c r="M18" s="224"/>
      <c r="N18" s="225">
        <v>3447018.9</v>
      </c>
      <c r="O18" s="226">
        <v>3</v>
      </c>
      <c r="P18" s="227">
        <v>32</v>
      </c>
      <c r="Q18" s="226">
        <v>322</v>
      </c>
      <c r="R18" s="227">
        <v>3031</v>
      </c>
      <c r="S18" s="226">
        <v>31434</v>
      </c>
      <c r="T18" s="227">
        <v>291990</v>
      </c>
    </row>
    <row r="19" spans="1:20" x14ac:dyDescent="0.15">
      <c r="A19" s="178"/>
      <c r="B19" s="179">
        <v>37660</v>
      </c>
      <c r="C19" s="180" t="s">
        <v>363</v>
      </c>
      <c r="D19" s="19">
        <v>1</v>
      </c>
      <c r="E19" s="19">
        <v>4</v>
      </c>
      <c r="F19" s="19">
        <v>9</v>
      </c>
      <c r="G19" s="19">
        <v>7</v>
      </c>
      <c r="H19" s="19">
        <v>8</v>
      </c>
      <c r="I19" s="19">
        <v>4</v>
      </c>
      <c r="J19" s="13">
        <v>8</v>
      </c>
      <c r="K19" s="229">
        <v>15405865.5</v>
      </c>
      <c r="L19" s="230">
        <v>2</v>
      </c>
      <c r="M19" s="229">
        <v>2170000</v>
      </c>
      <c r="N19" s="231">
        <v>134590.1</v>
      </c>
      <c r="O19" s="232">
        <v>12</v>
      </c>
      <c r="P19" s="233">
        <v>108</v>
      </c>
      <c r="Q19" s="232">
        <v>1123</v>
      </c>
      <c r="R19" s="233">
        <v>11211</v>
      </c>
      <c r="S19" s="232">
        <v>110933</v>
      </c>
      <c r="T19" s="233">
        <v>1053864</v>
      </c>
    </row>
    <row r="20" spans="1:20" x14ac:dyDescent="0.15">
      <c r="A20" s="172">
        <v>7</v>
      </c>
      <c r="B20" s="173">
        <v>37664</v>
      </c>
      <c r="C20" s="174" t="s">
        <v>362</v>
      </c>
      <c r="D20" s="27">
        <v>5</v>
      </c>
      <c r="E20" s="27">
        <v>5</v>
      </c>
      <c r="F20" s="27">
        <v>0</v>
      </c>
      <c r="G20" s="27">
        <v>4</v>
      </c>
      <c r="H20" s="27">
        <v>9</v>
      </c>
      <c r="I20" s="27">
        <v>4</v>
      </c>
      <c r="J20" s="7">
        <v>6</v>
      </c>
      <c r="K20" s="222">
        <v>4930111.5</v>
      </c>
      <c r="L20" s="223" t="s">
        <v>23</v>
      </c>
      <c r="M20" s="224"/>
      <c r="N20" s="225">
        <v>463428.5</v>
      </c>
      <c r="O20" s="226">
        <v>3</v>
      </c>
      <c r="P20" s="227">
        <v>39</v>
      </c>
      <c r="Q20" s="226">
        <v>369</v>
      </c>
      <c r="R20" s="227">
        <v>3356</v>
      </c>
      <c r="S20" s="226">
        <v>33814</v>
      </c>
      <c r="T20" s="227">
        <v>311737</v>
      </c>
    </row>
    <row r="21" spans="1:20" x14ac:dyDescent="0.15">
      <c r="A21" s="178"/>
      <c r="B21" s="179">
        <v>37667</v>
      </c>
      <c r="C21" s="180" t="s">
        <v>363</v>
      </c>
      <c r="D21" s="19">
        <v>0</v>
      </c>
      <c r="E21" s="19">
        <v>9</v>
      </c>
      <c r="F21" s="19">
        <v>1</v>
      </c>
      <c r="G21" s="19">
        <v>8</v>
      </c>
      <c r="H21" s="19">
        <v>8</v>
      </c>
      <c r="I21" s="19">
        <v>2</v>
      </c>
      <c r="J21" s="13">
        <v>0</v>
      </c>
      <c r="K21" s="229">
        <v>15548740.5</v>
      </c>
      <c r="L21" s="230">
        <v>1</v>
      </c>
      <c r="M21" s="229">
        <v>1470000</v>
      </c>
      <c r="N21" s="231">
        <v>30529.5</v>
      </c>
      <c r="O21" s="232">
        <v>9</v>
      </c>
      <c r="P21" s="233">
        <v>75</v>
      </c>
      <c r="Q21" s="232">
        <v>662</v>
      </c>
      <c r="R21" s="233">
        <v>7080</v>
      </c>
      <c r="S21" s="232">
        <v>71359</v>
      </c>
      <c r="T21" s="233">
        <v>731832</v>
      </c>
    </row>
    <row r="22" spans="1:20" x14ac:dyDescent="0.15">
      <c r="A22" s="172">
        <v>8</v>
      </c>
      <c r="B22" s="173">
        <v>37671</v>
      </c>
      <c r="C22" s="174" t="s">
        <v>362</v>
      </c>
      <c r="D22" s="27">
        <v>3</v>
      </c>
      <c r="E22" s="27">
        <v>5</v>
      </c>
      <c r="F22" s="27">
        <v>4</v>
      </c>
      <c r="G22" s="27">
        <v>1</v>
      </c>
      <c r="H22" s="27">
        <v>8</v>
      </c>
      <c r="I22" s="27">
        <v>6</v>
      </c>
      <c r="J22" s="7">
        <v>3</v>
      </c>
      <c r="K22" s="222">
        <v>4703661</v>
      </c>
      <c r="L22" s="223" t="s">
        <v>23</v>
      </c>
      <c r="M22" s="224"/>
      <c r="N22" s="225">
        <v>344263.7</v>
      </c>
      <c r="O22" s="226">
        <v>2</v>
      </c>
      <c r="P22" s="227">
        <v>39</v>
      </c>
      <c r="Q22" s="226">
        <v>328</v>
      </c>
      <c r="R22" s="227">
        <v>3138</v>
      </c>
      <c r="S22" s="226">
        <v>30081</v>
      </c>
      <c r="T22" s="227">
        <v>300505</v>
      </c>
    </row>
    <row r="23" spans="1:20" x14ac:dyDescent="0.15">
      <c r="A23" s="178"/>
      <c r="B23" s="179">
        <v>37674</v>
      </c>
      <c r="C23" s="180" t="s">
        <v>363</v>
      </c>
      <c r="D23" s="19">
        <v>5</v>
      </c>
      <c r="E23" s="19">
        <v>4</v>
      </c>
      <c r="F23" s="19">
        <v>1</v>
      </c>
      <c r="G23" s="19">
        <v>1</v>
      </c>
      <c r="H23" s="19">
        <v>1</v>
      </c>
      <c r="I23" s="19">
        <v>8</v>
      </c>
      <c r="J23" s="13">
        <v>0</v>
      </c>
      <c r="K23" s="229">
        <v>15033282</v>
      </c>
      <c r="L23" s="230">
        <v>1</v>
      </c>
      <c r="M23" s="229">
        <v>1270000</v>
      </c>
      <c r="N23" s="231">
        <v>76983.600000000006</v>
      </c>
      <c r="O23" s="232">
        <v>11</v>
      </c>
      <c r="P23" s="233">
        <v>68</v>
      </c>
      <c r="Q23" s="232">
        <v>688</v>
      </c>
      <c r="R23" s="233">
        <v>6920</v>
      </c>
      <c r="S23" s="232">
        <v>69678</v>
      </c>
      <c r="T23" s="233">
        <v>704262</v>
      </c>
    </row>
    <row r="24" spans="1:20" x14ac:dyDescent="0.15">
      <c r="A24" s="172">
        <v>9</v>
      </c>
      <c r="B24" s="173">
        <v>37678</v>
      </c>
      <c r="C24" s="174" t="s">
        <v>362</v>
      </c>
      <c r="D24" s="27">
        <v>2</v>
      </c>
      <c r="E24" s="27">
        <v>3</v>
      </c>
      <c r="F24" s="27">
        <v>7</v>
      </c>
      <c r="G24" s="27">
        <v>3</v>
      </c>
      <c r="H24" s="27">
        <v>6</v>
      </c>
      <c r="I24" s="27">
        <v>2</v>
      </c>
      <c r="J24" s="7">
        <v>8</v>
      </c>
      <c r="K24" s="222">
        <v>4637451</v>
      </c>
      <c r="L24" s="223" t="s">
        <v>23</v>
      </c>
      <c r="M24" s="224"/>
      <c r="N24" s="225">
        <v>386301.6</v>
      </c>
      <c r="O24" s="226">
        <v>3</v>
      </c>
      <c r="P24" s="227">
        <v>28</v>
      </c>
      <c r="Q24" s="226">
        <v>328</v>
      </c>
      <c r="R24" s="227">
        <v>3128</v>
      </c>
      <c r="S24" s="226">
        <v>32207</v>
      </c>
      <c r="T24" s="227">
        <v>313987</v>
      </c>
    </row>
    <row r="25" spans="1:20" x14ac:dyDescent="0.15">
      <c r="A25" s="178"/>
      <c r="B25" s="179">
        <v>37681</v>
      </c>
      <c r="C25" s="180" t="s">
        <v>363</v>
      </c>
      <c r="D25" s="19">
        <v>7</v>
      </c>
      <c r="E25" s="19">
        <v>5</v>
      </c>
      <c r="F25" s="19">
        <v>1</v>
      </c>
      <c r="G25" s="19">
        <v>0</v>
      </c>
      <c r="H25" s="19">
        <v>1</v>
      </c>
      <c r="I25" s="19">
        <v>1</v>
      </c>
      <c r="J25" s="13">
        <v>7</v>
      </c>
      <c r="K25" s="229">
        <v>14970895.5</v>
      </c>
      <c r="L25" s="230">
        <v>1</v>
      </c>
      <c r="M25" s="229">
        <v>1370000</v>
      </c>
      <c r="N25" s="231">
        <v>14860.3</v>
      </c>
      <c r="O25" s="232">
        <v>6</v>
      </c>
      <c r="P25" s="233">
        <v>85</v>
      </c>
      <c r="Q25" s="232">
        <v>949</v>
      </c>
      <c r="R25" s="233">
        <v>9191</v>
      </c>
      <c r="S25" s="232">
        <v>95694</v>
      </c>
      <c r="T25" s="233">
        <v>953271</v>
      </c>
    </row>
    <row r="26" spans="1:20" x14ac:dyDescent="0.15">
      <c r="A26" s="172">
        <v>10</v>
      </c>
      <c r="B26" s="173">
        <v>37685</v>
      </c>
      <c r="C26" s="174" t="s">
        <v>362</v>
      </c>
      <c r="D26" s="27">
        <v>0</v>
      </c>
      <c r="E26" s="27">
        <v>0</v>
      </c>
      <c r="F26" s="27">
        <v>5</v>
      </c>
      <c r="G26" s="27">
        <v>6</v>
      </c>
      <c r="H26" s="27">
        <v>7</v>
      </c>
      <c r="I26" s="27">
        <v>0</v>
      </c>
      <c r="J26" s="7">
        <v>4</v>
      </c>
      <c r="K26" s="222">
        <v>4631311.5</v>
      </c>
      <c r="L26" s="223">
        <v>2</v>
      </c>
      <c r="M26" s="224">
        <v>170000</v>
      </c>
      <c r="N26" s="225">
        <v>0</v>
      </c>
      <c r="O26" s="226">
        <v>2</v>
      </c>
      <c r="P26" s="227">
        <v>11</v>
      </c>
      <c r="Q26" s="226">
        <v>221</v>
      </c>
      <c r="R26" s="227">
        <v>2275</v>
      </c>
      <c r="S26" s="226">
        <v>23006</v>
      </c>
      <c r="T26" s="227">
        <v>262750</v>
      </c>
    </row>
    <row r="27" spans="1:20" x14ac:dyDescent="0.15">
      <c r="A27" s="178"/>
      <c r="B27" s="179">
        <v>37688</v>
      </c>
      <c r="C27" s="180" t="s">
        <v>363</v>
      </c>
      <c r="D27" s="19">
        <v>5</v>
      </c>
      <c r="E27" s="19">
        <v>6</v>
      </c>
      <c r="F27" s="19">
        <v>1</v>
      </c>
      <c r="G27" s="19">
        <v>0</v>
      </c>
      <c r="H27" s="19">
        <v>3</v>
      </c>
      <c r="I27" s="19">
        <v>6</v>
      </c>
      <c r="J27" s="13">
        <v>8</v>
      </c>
      <c r="K27" s="229">
        <v>14898867</v>
      </c>
      <c r="L27" s="230" t="s">
        <v>23</v>
      </c>
      <c r="M27" s="229"/>
      <c r="N27" s="231">
        <v>993754.4</v>
      </c>
      <c r="O27" s="232">
        <v>9</v>
      </c>
      <c r="P27" s="233">
        <v>126</v>
      </c>
      <c r="Q27" s="232">
        <v>971</v>
      </c>
      <c r="R27" s="233">
        <v>10667</v>
      </c>
      <c r="S27" s="232">
        <v>104719</v>
      </c>
      <c r="T27" s="233">
        <v>1034280</v>
      </c>
    </row>
    <row r="28" spans="1:20" x14ac:dyDescent="0.15">
      <c r="A28" s="172">
        <v>11</v>
      </c>
      <c r="B28" s="173">
        <v>37692</v>
      </c>
      <c r="C28" s="174" t="s">
        <v>362</v>
      </c>
      <c r="D28" s="27">
        <v>6</v>
      </c>
      <c r="E28" s="27">
        <v>8</v>
      </c>
      <c r="F28" s="27">
        <v>9</v>
      </c>
      <c r="G28" s="27">
        <v>5</v>
      </c>
      <c r="H28" s="27">
        <v>6</v>
      </c>
      <c r="I28" s="27">
        <v>7</v>
      </c>
      <c r="J28" s="7">
        <v>7</v>
      </c>
      <c r="K28" s="222">
        <v>4640250</v>
      </c>
      <c r="L28" s="223">
        <v>1</v>
      </c>
      <c r="M28" s="224">
        <v>1270000</v>
      </c>
      <c r="N28" s="225">
        <v>33259.1</v>
      </c>
      <c r="O28" s="226">
        <v>3</v>
      </c>
      <c r="P28" s="227">
        <v>37</v>
      </c>
      <c r="Q28" s="226">
        <v>341</v>
      </c>
      <c r="R28" s="227">
        <v>3368</v>
      </c>
      <c r="S28" s="226">
        <v>36397</v>
      </c>
      <c r="T28" s="227">
        <v>289341</v>
      </c>
    </row>
    <row r="29" spans="1:20" x14ac:dyDescent="0.15">
      <c r="A29" s="178"/>
      <c r="B29" s="179">
        <v>37695</v>
      </c>
      <c r="C29" s="180" t="s">
        <v>363</v>
      </c>
      <c r="D29" s="19">
        <v>0</v>
      </c>
      <c r="E29" s="19">
        <v>3</v>
      </c>
      <c r="F29" s="19">
        <v>9</v>
      </c>
      <c r="G29" s="19">
        <v>6</v>
      </c>
      <c r="H29" s="19">
        <v>8</v>
      </c>
      <c r="I29" s="19">
        <v>4</v>
      </c>
      <c r="J29" s="13">
        <v>7</v>
      </c>
      <c r="K29" s="229">
        <v>14803647</v>
      </c>
      <c r="L29" s="230" t="s">
        <v>23</v>
      </c>
      <c r="M29" s="229"/>
      <c r="N29" s="231">
        <v>1020662.4</v>
      </c>
      <c r="O29" s="232">
        <v>13</v>
      </c>
      <c r="P29" s="233">
        <v>104</v>
      </c>
      <c r="Q29" s="232">
        <v>874</v>
      </c>
      <c r="R29" s="233">
        <v>9628</v>
      </c>
      <c r="S29" s="232">
        <v>97752</v>
      </c>
      <c r="T29" s="233">
        <v>938451</v>
      </c>
    </row>
    <row r="30" spans="1:20" x14ac:dyDescent="0.15">
      <c r="A30" s="172">
        <v>12</v>
      </c>
      <c r="B30" s="173">
        <v>37699</v>
      </c>
      <c r="C30" s="174" t="s">
        <v>362</v>
      </c>
      <c r="D30" s="27">
        <v>5</v>
      </c>
      <c r="E30" s="27">
        <v>0</v>
      </c>
      <c r="F30" s="27">
        <v>2</v>
      </c>
      <c r="G30" s="27">
        <v>6</v>
      </c>
      <c r="H30" s="27">
        <v>1</v>
      </c>
      <c r="I30" s="27">
        <v>3</v>
      </c>
      <c r="J30" s="7">
        <v>0</v>
      </c>
      <c r="K30" s="222">
        <v>4748698.5</v>
      </c>
      <c r="L30" s="223" t="s">
        <v>23</v>
      </c>
      <c r="M30" s="224"/>
      <c r="N30" s="225">
        <v>1337400.6000000001</v>
      </c>
      <c r="O30" s="226">
        <v>3</v>
      </c>
      <c r="P30" s="227">
        <v>26</v>
      </c>
      <c r="Q30" s="226">
        <v>232</v>
      </c>
      <c r="R30" s="227">
        <v>2262</v>
      </c>
      <c r="S30" s="226">
        <v>22614</v>
      </c>
      <c r="T30" s="227">
        <v>230704</v>
      </c>
    </row>
    <row r="31" spans="1:20" x14ac:dyDescent="0.15">
      <c r="A31" s="178"/>
      <c r="B31" s="179">
        <v>37702</v>
      </c>
      <c r="C31" s="180" t="s">
        <v>363</v>
      </c>
      <c r="D31" s="19">
        <v>4</v>
      </c>
      <c r="E31" s="19">
        <v>8</v>
      </c>
      <c r="F31" s="19">
        <v>1</v>
      </c>
      <c r="G31" s="19">
        <v>8</v>
      </c>
      <c r="H31" s="19">
        <v>4</v>
      </c>
      <c r="I31" s="19">
        <v>0</v>
      </c>
      <c r="J31" s="13">
        <v>0</v>
      </c>
      <c r="K31" s="229">
        <v>14985442.5</v>
      </c>
      <c r="L31" s="230">
        <v>2</v>
      </c>
      <c r="M31" s="229">
        <v>1070000</v>
      </c>
      <c r="N31" s="231">
        <v>196929.6</v>
      </c>
      <c r="O31" s="232">
        <v>13</v>
      </c>
      <c r="P31" s="233">
        <v>75</v>
      </c>
      <c r="Q31" s="232">
        <v>742</v>
      </c>
      <c r="R31" s="233">
        <v>7248</v>
      </c>
      <c r="S31" s="232">
        <v>74927</v>
      </c>
      <c r="T31" s="233">
        <v>714265</v>
      </c>
    </row>
    <row r="32" spans="1:20" x14ac:dyDescent="0.15">
      <c r="A32" s="172">
        <v>13</v>
      </c>
      <c r="B32" s="173">
        <v>37706</v>
      </c>
      <c r="C32" s="174" t="s">
        <v>362</v>
      </c>
      <c r="D32" s="27">
        <v>1</v>
      </c>
      <c r="E32" s="27">
        <v>6</v>
      </c>
      <c r="F32" s="27">
        <v>4</v>
      </c>
      <c r="G32" s="27">
        <v>8</v>
      </c>
      <c r="H32" s="27">
        <v>0</v>
      </c>
      <c r="I32" s="27">
        <v>3</v>
      </c>
      <c r="J32" s="7">
        <v>6</v>
      </c>
      <c r="K32" s="222">
        <v>5325937.5</v>
      </c>
      <c r="L32" s="223" t="s">
        <v>23</v>
      </c>
      <c r="M32" s="224"/>
      <c r="N32" s="225">
        <v>552169.6</v>
      </c>
      <c r="O32" s="226">
        <v>2</v>
      </c>
      <c r="P32" s="227">
        <v>36</v>
      </c>
      <c r="Q32" s="226">
        <v>386</v>
      </c>
      <c r="R32" s="227">
        <v>3265</v>
      </c>
      <c r="S32" s="226">
        <v>35843</v>
      </c>
      <c r="T32" s="227">
        <v>342820</v>
      </c>
    </row>
    <row r="33" spans="1:20" x14ac:dyDescent="0.15">
      <c r="A33" s="178"/>
      <c r="B33" s="179">
        <v>37709</v>
      </c>
      <c r="C33" s="180" t="s">
        <v>363</v>
      </c>
      <c r="D33" s="19">
        <v>6</v>
      </c>
      <c r="E33" s="19">
        <v>9</v>
      </c>
      <c r="F33" s="19">
        <v>0</v>
      </c>
      <c r="G33" s="19">
        <v>9</v>
      </c>
      <c r="H33" s="19">
        <v>6</v>
      </c>
      <c r="I33" s="19">
        <v>3</v>
      </c>
      <c r="J33" s="13">
        <v>6</v>
      </c>
      <c r="K33" s="229">
        <v>14623455</v>
      </c>
      <c r="L33" s="230">
        <v>3</v>
      </c>
      <c r="M33" s="229">
        <v>470000</v>
      </c>
      <c r="N33" s="231">
        <v>117554</v>
      </c>
      <c r="O33" s="232">
        <v>10</v>
      </c>
      <c r="P33" s="233">
        <v>93</v>
      </c>
      <c r="Q33" s="232">
        <v>1027</v>
      </c>
      <c r="R33" s="233">
        <v>9695</v>
      </c>
      <c r="S33" s="232">
        <v>95980</v>
      </c>
      <c r="T33" s="233">
        <v>919584</v>
      </c>
    </row>
    <row r="34" spans="1:20" x14ac:dyDescent="0.15">
      <c r="A34" s="172">
        <v>14</v>
      </c>
      <c r="B34" s="173">
        <v>37713</v>
      </c>
      <c r="C34" s="174" t="s">
        <v>362</v>
      </c>
      <c r="D34" s="27">
        <v>2</v>
      </c>
      <c r="E34" s="27">
        <v>4</v>
      </c>
      <c r="F34" s="27">
        <v>3</v>
      </c>
      <c r="G34" s="27">
        <v>4</v>
      </c>
      <c r="H34" s="27">
        <v>8</v>
      </c>
      <c r="I34" s="27">
        <v>6</v>
      </c>
      <c r="J34" s="7">
        <v>6</v>
      </c>
      <c r="K34" s="222">
        <v>4983703.5</v>
      </c>
      <c r="L34" s="223" t="s">
        <v>23</v>
      </c>
      <c r="M34" s="224"/>
      <c r="N34" s="225">
        <v>449967</v>
      </c>
      <c r="O34" s="226">
        <v>5</v>
      </c>
      <c r="P34" s="227">
        <v>40</v>
      </c>
      <c r="Q34" s="226">
        <v>327</v>
      </c>
      <c r="R34" s="227">
        <v>3340</v>
      </c>
      <c r="S34" s="226">
        <v>34454</v>
      </c>
      <c r="T34" s="227">
        <v>320457</v>
      </c>
    </row>
    <row r="35" spans="1:20" x14ac:dyDescent="0.15">
      <c r="A35" s="178"/>
      <c r="B35" s="179">
        <v>37716</v>
      </c>
      <c r="C35" s="180" t="s">
        <v>363</v>
      </c>
      <c r="D35" s="19">
        <v>4</v>
      </c>
      <c r="E35" s="19">
        <v>4</v>
      </c>
      <c r="F35" s="19">
        <v>3</v>
      </c>
      <c r="G35" s="19">
        <v>4</v>
      </c>
      <c r="H35" s="19">
        <v>7</v>
      </c>
      <c r="I35" s="19">
        <v>0</v>
      </c>
      <c r="J35" s="13">
        <v>1</v>
      </c>
      <c r="K35" s="229">
        <v>15173716.5</v>
      </c>
      <c r="L35" s="230" t="s">
        <v>23</v>
      </c>
      <c r="M35" s="229"/>
      <c r="N35" s="231">
        <v>1462053.9</v>
      </c>
      <c r="O35" s="232">
        <v>10</v>
      </c>
      <c r="P35" s="233">
        <v>82</v>
      </c>
      <c r="Q35" s="232">
        <v>766</v>
      </c>
      <c r="R35" s="233">
        <v>7314</v>
      </c>
      <c r="S35" s="232">
        <v>72908</v>
      </c>
      <c r="T35" s="233">
        <v>794268</v>
      </c>
    </row>
    <row r="36" spans="1:20" x14ac:dyDescent="0.15">
      <c r="A36" s="172">
        <v>15</v>
      </c>
      <c r="B36" s="173">
        <v>37720</v>
      </c>
      <c r="C36" s="174" t="s">
        <v>362</v>
      </c>
      <c r="D36" s="27">
        <v>6</v>
      </c>
      <c r="E36" s="27">
        <v>1</v>
      </c>
      <c r="F36" s="27">
        <v>1</v>
      </c>
      <c r="G36" s="27">
        <v>4</v>
      </c>
      <c r="H36" s="27">
        <v>3</v>
      </c>
      <c r="I36" s="27">
        <v>5</v>
      </c>
      <c r="J36" s="7">
        <v>5</v>
      </c>
      <c r="K36" s="222">
        <v>4699920</v>
      </c>
      <c r="L36" s="223">
        <v>2</v>
      </c>
      <c r="M36" s="224">
        <v>870000</v>
      </c>
      <c r="N36" s="225">
        <v>35538.6</v>
      </c>
      <c r="O36" s="226">
        <v>1</v>
      </c>
      <c r="P36" s="227">
        <v>36</v>
      </c>
      <c r="Q36" s="226">
        <v>359</v>
      </c>
      <c r="R36" s="227">
        <v>3512</v>
      </c>
      <c r="S36" s="226">
        <v>36137</v>
      </c>
      <c r="T36" s="227">
        <v>312045</v>
      </c>
    </row>
    <row r="37" spans="1:20" x14ac:dyDescent="0.15">
      <c r="A37" s="178"/>
      <c r="B37" s="179">
        <v>37723</v>
      </c>
      <c r="C37" s="180" t="s">
        <v>363</v>
      </c>
      <c r="D37" s="19">
        <v>9</v>
      </c>
      <c r="E37" s="19">
        <v>6</v>
      </c>
      <c r="F37" s="19">
        <v>8</v>
      </c>
      <c r="G37" s="19">
        <v>8</v>
      </c>
      <c r="H37" s="19">
        <v>8</v>
      </c>
      <c r="I37" s="19">
        <v>5</v>
      </c>
      <c r="J37" s="13">
        <v>7</v>
      </c>
      <c r="K37" s="229">
        <v>14604483</v>
      </c>
      <c r="L37" s="230">
        <v>1</v>
      </c>
      <c r="M37" s="229">
        <v>970000</v>
      </c>
      <c r="N37" s="231">
        <v>39657.599999999999</v>
      </c>
      <c r="O37" s="232">
        <v>6</v>
      </c>
      <c r="P37" s="233">
        <v>84</v>
      </c>
      <c r="Q37" s="232">
        <v>934</v>
      </c>
      <c r="R37" s="233">
        <v>9619</v>
      </c>
      <c r="S37" s="232">
        <v>95138</v>
      </c>
      <c r="T37" s="233">
        <v>940275</v>
      </c>
    </row>
    <row r="38" spans="1:20" x14ac:dyDescent="0.15">
      <c r="A38" s="172">
        <v>16</v>
      </c>
      <c r="B38" s="173">
        <v>37727</v>
      </c>
      <c r="C38" s="174" t="s">
        <v>362</v>
      </c>
      <c r="D38" s="27">
        <v>6</v>
      </c>
      <c r="E38" s="27">
        <v>1</v>
      </c>
      <c r="F38" s="27">
        <v>3</v>
      </c>
      <c r="G38" s="27">
        <v>1</v>
      </c>
      <c r="H38" s="27">
        <v>5</v>
      </c>
      <c r="I38" s="27">
        <v>8</v>
      </c>
      <c r="J38" s="7">
        <v>1</v>
      </c>
      <c r="K38" s="222">
        <v>4597060.5</v>
      </c>
      <c r="L38" s="223" t="s">
        <v>23</v>
      </c>
      <c r="M38" s="224"/>
      <c r="N38" s="225">
        <v>346281.5</v>
      </c>
      <c r="O38" s="226">
        <v>4</v>
      </c>
      <c r="P38" s="227">
        <v>20</v>
      </c>
      <c r="Q38" s="226">
        <v>220</v>
      </c>
      <c r="R38" s="227">
        <v>2407</v>
      </c>
      <c r="S38" s="226">
        <v>24092</v>
      </c>
      <c r="T38" s="227">
        <v>250592</v>
      </c>
    </row>
    <row r="39" spans="1:20" x14ac:dyDescent="0.15">
      <c r="A39" s="178"/>
      <c r="B39" s="179">
        <v>37730</v>
      </c>
      <c r="C39" s="180" t="s">
        <v>363</v>
      </c>
      <c r="D39" s="19">
        <v>6</v>
      </c>
      <c r="E39" s="19">
        <v>3</v>
      </c>
      <c r="F39" s="19">
        <v>4</v>
      </c>
      <c r="G39" s="19">
        <v>6</v>
      </c>
      <c r="H39" s="19">
        <v>7</v>
      </c>
      <c r="I39" s="19">
        <v>4</v>
      </c>
      <c r="J39" s="13">
        <v>6</v>
      </c>
      <c r="K39" s="229">
        <v>14478054</v>
      </c>
      <c r="L39" s="230">
        <v>1</v>
      </c>
      <c r="M39" s="229">
        <v>1270000</v>
      </c>
      <c r="N39" s="231">
        <v>41967.7</v>
      </c>
      <c r="O39" s="232">
        <v>8</v>
      </c>
      <c r="P39" s="233">
        <v>101</v>
      </c>
      <c r="Q39" s="232">
        <v>965</v>
      </c>
      <c r="R39" s="233">
        <v>9819</v>
      </c>
      <c r="S39" s="232">
        <v>95538</v>
      </c>
      <c r="T39" s="233">
        <v>914627</v>
      </c>
    </row>
    <row r="40" spans="1:20" x14ac:dyDescent="0.15">
      <c r="A40" s="172">
        <v>17</v>
      </c>
      <c r="B40" s="173">
        <v>37734</v>
      </c>
      <c r="C40" s="174" t="s">
        <v>362</v>
      </c>
      <c r="D40" s="27">
        <v>5</v>
      </c>
      <c r="E40" s="27">
        <v>3</v>
      </c>
      <c r="F40" s="27">
        <v>3</v>
      </c>
      <c r="G40" s="27">
        <v>3</v>
      </c>
      <c r="H40" s="27">
        <v>4</v>
      </c>
      <c r="I40" s="27">
        <v>1</v>
      </c>
      <c r="J40" s="7">
        <v>8</v>
      </c>
      <c r="K40" s="222">
        <v>4466802</v>
      </c>
      <c r="L40" s="223" t="s">
        <v>23</v>
      </c>
      <c r="M40" s="224"/>
      <c r="N40" s="225">
        <v>339903.4</v>
      </c>
      <c r="O40" s="226">
        <v>2</v>
      </c>
      <c r="P40" s="227">
        <v>35</v>
      </c>
      <c r="Q40" s="226">
        <v>288</v>
      </c>
      <c r="R40" s="227">
        <v>3001</v>
      </c>
      <c r="S40" s="226">
        <v>29900</v>
      </c>
      <c r="T40" s="227">
        <v>306302</v>
      </c>
    </row>
    <row r="41" spans="1:20" x14ac:dyDescent="0.15">
      <c r="A41" s="178"/>
      <c r="B41" s="179">
        <v>37737</v>
      </c>
      <c r="C41" s="180" t="s">
        <v>363</v>
      </c>
      <c r="D41" s="19">
        <v>4</v>
      </c>
      <c r="E41" s="19">
        <v>8</v>
      </c>
      <c r="F41" s="19">
        <v>3</v>
      </c>
      <c r="G41" s="19">
        <v>0</v>
      </c>
      <c r="H41" s="19">
        <v>1</v>
      </c>
      <c r="I41" s="19">
        <v>1</v>
      </c>
      <c r="J41" s="13">
        <v>1</v>
      </c>
      <c r="K41" s="229">
        <v>14661223.5</v>
      </c>
      <c r="L41" s="230">
        <v>1</v>
      </c>
      <c r="M41" s="229">
        <v>1270000</v>
      </c>
      <c r="N41" s="231">
        <v>47807</v>
      </c>
      <c r="O41" s="232">
        <v>6</v>
      </c>
      <c r="P41" s="233">
        <v>94</v>
      </c>
      <c r="Q41" s="232">
        <v>814</v>
      </c>
      <c r="R41" s="233">
        <v>8721</v>
      </c>
      <c r="S41" s="232">
        <v>76729</v>
      </c>
      <c r="T41" s="233">
        <v>756024</v>
      </c>
    </row>
    <row r="42" spans="1:20" x14ac:dyDescent="0.15">
      <c r="A42" s="172">
        <v>18</v>
      </c>
      <c r="B42" s="173">
        <v>37741</v>
      </c>
      <c r="C42" s="174" t="s">
        <v>362</v>
      </c>
      <c r="D42" s="27">
        <v>1</v>
      </c>
      <c r="E42" s="27">
        <v>0</v>
      </c>
      <c r="F42" s="27">
        <v>2</v>
      </c>
      <c r="G42" s="27">
        <v>8</v>
      </c>
      <c r="H42" s="27">
        <v>7</v>
      </c>
      <c r="I42" s="27">
        <v>5</v>
      </c>
      <c r="J42" s="7">
        <v>1</v>
      </c>
      <c r="K42" s="222">
        <v>5542792.5</v>
      </c>
      <c r="L42" s="234" t="s">
        <v>23</v>
      </c>
      <c r="M42" s="224"/>
      <c r="N42" s="225">
        <v>417511.3</v>
      </c>
      <c r="O42" s="226">
        <v>3</v>
      </c>
      <c r="P42" s="227">
        <v>34</v>
      </c>
      <c r="Q42" s="226">
        <v>327</v>
      </c>
      <c r="R42" s="227">
        <v>2991</v>
      </c>
      <c r="S42" s="226">
        <v>30318</v>
      </c>
      <c r="T42" s="227">
        <v>302274</v>
      </c>
    </row>
    <row r="43" spans="1:20" x14ac:dyDescent="0.15">
      <c r="A43" s="178"/>
      <c r="B43" s="179">
        <v>37744</v>
      </c>
      <c r="C43" s="180" t="s">
        <v>363</v>
      </c>
      <c r="D43" s="19">
        <v>5</v>
      </c>
      <c r="E43" s="19">
        <v>8</v>
      </c>
      <c r="F43" s="19">
        <v>5</v>
      </c>
      <c r="G43" s="19">
        <v>5</v>
      </c>
      <c r="H43" s="19">
        <v>7</v>
      </c>
      <c r="I43" s="19">
        <v>9</v>
      </c>
      <c r="J43" s="13">
        <v>1</v>
      </c>
      <c r="K43" s="229">
        <v>15396268.5</v>
      </c>
      <c r="L43" s="237" t="s">
        <v>23</v>
      </c>
      <c r="M43" s="229"/>
      <c r="N43" s="231">
        <v>1444442.4</v>
      </c>
      <c r="O43" s="232">
        <v>4</v>
      </c>
      <c r="P43" s="233">
        <v>81</v>
      </c>
      <c r="Q43" s="232">
        <v>797</v>
      </c>
      <c r="R43" s="233">
        <v>7800</v>
      </c>
      <c r="S43" s="232">
        <v>78234</v>
      </c>
      <c r="T43" s="233">
        <v>803870</v>
      </c>
    </row>
    <row r="44" spans="1:20" x14ac:dyDescent="0.15">
      <c r="A44" s="172">
        <v>19</v>
      </c>
      <c r="B44" s="173">
        <v>37748</v>
      </c>
      <c r="C44" s="174" t="s">
        <v>362</v>
      </c>
      <c r="D44" s="27">
        <v>2</v>
      </c>
      <c r="E44" s="27">
        <v>6</v>
      </c>
      <c r="F44" s="27">
        <v>5</v>
      </c>
      <c r="G44" s="27">
        <v>4</v>
      </c>
      <c r="H44" s="27">
        <v>6</v>
      </c>
      <c r="I44" s="27">
        <v>5</v>
      </c>
      <c r="J44" s="7">
        <v>7</v>
      </c>
      <c r="K44" s="222">
        <v>4638547.5</v>
      </c>
      <c r="L44" s="234">
        <v>1</v>
      </c>
      <c r="M44" s="224">
        <v>1670000</v>
      </c>
      <c r="N44" s="225">
        <v>83833.5</v>
      </c>
      <c r="O44" s="226">
        <v>2</v>
      </c>
      <c r="P44" s="227">
        <v>38</v>
      </c>
      <c r="Q44" s="226">
        <v>312</v>
      </c>
      <c r="R44" s="227">
        <v>3153</v>
      </c>
      <c r="S44" s="226">
        <v>30241</v>
      </c>
      <c r="T44" s="227">
        <v>300800</v>
      </c>
    </row>
    <row r="45" spans="1:20" x14ac:dyDescent="0.15">
      <c r="A45" s="178"/>
      <c r="B45" s="179">
        <v>37751</v>
      </c>
      <c r="C45" s="180" t="s">
        <v>363</v>
      </c>
      <c r="D45" s="19">
        <v>0</v>
      </c>
      <c r="E45" s="19">
        <v>6</v>
      </c>
      <c r="F45" s="19">
        <v>4</v>
      </c>
      <c r="G45" s="19">
        <v>0</v>
      </c>
      <c r="H45" s="19">
        <v>6</v>
      </c>
      <c r="I45" s="19">
        <v>2</v>
      </c>
      <c r="J45" s="13">
        <v>5</v>
      </c>
      <c r="K45" s="229">
        <v>14448477</v>
      </c>
      <c r="L45" s="230" t="s">
        <v>23</v>
      </c>
      <c r="M45" s="229"/>
      <c r="N45" s="231">
        <v>1047546.9</v>
      </c>
      <c r="O45" s="232">
        <v>7</v>
      </c>
      <c r="P45" s="233">
        <v>92</v>
      </c>
      <c r="Q45" s="232">
        <v>1019</v>
      </c>
      <c r="R45" s="233">
        <v>10019</v>
      </c>
      <c r="S45" s="232">
        <v>100578</v>
      </c>
      <c r="T45" s="233">
        <v>976362</v>
      </c>
    </row>
    <row r="46" spans="1:20" x14ac:dyDescent="0.15">
      <c r="A46" s="172">
        <v>20</v>
      </c>
      <c r="B46" s="173">
        <v>37755</v>
      </c>
      <c r="C46" s="174" t="s">
        <v>362</v>
      </c>
      <c r="D46" s="27">
        <v>8</v>
      </c>
      <c r="E46" s="27">
        <v>7</v>
      </c>
      <c r="F46" s="27">
        <v>3</v>
      </c>
      <c r="G46" s="27">
        <v>8</v>
      </c>
      <c r="H46" s="27">
        <v>1</v>
      </c>
      <c r="I46" s="27">
        <v>0</v>
      </c>
      <c r="J46" s="7">
        <v>6</v>
      </c>
      <c r="K46" s="222">
        <v>4655827.5</v>
      </c>
      <c r="L46" s="223" t="s">
        <v>23</v>
      </c>
      <c r="M46" s="224"/>
      <c r="N46" s="225">
        <v>1358090.6</v>
      </c>
      <c r="O46" s="226">
        <v>6</v>
      </c>
      <c r="P46" s="227">
        <v>27</v>
      </c>
      <c r="Q46" s="226">
        <v>288</v>
      </c>
      <c r="R46" s="227">
        <v>2511</v>
      </c>
      <c r="S46" s="226">
        <v>25571</v>
      </c>
      <c r="T46" s="227">
        <v>308094</v>
      </c>
    </row>
    <row r="47" spans="1:20" x14ac:dyDescent="0.15">
      <c r="A47" s="178"/>
      <c r="B47" s="179">
        <v>37758</v>
      </c>
      <c r="C47" s="180" t="s">
        <v>363</v>
      </c>
      <c r="D47" s="19">
        <v>2</v>
      </c>
      <c r="E47" s="19">
        <v>6</v>
      </c>
      <c r="F47" s="19">
        <v>8</v>
      </c>
      <c r="G47" s="19">
        <v>3</v>
      </c>
      <c r="H47" s="19">
        <v>3</v>
      </c>
      <c r="I47" s="19">
        <v>7</v>
      </c>
      <c r="J47" s="13">
        <v>1</v>
      </c>
      <c r="K47" s="229">
        <v>14638522.5</v>
      </c>
      <c r="L47" s="230">
        <v>1</v>
      </c>
      <c r="M47" s="229">
        <v>2270000</v>
      </c>
      <c r="N47" s="231">
        <v>64480.1</v>
      </c>
      <c r="O47" s="232">
        <v>8</v>
      </c>
      <c r="P47" s="233">
        <v>84</v>
      </c>
      <c r="Q47" s="232">
        <v>733</v>
      </c>
      <c r="R47" s="233">
        <v>7605</v>
      </c>
      <c r="S47" s="232">
        <v>75904</v>
      </c>
      <c r="T47" s="233">
        <v>772257</v>
      </c>
    </row>
    <row r="48" spans="1:20" x14ac:dyDescent="0.15">
      <c r="A48" s="172">
        <v>21</v>
      </c>
      <c r="B48" s="173">
        <v>37762</v>
      </c>
      <c r="C48" s="174" t="s">
        <v>362</v>
      </c>
      <c r="D48" s="27">
        <v>1</v>
      </c>
      <c r="E48" s="27">
        <v>0</v>
      </c>
      <c r="F48" s="27">
        <v>9</v>
      </c>
      <c r="G48" s="27">
        <v>7</v>
      </c>
      <c r="H48" s="27">
        <v>9</v>
      </c>
      <c r="I48" s="27">
        <v>5</v>
      </c>
      <c r="J48" s="7">
        <v>5</v>
      </c>
      <c r="K48" s="222">
        <v>5240161.5</v>
      </c>
      <c r="L48" s="223" t="s">
        <v>23</v>
      </c>
      <c r="M48" s="224"/>
      <c r="N48" s="225">
        <v>413998.9</v>
      </c>
      <c r="O48" s="226">
        <v>3</v>
      </c>
      <c r="P48" s="227">
        <v>38</v>
      </c>
      <c r="Q48" s="226">
        <v>379</v>
      </c>
      <c r="R48" s="227">
        <v>3848</v>
      </c>
      <c r="S48" s="226">
        <v>39290</v>
      </c>
      <c r="T48" s="227">
        <v>344148</v>
      </c>
    </row>
    <row r="49" spans="1:21" x14ac:dyDescent="0.15">
      <c r="A49" s="178"/>
      <c r="B49" s="179">
        <v>37765</v>
      </c>
      <c r="C49" s="180" t="s">
        <v>363</v>
      </c>
      <c r="D49" s="19">
        <v>3</v>
      </c>
      <c r="E49" s="19">
        <v>0</v>
      </c>
      <c r="F49" s="19">
        <v>7</v>
      </c>
      <c r="G49" s="19">
        <v>5</v>
      </c>
      <c r="H49" s="19">
        <v>4</v>
      </c>
      <c r="I49" s="19">
        <v>3</v>
      </c>
      <c r="J49" s="13">
        <v>8</v>
      </c>
      <c r="K49" s="229">
        <v>15505519.5</v>
      </c>
      <c r="L49" s="230">
        <v>1</v>
      </c>
      <c r="M49" s="229">
        <v>1370000</v>
      </c>
      <c r="N49" s="231">
        <v>78217.100000000006</v>
      </c>
      <c r="O49" s="232">
        <v>16</v>
      </c>
      <c r="P49" s="233">
        <v>114</v>
      </c>
      <c r="Q49" s="232">
        <v>1114</v>
      </c>
      <c r="R49" s="233">
        <v>11170</v>
      </c>
      <c r="S49" s="232">
        <v>110364</v>
      </c>
      <c r="T49" s="233">
        <v>1068540</v>
      </c>
    </row>
    <row r="50" spans="1:21" x14ac:dyDescent="0.15">
      <c r="A50" s="172">
        <v>22</v>
      </c>
      <c r="B50" s="173">
        <v>37769</v>
      </c>
      <c r="C50" s="174" t="s">
        <v>362</v>
      </c>
      <c r="D50" s="27">
        <v>3</v>
      </c>
      <c r="E50" s="27">
        <v>5</v>
      </c>
      <c r="F50" s="27">
        <v>6</v>
      </c>
      <c r="G50" s="27">
        <v>1</v>
      </c>
      <c r="H50" s="27">
        <v>5</v>
      </c>
      <c r="I50" s="27">
        <v>9</v>
      </c>
      <c r="J50" s="7">
        <v>4</v>
      </c>
      <c r="K50" s="222">
        <v>4655668.5</v>
      </c>
      <c r="L50" s="223">
        <v>1</v>
      </c>
      <c r="M50" s="224">
        <v>370000</v>
      </c>
      <c r="N50" s="225">
        <v>18750.2</v>
      </c>
      <c r="O50" s="226">
        <v>3</v>
      </c>
      <c r="P50" s="227">
        <v>24</v>
      </c>
      <c r="Q50" s="226">
        <v>274</v>
      </c>
      <c r="R50" s="227">
        <v>2483</v>
      </c>
      <c r="S50" s="226">
        <v>24560</v>
      </c>
      <c r="T50" s="227">
        <v>261475</v>
      </c>
    </row>
    <row r="51" spans="1:21" x14ac:dyDescent="0.15">
      <c r="A51" s="178"/>
      <c r="B51" s="179">
        <v>37772</v>
      </c>
      <c r="C51" s="180" t="s">
        <v>363</v>
      </c>
      <c r="D51" s="19">
        <v>9</v>
      </c>
      <c r="E51" s="19">
        <v>1</v>
      </c>
      <c r="F51" s="19">
        <v>8</v>
      </c>
      <c r="G51" s="19">
        <v>8</v>
      </c>
      <c r="H51" s="19">
        <v>5</v>
      </c>
      <c r="I51" s="19">
        <v>7</v>
      </c>
      <c r="J51" s="13">
        <v>5</v>
      </c>
      <c r="K51" s="229">
        <v>13978107</v>
      </c>
      <c r="L51" s="230">
        <v>2</v>
      </c>
      <c r="M51" s="229">
        <v>470000</v>
      </c>
      <c r="N51" s="231">
        <v>11089.9</v>
      </c>
      <c r="O51" s="232">
        <v>7</v>
      </c>
      <c r="P51" s="233">
        <v>98</v>
      </c>
      <c r="Q51" s="232">
        <v>1001</v>
      </c>
      <c r="R51" s="233">
        <v>9766</v>
      </c>
      <c r="S51" s="232">
        <v>96338</v>
      </c>
      <c r="T51" s="233">
        <v>945210</v>
      </c>
    </row>
    <row r="52" spans="1:21" x14ac:dyDescent="0.15">
      <c r="A52" s="172">
        <v>23</v>
      </c>
      <c r="B52" s="173">
        <v>37776</v>
      </c>
      <c r="C52" s="174" t="s">
        <v>362</v>
      </c>
      <c r="D52" s="27">
        <v>9</v>
      </c>
      <c r="E52" s="27">
        <v>6</v>
      </c>
      <c r="F52" s="27">
        <v>3</v>
      </c>
      <c r="G52" s="27">
        <v>8</v>
      </c>
      <c r="H52" s="27">
        <v>7</v>
      </c>
      <c r="I52" s="27">
        <v>1</v>
      </c>
      <c r="J52" s="7">
        <v>8</v>
      </c>
      <c r="K52" s="222">
        <v>4369108.5</v>
      </c>
      <c r="L52" s="223" t="s">
        <v>23</v>
      </c>
      <c r="M52" s="224"/>
      <c r="N52" s="225">
        <v>302509.40000000002</v>
      </c>
      <c r="O52" s="226">
        <v>1</v>
      </c>
      <c r="P52" s="227">
        <v>26</v>
      </c>
      <c r="Q52" s="226">
        <v>297</v>
      </c>
      <c r="R52" s="227">
        <v>2947</v>
      </c>
      <c r="S52" s="226">
        <v>29393</v>
      </c>
      <c r="T52" s="227">
        <v>298119</v>
      </c>
    </row>
    <row r="53" spans="1:21" x14ac:dyDescent="0.15">
      <c r="A53" s="178"/>
      <c r="B53" s="179">
        <v>37779</v>
      </c>
      <c r="C53" s="180" t="s">
        <v>363</v>
      </c>
      <c r="D53" s="19">
        <v>0</v>
      </c>
      <c r="E53" s="19">
        <v>0</v>
      </c>
      <c r="F53" s="19">
        <v>5</v>
      </c>
      <c r="G53" s="19">
        <v>2</v>
      </c>
      <c r="H53" s="19">
        <v>9</v>
      </c>
      <c r="I53" s="19">
        <v>7</v>
      </c>
      <c r="J53" s="13">
        <v>0</v>
      </c>
      <c r="K53" s="229">
        <v>14161221</v>
      </c>
      <c r="L53" s="230" t="s">
        <v>23</v>
      </c>
      <c r="M53" s="229"/>
      <c r="N53" s="231">
        <v>1247062.8</v>
      </c>
      <c r="O53" s="232">
        <v>7</v>
      </c>
      <c r="P53" s="233">
        <v>62</v>
      </c>
      <c r="Q53" s="232">
        <v>694</v>
      </c>
      <c r="R53" s="233">
        <v>6758</v>
      </c>
      <c r="S53" s="232">
        <v>66339</v>
      </c>
      <c r="T53" s="233">
        <v>677687</v>
      </c>
    </row>
    <row r="54" spans="1:21" x14ac:dyDescent="0.15">
      <c r="A54" s="172">
        <v>24</v>
      </c>
      <c r="B54" s="173">
        <v>37783</v>
      </c>
      <c r="C54" s="174" t="s">
        <v>362</v>
      </c>
      <c r="D54" s="27">
        <v>2</v>
      </c>
      <c r="E54" s="27">
        <v>0</v>
      </c>
      <c r="F54" s="27">
        <v>0</v>
      </c>
      <c r="G54" s="27">
        <v>5</v>
      </c>
      <c r="H54" s="27">
        <v>9</v>
      </c>
      <c r="I54" s="27">
        <v>0</v>
      </c>
      <c r="J54" s="7">
        <v>6</v>
      </c>
      <c r="K54" s="222">
        <v>4474561.5</v>
      </c>
      <c r="L54" s="223" t="s">
        <v>23</v>
      </c>
      <c r="M54" s="224"/>
      <c r="N54" s="225">
        <v>1545516.1</v>
      </c>
      <c r="O54" s="226">
        <v>1</v>
      </c>
      <c r="P54" s="227">
        <v>18</v>
      </c>
      <c r="Q54" s="226">
        <v>247</v>
      </c>
      <c r="R54" s="227">
        <v>2444</v>
      </c>
      <c r="S54" s="226">
        <v>24984</v>
      </c>
      <c r="T54" s="227">
        <v>295041</v>
      </c>
    </row>
    <row r="55" spans="1:21" x14ac:dyDescent="0.15">
      <c r="A55" s="178"/>
      <c r="B55" s="179">
        <v>37786</v>
      </c>
      <c r="C55" s="180" t="s">
        <v>363</v>
      </c>
      <c r="D55" s="19">
        <v>4</v>
      </c>
      <c r="E55" s="19">
        <v>0</v>
      </c>
      <c r="F55" s="19">
        <v>0</v>
      </c>
      <c r="G55" s="19">
        <v>7</v>
      </c>
      <c r="H55" s="19">
        <v>4</v>
      </c>
      <c r="I55" s="19">
        <v>1</v>
      </c>
      <c r="J55" s="13">
        <v>1</v>
      </c>
      <c r="K55" s="229">
        <v>14886283.5</v>
      </c>
      <c r="L55" s="230">
        <v>1</v>
      </c>
      <c r="M55" s="229">
        <v>2470000</v>
      </c>
      <c r="N55" s="231">
        <v>68431.199999999997</v>
      </c>
      <c r="O55" s="232">
        <v>10</v>
      </c>
      <c r="P55" s="233">
        <v>76</v>
      </c>
      <c r="Q55" s="232">
        <v>787</v>
      </c>
      <c r="R55" s="233">
        <v>8010</v>
      </c>
      <c r="S55" s="232">
        <v>82154</v>
      </c>
      <c r="T55" s="233">
        <v>794516</v>
      </c>
    </row>
    <row r="56" spans="1:21" x14ac:dyDescent="0.15">
      <c r="A56" s="172">
        <v>25</v>
      </c>
      <c r="B56" s="173">
        <v>37790</v>
      </c>
      <c r="C56" s="174" t="s">
        <v>362</v>
      </c>
      <c r="D56" s="27">
        <v>7</v>
      </c>
      <c r="E56" s="27">
        <v>5</v>
      </c>
      <c r="F56" s="27">
        <v>0</v>
      </c>
      <c r="G56" s="27">
        <v>3</v>
      </c>
      <c r="H56" s="27">
        <v>7</v>
      </c>
      <c r="I56" s="27">
        <v>8</v>
      </c>
      <c r="J56" s="7">
        <v>8</v>
      </c>
      <c r="K56" s="222">
        <v>4676245.5</v>
      </c>
      <c r="L56" s="234" t="s">
        <v>23</v>
      </c>
      <c r="M56" s="224"/>
      <c r="N56" s="225">
        <v>380336.8</v>
      </c>
      <c r="O56" s="226">
        <v>1</v>
      </c>
      <c r="P56" s="227">
        <v>30</v>
      </c>
      <c r="Q56" s="226">
        <v>315</v>
      </c>
      <c r="R56" s="227">
        <v>3367</v>
      </c>
      <c r="S56" s="226">
        <v>33344</v>
      </c>
      <c r="T56" s="227">
        <v>316628</v>
      </c>
      <c r="U56" s="240"/>
    </row>
    <row r="57" spans="1:21" x14ac:dyDescent="0.15">
      <c r="A57" s="178"/>
      <c r="B57" s="179">
        <v>37793</v>
      </c>
      <c r="C57" s="180" t="s">
        <v>363</v>
      </c>
      <c r="D57" s="19">
        <v>6</v>
      </c>
      <c r="E57" s="19">
        <v>3</v>
      </c>
      <c r="F57" s="19">
        <v>8</v>
      </c>
      <c r="G57" s="19">
        <v>9</v>
      </c>
      <c r="H57" s="19">
        <v>2</v>
      </c>
      <c r="I57" s="19">
        <v>9</v>
      </c>
      <c r="J57" s="13">
        <v>7</v>
      </c>
      <c r="K57" s="229">
        <v>14094765</v>
      </c>
      <c r="L57" s="230">
        <v>3</v>
      </c>
      <c r="M57" s="229">
        <v>370000</v>
      </c>
      <c r="N57" s="231">
        <v>210457.60000000001</v>
      </c>
      <c r="O57" s="232">
        <v>12</v>
      </c>
      <c r="P57" s="233">
        <v>78</v>
      </c>
      <c r="Q57" s="232">
        <v>912</v>
      </c>
      <c r="R57" s="233">
        <v>8828</v>
      </c>
      <c r="S57" s="232">
        <v>87987</v>
      </c>
      <c r="T57" s="233">
        <v>913866</v>
      </c>
    </row>
    <row r="58" spans="1:21" x14ac:dyDescent="0.15">
      <c r="A58" s="172">
        <v>26</v>
      </c>
      <c r="B58" s="173">
        <v>37797</v>
      </c>
      <c r="C58" s="174" t="s">
        <v>362</v>
      </c>
      <c r="D58" s="27">
        <v>8</v>
      </c>
      <c r="E58" s="27">
        <v>4</v>
      </c>
      <c r="F58" s="27">
        <v>6</v>
      </c>
      <c r="G58" s="27">
        <v>1</v>
      </c>
      <c r="H58" s="27">
        <v>8</v>
      </c>
      <c r="I58" s="27">
        <v>4</v>
      </c>
      <c r="J58" s="7">
        <v>2</v>
      </c>
      <c r="K58" s="222">
        <v>4496503.5</v>
      </c>
      <c r="L58" s="223">
        <v>1</v>
      </c>
      <c r="M58" s="224">
        <v>470000</v>
      </c>
      <c r="N58" s="225">
        <v>40374.400000000001</v>
      </c>
      <c r="O58" s="226">
        <v>1</v>
      </c>
      <c r="P58" s="227">
        <v>27</v>
      </c>
      <c r="Q58" s="226">
        <v>255</v>
      </c>
      <c r="R58" s="227">
        <v>2344</v>
      </c>
      <c r="S58" s="226">
        <v>24028</v>
      </c>
      <c r="T58" s="227">
        <v>234749</v>
      </c>
    </row>
    <row r="59" spans="1:21" x14ac:dyDescent="0.15">
      <c r="A59" s="178"/>
      <c r="B59" s="179">
        <v>37800</v>
      </c>
      <c r="C59" s="180" t="s">
        <v>363</v>
      </c>
      <c r="D59" s="38">
        <v>1</v>
      </c>
      <c r="E59" s="38">
        <v>9</v>
      </c>
      <c r="F59" s="38">
        <v>7</v>
      </c>
      <c r="G59" s="38">
        <v>4</v>
      </c>
      <c r="H59" s="38">
        <v>9</v>
      </c>
      <c r="I59" s="38">
        <v>9</v>
      </c>
      <c r="J59" s="39">
        <v>2</v>
      </c>
      <c r="K59" s="229">
        <v>14636560.5</v>
      </c>
      <c r="L59" s="230">
        <v>1</v>
      </c>
      <c r="M59" s="229">
        <v>970000</v>
      </c>
      <c r="N59" s="231">
        <v>46633</v>
      </c>
      <c r="O59" s="232">
        <v>9</v>
      </c>
      <c r="P59" s="233">
        <v>75</v>
      </c>
      <c r="Q59" s="232">
        <v>721</v>
      </c>
      <c r="R59" s="233">
        <v>7256</v>
      </c>
      <c r="S59" s="232">
        <v>75151</v>
      </c>
      <c r="T59" s="233">
        <v>762390</v>
      </c>
    </row>
    <row r="60" spans="1:21" s="90" customFormat="1" x14ac:dyDescent="0.15">
      <c r="A60" s="130"/>
      <c r="B60" s="97"/>
      <c r="C60" s="97"/>
      <c r="D60" s="260"/>
      <c r="E60" s="260"/>
      <c r="F60" s="260"/>
      <c r="G60" s="260"/>
      <c r="H60" s="260"/>
      <c r="I60" s="260" t="s">
        <v>24</v>
      </c>
      <c r="J60" s="260"/>
      <c r="K60" s="270"/>
      <c r="L60" s="259">
        <f>SUM(L8:L59)</f>
        <v>38</v>
      </c>
      <c r="M60" s="271"/>
      <c r="N60" s="259"/>
      <c r="O60" s="259">
        <f t="shared" ref="O60:T60" si="0">SUM(O8:O59)</f>
        <v>304</v>
      </c>
      <c r="P60" s="259">
        <f t="shared" si="0"/>
        <v>3070</v>
      </c>
      <c r="Q60" s="259">
        <f t="shared" si="0"/>
        <v>30867</v>
      </c>
      <c r="R60" s="259">
        <f t="shared" si="0"/>
        <v>307884</v>
      </c>
      <c r="S60" s="259">
        <f t="shared" si="0"/>
        <v>3092544</v>
      </c>
      <c r="T60" s="272">
        <f t="shared" si="0"/>
        <v>30679386</v>
      </c>
    </row>
    <row r="61" spans="1:21" s="90" customFormat="1" x14ac:dyDescent="0.15"/>
    <row r="63" spans="1:21" x14ac:dyDescent="0.15">
      <c r="K63" s="254"/>
    </row>
    <row r="64" spans="1:21" ht="12.75" x14ac:dyDescent="0.2">
      <c r="A64" s="1" t="s">
        <v>364</v>
      </c>
      <c r="T64" s="3" t="s">
        <v>422</v>
      </c>
    </row>
    <row r="65" spans="1:20" ht="11.1" customHeight="1" x14ac:dyDescent="0.15">
      <c r="A65" s="6" t="s">
        <v>2</v>
      </c>
    </row>
    <row r="66" spans="1:20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0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0" ht="11.1" customHeight="1" x14ac:dyDescent="0.15">
      <c r="A68" s="13" t="s">
        <v>428</v>
      </c>
      <c r="B68" s="14">
        <v>2003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366</v>
      </c>
      <c r="M68" s="18"/>
      <c r="N68" s="13" t="s">
        <v>367</v>
      </c>
      <c r="O68" s="239">
        <v>70000</v>
      </c>
      <c r="P68" s="239">
        <v>7000</v>
      </c>
      <c r="Q68" s="239">
        <v>700</v>
      </c>
      <c r="R68" s="239">
        <v>70</v>
      </c>
      <c r="S68" s="239">
        <v>7</v>
      </c>
      <c r="T68" s="239">
        <v>2.5</v>
      </c>
    </row>
    <row r="69" spans="1:20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</row>
    <row r="70" spans="1:20" x14ac:dyDescent="0.15">
      <c r="A70" s="172">
        <v>27</v>
      </c>
      <c r="B70" s="173">
        <v>37804</v>
      </c>
      <c r="C70" s="174" t="s">
        <v>362</v>
      </c>
      <c r="D70" s="27">
        <v>9</v>
      </c>
      <c r="E70" s="27">
        <v>8</v>
      </c>
      <c r="F70" s="27">
        <v>8</v>
      </c>
      <c r="G70" s="27">
        <v>9</v>
      </c>
      <c r="H70" s="27">
        <v>7</v>
      </c>
      <c r="I70" s="27">
        <v>3</v>
      </c>
      <c r="J70" s="7">
        <v>3</v>
      </c>
      <c r="K70" s="222">
        <v>4711240.5</v>
      </c>
      <c r="L70" s="223" t="s">
        <v>23</v>
      </c>
      <c r="M70" s="224"/>
      <c r="N70" s="225">
        <v>360872.7</v>
      </c>
      <c r="O70" s="226">
        <v>1</v>
      </c>
      <c r="P70" s="227">
        <v>37</v>
      </c>
      <c r="Q70" s="226">
        <v>306</v>
      </c>
      <c r="R70" s="227">
        <v>3057</v>
      </c>
      <c r="S70" s="226">
        <v>30508</v>
      </c>
      <c r="T70" s="227">
        <v>294041</v>
      </c>
    </row>
    <row r="71" spans="1:20" x14ac:dyDescent="0.15">
      <c r="A71" s="178"/>
      <c r="B71" s="179">
        <v>37807</v>
      </c>
      <c r="C71" s="180" t="s">
        <v>363</v>
      </c>
      <c r="D71" s="19">
        <v>1</v>
      </c>
      <c r="E71" s="19">
        <v>5</v>
      </c>
      <c r="F71" s="19">
        <v>5</v>
      </c>
      <c r="G71" s="19">
        <v>2</v>
      </c>
      <c r="H71" s="19">
        <v>6</v>
      </c>
      <c r="I71" s="19">
        <v>2</v>
      </c>
      <c r="J71" s="13">
        <v>9</v>
      </c>
      <c r="K71" s="229">
        <v>14798946</v>
      </c>
      <c r="L71" s="230">
        <v>2</v>
      </c>
      <c r="M71" s="229">
        <v>670000</v>
      </c>
      <c r="N71" s="231">
        <v>7962.4</v>
      </c>
      <c r="O71" s="232">
        <v>7</v>
      </c>
      <c r="P71" s="233">
        <v>82</v>
      </c>
      <c r="Q71" s="232">
        <v>891</v>
      </c>
      <c r="R71" s="233">
        <v>9141</v>
      </c>
      <c r="S71" s="232">
        <v>89938</v>
      </c>
      <c r="T71" s="233">
        <v>901225</v>
      </c>
    </row>
    <row r="72" spans="1:20" x14ac:dyDescent="0.15">
      <c r="A72" s="172">
        <v>28</v>
      </c>
      <c r="B72" s="173">
        <v>37811</v>
      </c>
      <c r="C72" s="174" t="s">
        <v>362</v>
      </c>
      <c r="D72" s="27">
        <v>8</v>
      </c>
      <c r="E72" s="27">
        <v>7</v>
      </c>
      <c r="F72" s="27">
        <v>7</v>
      </c>
      <c r="G72" s="27">
        <v>1</v>
      </c>
      <c r="H72" s="27">
        <v>6</v>
      </c>
      <c r="I72" s="27">
        <v>6</v>
      </c>
      <c r="J72" s="7">
        <v>6</v>
      </c>
      <c r="K72" s="222">
        <v>5216170.5</v>
      </c>
      <c r="L72" s="223">
        <v>1</v>
      </c>
      <c r="M72" s="224">
        <v>270000</v>
      </c>
      <c r="N72" s="225">
        <v>85881</v>
      </c>
      <c r="O72" s="226">
        <v>4</v>
      </c>
      <c r="P72" s="227">
        <v>47</v>
      </c>
      <c r="Q72" s="226">
        <v>431</v>
      </c>
      <c r="R72" s="227">
        <v>4447</v>
      </c>
      <c r="S72" s="226">
        <v>34680</v>
      </c>
      <c r="T72" s="227">
        <v>330322</v>
      </c>
    </row>
    <row r="73" spans="1:20" x14ac:dyDescent="0.15">
      <c r="A73" s="178"/>
      <c r="B73" s="179">
        <v>37814</v>
      </c>
      <c r="C73" s="180" t="s">
        <v>363</v>
      </c>
      <c r="D73" s="19">
        <v>6</v>
      </c>
      <c r="E73" s="19">
        <v>0</v>
      </c>
      <c r="F73" s="19">
        <v>5</v>
      </c>
      <c r="G73" s="19">
        <v>9</v>
      </c>
      <c r="H73" s="19">
        <v>2</v>
      </c>
      <c r="I73" s="19">
        <v>4</v>
      </c>
      <c r="J73" s="13">
        <v>5</v>
      </c>
      <c r="K73" s="229">
        <v>15434271</v>
      </c>
      <c r="L73" s="230" t="s">
        <v>23</v>
      </c>
      <c r="M73" s="229"/>
      <c r="N73" s="231">
        <v>1115346.8999999999</v>
      </c>
      <c r="O73" s="232">
        <v>21</v>
      </c>
      <c r="P73" s="233">
        <v>104</v>
      </c>
      <c r="Q73" s="232">
        <v>1038</v>
      </c>
      <c r="R73" s="233">
        <v>10837</v>
      </c>
      <c r="S73" s="232">
        <v>107465</v>
      </c>
      <c r="T73" s="233">
        <v>1035639</v>
      </c>
    </row>
    <row r="74" spans="1:20" x14ac:dyDescent="0.15">
      <c r="A74" s="172">
        <v>29</v>
      </c>
      <c r="B74" s="173">
        <v>37818</v>
      </c>
      <c r="C74" s="174" t="s">
        <v>362</v>
      </c>
      <c r="D74" s="27">
        <v>3</v>
      </c>
      <c r="E74" s="27">
        <v>3</v>
      </c>
      <c r="F74" s="27">
        <v>3</v>
      </c>
      <c r="G74" s="27">
        <v>3</v>
      </c>
      <c r="H74" s="27">
        <v>5</v>
      </c>
      <c r="I74" s="27">
        <v>1</v>
      </c>
      <c r="J74" s="7">
        <v>2</v>
      </c>
      <c r="K74" s="222">
        <v>4596240</v>
      </c>
      <c r="L74" s="223" t="s">
        <v>23</v>
      </c>
      <c r="M74" s="224"/>
      <c r="N74" s="225">
        <v>1421916.1</v>
      </c>
      <c r="O74" s="226">
        <v>5</v>
      </c>
      <c r="P74" s="227">
        <v>27</v>
      </c>
      <c r="Q74" s="226">
        <v>240</v>
      </c>
      <c r="R74" s="227">
        <v>2532</v>
      </c>
      <c r="S74" s="226">
        <v>25079</v>
      </c>
      <c r="T74" s="227">
        <v>238199</v>
      </c>
    </row>
    <row r="75" spans="1:20" x14ac:dyDescent="0.15">
      <c r="A75" s="178"/>
      <c r="B75" s="179">
        <v>37821</v>
      </c>
      <c r="C75" s="180" t="s">
        <v>363</v>
      </c>
      <c r="D75" s="19">
        <v>2</v>
      </c>
      <c r="E75" s="19">
        <v>6</v>
      </c>
      <c r="F75" s="19">
        <v>6</v>
      </c>
      <c r="G75" s="19">
        <v>4</v>
      </c>
      <c r="H75" s="19">
        <v>1</v>
      </c>
      <c r="I75" s="19">
        <v>1</v>
      </c>
      <c r="J75" s="13">
        <v>9</v>
      </c>
      <c r="K75" s="229">
        <v>14043133.5</v>
      </c>
      <c r="L75" s="230" t="s">
        <v>23</v>
      </c>
      <c r="M75" s="229"/>
      <c r="N75" s="231">
        <v>2358593.1</v>
      </c>
      <c r="O75" s="232">
        <v>6</v>
      </c>
      <c r="P75" s="233">
        <v>72</v>
      </c>
      <c r="Q75" s="232">
        <v>797</v>
      </c>
      <c r="R75" s="233">
        <v>8183</v>
      </c>
      <c r="S75" s="232">
        <v>84256</v>
      </c>
      <c r="T75" s="233">
        <v>859515</v>
      </c>
    </row>
    <row r="76" spans="1:20" x14ac:dyDescent="0.15">
      <c r="A76" s="172">
        <v>30</v>
      </c>
      <c r="B76" s="173">
        <v>37825</v>
      </c>
      <c r="C76" s="174" t="s">
        <v>362</v>
      </c>
      <c r="D76" s="27">
        <v>5</v>
      </c>
      <c r="E76" s="27">
        <v>1</v>
      </c>
      <c r="F76" s="27">
        <v>7</v>
      </c>
      <c r="G76" s="27">
        <v>7</v>
      </c>
      <c r="H76" s="27">
        <v>2</v>
      </c>
      <c r="I76" s="27">
        <v>5</v>
      </c>
      <c r="J76" s="7">
        <v>4</v>
      </c>
      <c r="K76" s="222">
        <v>4454328</v>
      </c>
      <c r="L76" s="223" t="s">
        <v>23</v>
      </c>
      <c r="M76" s="224"/>
      <c r="N76" s="225">
        <v>2655696.7999999998</v>
      </c>
      <c r="O76" s="226">
        <v>3</v>
      </c>
      <c r="P76" s="227">
        <v>26</v>
      </c>
      <c r="Q76" s="226">
        <v>289</v>
      </c>
      <c r="R76" s="227">
        <v>2642</v>
      </c>
      <c r="S76" s="226">
        <v>26193</v>
      </c>
      <c r="T76" s="227">
        <v>248703</v>
      </c>
    </row>
    <row r="77" spans="1:20" x14ac:dyDescent="0.15">
      <c r="A77" s="178"/>
      <c r="B77" s="179">
        <v>37828</v>
      </c>
      <c r="C77" s="180" t="s">
        <v>363</v>
      </c>
      <c r="D77" s="19">
        <v>3</v>
      </c>
      <c r="E77" s="19">
        <v>8</v>
      </c>
      <c r="F77" s="19">
        <v>3</v>
      </c>
      <c r="G77" s="19">
        <v>9</v>
      </c>
      <c r="H77" s="19">
        <v>0</v>
      </c>
      <c r="I77" s="19">
        <v>1</v>
      </c>
      <c r="J77" s="13">
        <v>5</v>
      </c>
      <c r="K77" s="229">
        <v>13929973.5</v>
      </c>
      <c r="L77" s="230" t="s">
        <v>23</v>
      </c>
      <c r="M77" s="229"/>
      <c r="N77" s="231">
        <v>3584826</v>
      </c>
      <c r="O77" s="232">
        <v>11</v>
      </c>
      <c r="P77" s="233">
        <v>85</v>
      </c>
      <c r="Q77" s="232">
        <v>898</v>
      </c>
      <c r="R77" s="233">
        <v>8699</v>
      </c>
      <c r="S77" s="232">
        <v>93450</v>
      </c>
      <c r="T77" s="233">
        <v>954701</v>
      </c>
    </row>
    <row r="78" spans="1:20" x14ac:dyDescent="0.15">
      <c r="A78" s="172">
        <v>31</v>
      </c>
      <c r="B78" s="173">
        <v>37832</v>
      </c>
      <c r="C78" s="174" t="s">
        <v>362</v>
      </c>
      <c r="D78" s="27">
        <v>1</v>
      </c>
      <c r="E78" s="27">
        <v>6</v>
      </c>
      <c r="F78" s="27">
        <v>2</v>
      </c>
      <c r="G78" s="27">
        <v>9</v>
      </c>
      <c r="H78" s="27">
        <v>7</v>
      </c>
      <c r="I78" s="27">
        <v>0</v>
      </c>
      <c r="J78" s="7">
        <v>7</v>
      </c>
      <c r="K78" s="222">
        <v>4490362.5</v>
      </c>
      <c r="L78" s="223" t="s">
        <v>23</v>
      </c>
      <c r="M78" s="224"/>
      <c r="N78" s="225">
        <v>3884333.2</v>
      </c>
      <c r="O78" s="226">
        <v>2</v>
      </c>
      <c r="P78" s="227">
        <v>21</v>
      </c>
      <c r="Q78" s="226">
        <v>267</v>
      </c>
      <c r="R78" s="227">
        <v>2716</v>
      </c>
      <c r="S78" s="226">
        <v>25523</v>
      </c>
      <c r="T78" s="227">
        <v>297007</v>
      </c>
    </row>
    <row r="79" spans="1:20" x14ac:dyDescent="0.15">
      <c r="A79" s="178"/>
      <c r="B79" s="179">
        <v>37835</v>
      </c>
      <c r="C79" s="180" t="s">
        <v>363</v>
      </c>
      <c r="D79" s="19">
        <v>5</v>
      </c>
      <c r="E79" s="19">
        <v>0</v>
      </c>
      <c r="F79" s="19">
        <v>5</v>
      </c>
      <c r="G79" s="19">
        <v>2</v>
      </c>
      <c r="H79" s="19">
        <v>6</v>
      </c>
      <c r="I79" s="19">
        <v>9</v>
      </c>
      <c r="J79" s="13">
        <v>4</v>
      </c>
      <c r="K79" s="229">
        <v>14293422</v>
      </c>
      <c r="L79" s="230" t="s">
        <v>23</v>
      </c>
      <c r="M79" s="229"/>
      <c r="N79" s="229">
        <v>4837704.4000000004</v>
      </c>
      <c r="O79" s="232">
        <v>11</v>
      </c>
      <c r="P79" s="233">
        <v>85</v>
      </c>
      <c r="Q79" s="232">
        <v>814</v>
      </c>
      <c r="R79" s="233">
        <v>7866</v>
      </c>
      <c r="S79" s="232">
        <v>78614</v>
      </c>
      <c r="T79" s="233">
        <v>810187</v>
      </c>
    </row>
    <row r="80" spans="1:20" x14ac:dyDescent="0.15">
      <c r="A80" s="172">
        <v>32</v>
      </c>
      <c r="B80" s="173">
        <v>37839</v>
      </c>
      <c r="C80" s="174" t="s">
        <v>362</v>
      </c>
      <c r="D80" s="27">
        <v>0</v>
      </c>
      <c r="E80" s="27">
        <v>1</v>
      </c>
      <c r="F80" s="27">
        <v>9</v>
      </c>
      <c r="G80" s="27">
        <v>6</v>
      </c>
      <c r="H80" s="27">
        <v>8</v>
      </c>
      <c r="I80" s="27">
        <v>9</v>
      </c>
      <c r="J80" s="7">
        <v>5</v>
      </c>
      <c r="K80" s="222">
        <v>4558057.5</v>
      </c>
      <c r="L80" s="234" t="s">
        <v>23</v>
      </c>
      <c r="M80" s="224"/>
      <c r="N80" s="225">
        <v>5141726.8</v>
      </c>
      <c r="O80" s="236">
        <v>3</v>
      </c>
      <c r="P80" s="227">
        <v>25</v>
      </c>
      <c r="Q80" s="226">
        <v>328</v>
      </c>
      <c r="R80" s="227">
        <v>2933</v>
      </c>
      <c r="S80" s="226">
        <v>29089</v>
      </c>
      <c r="T80" s="227">
        <v>312080</v>
      </c>
    </row>
    <row r="81" spans="1:20" x14ac:dyDescent="0.15">
      <c r="A81" s="178"/>
      <c r="B81" s="179">
        <v>37842</v>
      </c>
      <c r="C81" s="180" t="s">
        <v>363</v>
      </c>
      <c r="D81" s="19">
        <v>8</v>
      </c>
      <c r="E81" s="19">
        <v>6</v>
      </c>
      <c r="F81" s="19">
        <v>2</v>
      </c>
      <c r="G81" s="19">
        <v>7</v>
      </c>
      <c r="H81" s="19">
        <v>2</v>
      </c>
      <c r="I81" s="19">
        <v>5</v>
      </c>
      <c r="J81" s="13">
        <v>8</v>
      </c>
      <c r="K81" s="229">
        <v>14254954.5</v>
      </c>
      <c r="L81" s="230" t="s">
        <v>23</v>
      </c>
      <c r="M81" s="229"/>
      <c r="N81" s="231">
        <v>6092532.2999999998</v>
      </c>
      <c r="O81" s="232">
        <v>14</v>
      </c>
      <c r="P81" s="233">
        <v>89</v>
      </c>
      <c r="Q81" s="232">
        <v>1026</v>
      </c>
      <c r="R81" s="233">
        <v>10337</v>
      </c>
      <c r="S81" s="232">
        <v>103018</v>
      </c>
      <c r="T81" s="233">
        <v>981047</v>
      </c>
    </row>
    <row r="82" spans="1:20" x14ac:dyDescent="0.15">
      <c r="A82" s="172">
        <v>33</v>
      </c>
      <c r="B82" s="173">
        <v>37846</v>
      </c>
      <c r="C82" s="174" t="s">
        <v>362</v>
      </c>
      <c r="D82" s="27">
        <v>3</v>
      </c>
      <c r="E82" s="27">
        <v>7</v>
      </c>
      <c r="F82" s="27">
        <v>6</v>
      </c>
      <c r="G82" s="27">
        <v>4</v>
      </c>
      <c r="H82" s="27">
        <v>1</v>
      </c>
      <c r="I82" s="27">
        <v>8</v>
      </c>
      <c r="J82" s="7">
        <v>7</v>
      </c>
      <c r="K82" s="222">
        <v>5267035.5</v>
      </c>
      <c r="L82" s="223" t="s">
        <v>23</v>
      </c>
      <c r="N82" s="225">
        <v>6443843.5999999996</v>
      </c>
      <c r="O82" s="226">
        <v>8</v>
      </c>
      <c r="P82" s="227">
        <v>32</v>
      </c>
      <c r="Q82" s="226">
        <v>325</v>
      </c>
      <c r="R82" s="227">
        <v>3242</v>
      </c>
      <c r="S82" s="226">
        <v>32271</v>
      </c>
      <c r="T82" s="227">
        <v>343971</v>
      </c>
    </row>
    <row r="83" spans="1:20" x14ac:dyDescent="0.15">
      <c r="A83" s="178"/>
      <c r="B83" s="179">
        <v>37849</v>
      </c>
      <c r="C83" s="180" t="s">
        <v>363</v>
      </c>
      <c r="D83" s="19">
        <v>5</v>
      </c>
      <c r="E83" s="19">
        <v>7</v>
      </c>
      <c r="F83" s="19">
        <v>6</v>
      </c>
      <c r="G83" s="19">
        <v>5</v>
      </c>
      <c r="H83" s="19">
        <v>1</v>
      </c>
      <c r="I83" s="19">
        <v>6</v>
      </c>
      <c r="J83" s="13">
        <v>3</v>
      </c>
      <c r="K83" s="229">
        <v>14605425</v>
      </c>
      <c r="L83" s="230">
        <v>1</v>
      </c>
      <c r="M83" s="229">
        <v>7370000</v>
      </c>
      <c r="N83" s="231">
        <v>48025.4</v>
      </c>
      <c r="O83" s="232">
        <v>12</v>
      </c>
      <c r="P83" s="233">
        <v>107</v>
      </c>
      <c r="Q83" s="232">
        <v>934</v>
      </c>
      <c r="R83" s="233">
        <v>9117</v>
      </c>
      <c r="S83" s="232">
        <v>92706</v>
      </c>
      <c r="T83" s="233">
        <v>920969</v>
      </c>
    </row>
    <row r="84" spans="1:20" x14ac:dyDescent="0.15">
      <c r="A84" s="172">
        <v>34</v>
      </c>
      <c r="B84" s="173">
        <v>37853</v>
      </c>
      <c r="C84" s="174" t="s">
        <v>362</v>
      </c>
      <c r="D84" s="27">
        <v>9</v>
      </c>
      <c r="E84" s="27">
        <v>5</v>
      </c>
      <c r="F84" s="27">
        <v>0</v>
      </c>
      <c r="G84" s="27">
        <v>7</v>
      </c>
      <c r="H84" s="27">
        <v>2</v>
      </c>
      <c r="I84" s="27">
        <v>4</v>
      </c>
      <c r="J84" s="7">
        <v>1</v>
      </c>
      <c r="K84" s="222">
        <v>4555135.5</v>
      </c>
      <c r="L84" s="223">
        <v>1</v>
      </c>
      <c r="M84" s="224">
        <v>270000</v>
      </c>
      <c r="N84" s="225">
        <v>81852.899999999994</v>
      </c>
      <c r="O84" s="226">
        <v>5</v>
      </c>
      <c r="P84" s="227">
        <v>17</v>
      </c>
      <c r="Q84" s="226">
        <v>258</v>
      </c>
      <c r="R84" s="227">
        <v>2543</v>
      </c>
      <c r="S84" s="226">
        <v>24905</v>
      </c>
      <c r="T84" s="227">
        <v>252074</v>
      </c>
    </row>
    <row r="85" spans="1:20" x14ac:dyDescent="0.15">
      <c r="A85" s="178"/>
      <c r="B85" s="179">
        <v>37856</v>
      </c>
      <c r="C85" s="180" t="s">
        <v>363</v>
      </c>
      <c r="D85" s="19">
        <v>7</v>
      </c>
      <c r="E85" s="19">
        <v>2</v>
      </c>
      <c r="F85" s="19">
        <v>8</v>
      </c>
      <c r="G85" s="19">
        <v>9</v>
      </c>
      <c r="H85" s="19">
        <v>9</v>
      </c>
      <c r="I85" s="19">
        <v>0</v>
      </c>
      <c r="J85" s="13">
        <v>0</v>
      </c>
      <c r="K85" s="229">
        <v>14196211.5</v>
      </c>
      <c r="L85" s="230">
        <v>1</v>
      </c>
      <c r="M85" s="229">
        <v>970000</v>
      </c>
      <c r="N85" s="231">
        <v>58740.2</v>
      </c>
      <c r="O85" s="232">
        <v>6</v>
      </c>
      <c r="P85" s="233">
        <v>64</v>
      </c>
      <c r="Q85" s="232">
        <v>722</v>
      </c>
      <c r="R85" s="233">
        <v>6896</v>
      </c>
      <c r="S85" s="232">
        <v>71430</v>
      </c>
      <c r="T85" s="233">
        <v>672631</v>
      </c>
    </row>
    <row r="86" spans="1:20" x14ac:dyDescent="0.15">
      <c r="A86" s="172">
        <v>35</v>
      </c>
      <c r="B86" s="173">
        <v>37860</v>
      </c>
      <c r="C86" s="174" t="s">
        <v>362</v>
      </c>
      <c r="D86" s="27">
        <v>2</v>
      </c>
      <c r="E86" s="27">
        <v>8</v>
      </c>
      <c r="F86" s="27">
        <v>5</v>
      </c>
      <c r="G86" s="27">
        <v>7</v>
      </c>
      <c r="H86" s="27">
        <v>7</v>
      </c>
      <c r="I86" s="27">
        <v>5</v>
      </c>
      <c r="J86" s="7">
        <v>1</v>
      </c>
      <c r="K86" s="222">
        <v>4866333</v>
      </c>
      <c r="L86" s="223" t="s">
        <v>23</v>
      </c>
      <c r="M86" s="224"/>
      <c r="N86" s="225">
        <v>383324.6</v>
      </c>
      <c r="O86" s="226">
        <v>3</v>
      </c>
      <c r="P86" s="227">
        <v>23</v>
      </c>
      <c r="Q86" s="226">
        <v>288</v>
      </c>
      <c r="R86" s="227">
        <v>2724</v>
      </c>
      <c r="S86" s="226">
        <v>26969</v>
      </c>
      <c r="T86" s="227">
        <v>267308</v>
      </c>
    </row>
    <row r="87" spans="1:20" x14ac:dyDescent="0.15">
      <c r="A87" s="178"/>
      <c r="B87" s="179">
        <v>37863</v>
      </c>
      <c r="C87" s="180" t="s">
        <v>363</v>
      </c>
      <c r="D87" s="19">
        <v>8</v>
      </c>
      <c r="E87" s="19">
        <v>9</v>
      </c>
      <c r="F87" s="19">
        <v>3</v>
      </c>
      <c r="G87" s="19">
        <v>1</v>
      </c>
      <c r="H87" s="19">
        <v>1</v>
      </c>
      <c r="I87" s="19">
        <v>9</v>
      </c>
      <c r="J87" s="13">
        <v>5</v>
      </c>
      <c r="K87" s="229">
        <v>15618565.5</v>
      </c>
      <c r="L87" s="230">
        <v>1</v>
      </c>
      <c r="M87" s="229">
        <v>1370000</v>
      </c>
      <c r="N87" s="231">
        <v>55082.9</v>
      </c>
      <c r="O87" s="232">
        <v>9</v>
      </c>
      <c r="P87" s="233">
        <v>103</v>
      </c>
      <c r="Q87" s="232">
        <v>1025</v>
      </c>
      <c r="R87" s="233">
        <v>10438</v>
      </c>
      <c r="S87" s="232">
        <v>104701</v>
      </c>
      <c r="T87" s="233">
        <v>1081995</v>
      </c>
    </row>
    <row r="88" spans="1:20" x14ac:dyDescent="0.15">
      <c r="A88" s="172">
        <v>36</v>
      </c>
      <c r="B88" s="173">
        <v>37867</v>
      </c>
      <c r="C88" s="174" t="s">
        <v>362</v>
      </c>
      <c r="D88" s="27">
        <v>4</v>
      </c>
      <c r="E88" s="27">
        <v>7</v>
      </c>
      <c r="F88" s="27">
        <v>6</v>
      </c>
      <c r="G88" s="27">
        <v>3</v>
      </c>
      <c r="H88" s="27">
        <v>5</v>
      </c>
      <c r="I88" s="27">
        <v>4</v>
      </c>
      <c r="J88" s="7">
        <v>0</v>
      </c>
      <c r="K88" s="222">
        <v>4701243</v>
      </c>
      <c r="L88" s="223" t="s">
        <v>23</v>
      </c>
      <c r="M88" s="224"/>
      <c r="N88" s="225">
        <v>368655.8</v>
      </c>
      <c r="O88" s="226">
        <v>2</v>
      </c>
      <c r="P88" s="227">
        <v>23</v>
      </c>
      <c r="Q88" s="226">
        <v>229</v>
      </c>
      <c r="R88" s="227">
        <v>2152</v>
      </c>
      <c r="S88" s="226">
        <v>22203</v>
      </c>
      <c r="T88" s="227">
        <v>226953</v>
      </c>
    </row>
    <row r="89" spans="1:20" x14ac:dyDescent="0.15">
      <c r="A89" s="178"/>
      <c r="B89" s="179">
        <v>37870</v>
      </c>
      <c r="C89" s="180" t="s">
        <v>363</v>
      </c>
      <c r="D89" s="19">
        <v>9</v>
      </c>
      <c r="E89" s="19">
        <v>9</v>
      </c>
      <c r="F89" s="19">
        <v>7</v>
      </c>
      <c r="G89" s="19">
        <v>9</v>
      </c>
      <c r="H89" s="19">
        <v>7</v>
      </c>
      <c r="I89" s="19">
        <v>9</v>
      </c>
      <c r="J89" s="13">
        <v>0</v>
      </c>
      <c r="K89" s="229">
        <v>14456194.5</v>
      </c>
      <c r="L89" s="230">
        <v>1</v>
      </c>
      <c r="M89" s="229">
        <v>1270000</v>
      </c>
      <c r="N89" s="231">
        <v>62884</v>
      </c>
      <c r="O89" s="232">
        <v>5</v>
      </c>
      <c r="P89" s="233">
        <v>61</v>
      </c>
      <c r="Q89" s="232">
        <v>654</v>
      </c>
      <c r="R89" s="233">
        <v>6651</v>
      </c>
      <c r="S89" s="232">
        <v>66935</v>
      </c>
      <c r="T89" s="233">
        <v>688239</v>
      </c>
    </row>
    <row r="90" spans="1:20" x14ac:dyDescent="0.15">
      <c r="A90" s="172">
        <v>37</v>
      </c>
      <c r="B90" s="173">
        <v>37874</v>
      </c>
      <c r="C90" s="174" t="s">
        <v>362</v>
      </c>
      <c r="D90" s="27">
        <v>5</v>
      </c>
      <c r="E90" s="27">
        <v>6</v>
      </c>
      <c r="F90" s="27">
        <v>8</v>
      </c>
      <c r="G90" s="27">
        <v>4</v>
      </c>
      <c r="H90" s="27">
        <v>0</v>
      </c>
      <c r="I90" s="27">
        <v>4</v>
      </c>
      <c r="J90" s="7">
        <v>9</v>
      </c>
      <c r="K90" s="222">
        <v>4938324</v>
      </c>
      <c r="L90" s="223" t="s">
        <v>23</v>
      </c>
      <c r="M90" s="224"/>
      <c r="N90" s="225">
        <v>392270.2</v>
      </c>
      <c r="O90" s="226">
        <v>3</v>
      </c>
      <c r="P90" s="227">
        <v>25</v>
      </c>
      <c r="Q90" s="226">
        <v>288</v>
      </c>
      <c r="R90" s="227">
        <v>2861</v>
      </c>
      <c r="S90" s="226">
        <v>31012</v>
      </c>
      <c r="T90" s="227">
        <v>291452</v>
      </c>
    </row>
    <row r="91" spans="1:20" x14ac:dyDescent="0.15">
      <c r="A91" s="178"/>
      <c r="B91" s="179">
        <v>37877</v>
      </c>
      <c r="C91" s="180" t="s">
        <v>363</v>
      </c>
      <c r="D91" s="19">
        <v>0</v>
      </c>
      <c r="E91" s="19">
        <v>4</v>
      </c>
      <c r="F91" s="19">
        <v>0</v>
      </c>
      <c r="G91" s="19">
        <v>8</v>
      </c>
      <c r="H91" s="19">
        <v>4</v>
      </c>
      <c r="I91" s="19">
        <v>7</v>
      </c>
      <c r="J91" s="13">
        <v>1</v>
      </c>
      <c r="K91" s="229">
        <v>14199871.5</v>
      </c>
      <c r="L91" s="230" t="s">
        <v>23</v>
      </c>
      <c r="M91" s="229"/>
      <c r="N91" s="231">
        <v>1339401.6000000001</v>
      </c>
      <c r="O91" s="232">
        <v>8</v>
      </c>
      <c r="P91" s="233">
        <v>66</v>
      </c>
      <c r="Q91" s="232">
        <v>810</v>
      </c>
      <c r="R91" s="233">
        <v>7345</v>
      </c>
      <c r="S91" s="232">
        <v>73775</v>
      </c>
      <c r="T91" s="233">
        <v>748221</v>
      </c>
    </row>
    <row r="92" spans="1:20" x14ac:dyDescent="0.15">
      <c r="A92" s="172">
        <v>38</v>
      </c>
      <c r="B92" s="173">
        <v>37881</v>
      </c>
      <c r="C92" s="174" t="s">
        <v>362</v>
      </c>
      <c r="D92" s="27">
        <v>0</v>
      </c>
      <c r="E92" s="27">
        <v>9</v>
      </c>
      <c r="F92" s="27">
        <v>3</v>
      </c>
      <c r="G92" s="27">
        <v>0</v>
      </c>
      <c r="H92" s="27">
        <v>7</v>
      </c>
      <c r="I92" s="27">
        <v>4</v>
      </c>
      <c r="J92" s="7">
        <v>0</v>
      </c>
      <c r="K92" s="222">
        <v>5332767</v>
      </c>
      <c r="L92" s="223" t="s">
        <v>23</v>
      </c>
      <c r="M92" s="224"/>
      <c r="N92" s="225">
        <v>1695097.2</v>
      </c>
      <c r="O92" s="226" t="s">
        <v>17</v>
      </c>
      <c r="P92" s="227">
        <v>22</v>
      </c>
      <c r="Q92" s="226">
        <v>240</v>
      </c>
      <c r="R92" s="227">
        <v>2547</v>
      </c>
      <c r="S92" s="226">
        <v>25975</v>
      </c>
      <c r="T92" s="227">
        <v>262861</v>
      </c>
    </row>
    <row r="93" spans="1:20" x14ac:dyDescent="0.15">
      <c r="A93" s="178"/>
      <c r="B93" s="179">
        <v>37884</v>
      </c>
      <c r="C93" s="180" t="s">
        <v>363</v>
      </c>
      <c r="D93" s="19">
        <v>8</v>
      </c>
      <c r="E93" s="19">
        <v>9</v>
      </c>
      <c r="F93" s="19">
        <v>8</v>
      </c>
      <c r="G93" s="19">
        <v>2</v>
      </c>
      <c r="H93" s="19">
        <v>4</v>
      </c>
      <c r="I93" s="19">
        <v>5</v>
      </c>
      <c r="J93" s="13">
        <v>1</v>
      </c>
      <c r="K93" s="229">
        <v>15425943</v>
      </c>
      <c r="L93" s="230">
        <v>3</v>
      </c>
      <c r="M93" s="229">
        <v>870000</v>
      </c>
      <c r="N93" s="231">
        <v>114007.6</v>
      </c>
      <c r="O93" s="232">
        <v>8</v>
      </c>
      <c r="P93" s="233">
        <v>79</v>
      </c>
      <c r="Q93" s="232">
        <v>806</v>
      </c>
      <c r="R93" s="233">
        <v>8423</v>
      </c>
      <c r="S93" s="232">
        <v>83566</v>
      </c>
      <c r="T93" s="233">
        <v>815164</v>
      </c>
    </row>
    <row r="94" spans="1:20" x14ac:dyDescent="0.15">
      <c r="A94" s="172">
        <v>39</v>
      </c>
      <c r="B94" s="173">
        <v>37888</v>
      </c>
      <c r="C94" s="174" t="s">
        <v>362</v>
      </c>
      <c r="D94" s="27">
        <v>2</v>
      </c>
      <c r="E94" s="27">
        <v>1</v>
      </c>
      <c r="F94" s="27">
        <v>7</v>
      </c>
      <c r="G94" s="27">
        <v>7</v>
      </c>
      <c r="H94" s="27">
        <v>6</v>
      </c>
      <c r="I94" s="27">
        <v>6</v>
      </c>
      <c r="J94" s="7">
        <v>6</v>
      </c>
      <c r="K94" s="222">
        <v>4878867</v>
      </c>
      <c r="L94" s="223">
        <v>1</v>
      </c>
      <c r="M94" s="224">
        <v>370000</v>
      </c>
      <c r="N94" s="225">
        <v>69428</v>
      </c>
      <c r="O94" s="226">
        <v>3</v>
      </c>
      <c r="P94" s="227">
        <v>49</v>
      </c>
      <c r="Q94" s="226">
        <v>432</v>
      </c>
      <c r="R94" s="227">
        <v>4407</v>
      </c>
      <c r="S94" s="226">
        <v>32867</v>
      </c>
      <c r="T94" s="227">
        <v>308610</v>
      </c>
    </row>
    <row r="95" spans="1:20" x14ac:dyDescent="0.15">
      <c r="A95" s="178"/>
      <c r="B95" s="179">
        <v>37891</v>
      </c>
      <c r="C95" s="180" t="s">
        <v>363</v>
      </c>
      <c r="D95" s="19">
        <v>0</v>
      </c>
      <c r="E95" s="19">
        <v>1</v>
      </c>
      <c r="F95" s="19">
        <v>7</v>
      </c>
      <c r="G95" s="19">
        <v>7</v>
      </c>
      <c r="H95" s="19">
        <v>8</v>
      </c>
      <c r="I95" s="19">
        <v>4</v>
      </c>
      <c r="J95" s="13">
        <v>9</v>
      </c>
      <c r="K95" s="229">
        <v>14920918.5</v>
      </c>
      <c r="L95" s="230" t="s">
        <v>23</v>
      </c>
      <c r="M95" s="229"/>
      <c r="N95" s="231">
        <v>1064653.3</v>
      </c>
      <c r="O95" s="232">
        <v>12</v>
      </c>
      <c r="P95" s="233">
        <v>97</v>
      </c>
      <c r="Q95" s="232">
        <v>950</v>
      </c>
      <c r="R95" s="233">
        <v>9566</v>
      </c>
      <c r="S95" s="232">
        <v>95528</v>
      </c>
      <c r="T95" s="233">
        <v>913203</v>
      </c>
    </row>
    <row r="96" spans="1:20" x14ac:dyDescent="0.15">
      <c r="A96" s="172">
        <v>40</v>
      </c>
      <c r="B96" s="173">
        <v>37895</v>
      </c>
      <c r="C96" s="174" t="s">
        <v>362</v>
      </c>
      <c r="D96" s="27">
        <v>4</v>
      </c>
      <c r="E96" s="27">
        <v>4</v>
      </c>
      <c r="F96" s="27">
        <v>5</v>
      </c>
      <c r="G96" s="27">
        <v>6</v>
      </c>
      <c r="H96" s="27">
        <v>4</v>
      </c>
      <c r="I96" s="27">
        <v>2</v>
      </c>
      <c r="J96" s="7">
        <v>0</v>
      </c>
      <c r="K96" s="222">
        <v>6041286</v>
      </c>
      <c r="L96" s="223" t="s">
        <v>23</v>
      </c>
      <c r="M96" s="224"/>
      <c r="N96" s="225">
        <v>1467607.1</v>
      </c>
      <c r="O96" s="226">
        <v>1</v>
      </c>
      <c r="P96" s="227">
        <v>24</v>
      </c>
      <c r="Q96" s="226">
        <v>293</v>
      </c>
      <c r="R96" s="227">
        <v>2977</v>
      </c>
      <c r="S96" s="226">
        <v>29408</v>
      </c>
      <c r="T96" s="227">
        <v>302816</v>
      </c>
    </row>
    <row r="97" spans="1:21" x14ac:dyDescent="0.15">
      <c r="A97" s="178"/>
      <c r="B97" s="179">
        <v>37898</v>
      </c>
      <c r="C97" s="180" t="s">
        <v>363</v>
      </c>
      <c r="D97" s="19">
        <v>2</v>
      </c>
      <c r="E97" s="19">
        <v>6</v>
      </c>
      <c r="F97" s="19">
        <v>4</v>
      </c>
      <c r="G97" s="19">
        <v>1</v>
      </c>
      <c r="H97" s="19">
        <v>0</v>
      </c>
      <c r="I97" s="19">
        <v>2</v>
      </c>
      <c r="J97" s="13">
        <v>9</v>
      </c>
      <c r="K97" s="229">
        <v>14401423.5</v>
      </c>
      <c r="L97" s="230">
        <v>1</v>
      </c>
      <c r="M97" s="229">
        <v>2370000</v>
      </c>
      <c r="N97" s="231">
        <v>58182</v>
      </c>
      <c r="O97" s="232">
        <v>7</v>
      </c>
      <c r="P97" s="233">
        <v>77</v>
      </c>
      <c r="Q97" s="232">
        <v>845</v>
      </c>
      <c r="R97" s="233">
        <v>8557</v>
      </c>
      <c r="S97" s="232">
        <v>88677</v>
      </c>
      <c r="T97" s="233">
        <v>885551</v>
      </c>
    </row>
    <row r="98" spans="1:21" x14ac:dyDescent="0.15">
      <c r="A98" s="172">
        <v>41</v>
      </c>
      <c r="B98" s="173">
        <v>37902</v>
      </c>
      <c r="C98" s="174" t="s">
        <v>362</v>
      </c>
      <c r="D98" s="27">
        <v>6</v>
      </c>
      <c r="E98" s="27">
        <v>4</v>
      </c>
      <c r="F98" s="27">
        <v>5</v>
      </c>
      <c r="G98" s="27">
        <v>3</v>
      </c>
      <c r="H98" s="27">
        <v>0</v>
      </c>
      <c r="I98" s="27">
        <v>6</v>
      </c>
      <c r="J98" s="7">
        <v>4</v>
      </c>
      <c r="K98" s="222">
        <v>5117209.5</v>
      </c>
      <c r="L98" s="223" t="s">
        <v>23</v>
      </c>
      <c r="M98" s="224"/>
      <c r="N98" s="225">
        <v>399499.9</v>
      </c>
      <c r="O98" s="226">
        <v>3</v>
      </c>
      <c r="P98" s="227">
        <v>25</v>
      </c>
      <c r="Q98" s="226">
        <v>299</v>
      </c>
      <c r="R98" s="227">
        <v>2894</v>
      </c>
      <c r="S98" s="226">
        <v>29417</v>
      </c>
      <c r="T98" s="227">
        <v>286184</v>
      </c>
    </row>
    <row r="99" spans="1:21" x14ac:dyDescent="0.15">
      <c r="A99" s="178"/>
      <c r="B99" s="179">
        <v>37905</v>
      </c>
      <c r="C99" s="180" t="s">
        <v>363</v>
      </c>
      <c r="D99" s="19">
        <v>2</v>
      </c>
      <c r="E99" s="19">
        <v>4</v>
      </c>
      <c r="F99" s="19">
        <v>4</v>
      </c>
      <c r="G99" s="19">
        <v>3</v>
      </c>
      <c r="H99" s="19">
        <v>1</v>
      </c>
      <c r="I99" s="19">
        <v>0</v>
      </c>
      <c r="J99" s="13">
        <v>6</v>
      </c>
      <c r="K99" s="229">
        <v>15281973</v>
      </c>
      <c r="L99" s="230">
        <v>2</v>
      </c>
      <c r="M99" s="229">
        <v>670000</v>
      </c>
      <c r="N99" s="231">
        <v>78807.5</v>
      </c>
      <c r="O99" s="232">
        <v>5</v>
      </c>
      <c r="P99" s="233">
        <v>92</v>
      </c>
      <c r="Q99" s="232">
        <v>922</v>
      </c>
      <c r="R99" s="233">
        <v>8678</v>
      </c>
      <c r="S99" s="232">
        <v>83182</v>
      </c>
      <c r="T99" s="233">
        <v>968995</v>
      </c>
    </row>
    <row r="100" spans="1:21" x14ac:dyDescent="0.15">
      <c r="A100" s="172">
        <v>42</v>
      </c>
      <c r="B100" s="173">
        <v>37909</v>
      </c>
      <c r="C100" s="174" t="s">
        <v>362</v>
      </c>
      <c r="D100" s="27">
        <v>2</v>
      </c>
      <c r="E100" s="27">
        <v>8</v>
      </c>
      <c r="F100" s="27">
        <v>3</v>
      </c>
      <c r="G100" s="27">
        <v>5</v>
      </c>
      <c r="H100" s="27">
        <v>4</v>
      </c>
      <c r="I100" s="27">
        <v>8</v>
      </c>
      <c r="J100" s="7">
        <v>1</v>
      </c>
      <c r="K100" s="222">
        <v>5720493</v>
      </c>
      <c r="L100" s="234" t="s">
        <v>23</v>
      </c>
      <c r="M100" s="224"/>
      <c r="N100" s="224">
        <v>460364.4</v>
      </c>
      <c r="O100" s="226">
        <v>4</v>
      </c>
      <c r="P100" s="227">
        <v>18</v>
      </c>
      <c r="Q100" s="226">
        <v>312</v>
      </c>
      <c r="R100" s="227">
        <v>3056</v>
      </c>
      <c r="S100" s="226">
        <v>30823</v>
      </c>
      <c r="T100" s="227">
        <v>317472</v>
      </c>
    </row>
    <row r="101" spans="1:21" x14ac:dyDescent="0.15">
      <c r="A101" s="178"/>
      <c r="B101" s="179">
        <v>37912</v>
      </c>
      <c r="C101" s="180" t="s">
        <v>363</v>
      </c>
      <c r="D101" s="19">
        <v>0</v>
      </c>
      <c r="E101" s="19">
        <v>8</v>
      </c>
      <c r="F101" s="19">
        <v>4</v>
      </c>
      <c r="G101" s="19">
        <v>5</v>
      </c>
      <c r="H101" s="19">
        <v>3</v>
      </c>
      <c r="I101" s="19">
        <v>4</v>
      </c>
      <c r="J101" s="13">
        <v>4</v>
      </c>
      <c r="K101" s="229">
        <v>17561082</v>
      </c>
      <c r="L101" s="237">
        <v>4</v>
      </c>
      <c r="M101" s="229">
        <v>370000</v>
      </c>
      <c r="N101" s="231">
        <v>151688.6</v>
      </c>
      <c r="O101" s="232">
        <v>11</v>
      </c>
      <c r="P101" s="233">
        <v>101</v>
      </c>
      <c r="Q101" s="232">
        <v>1014</v>
      </c>
      <c r="R101" s="233">
        <v>10347</v>
      </c>
      <c r="S101" s="232">
        <v>102855</v>
      </c>
      <c r="T101" s="233">
        <v>990297</v>
      </c>
      <c r="U101" s="228"/>
    </row>
    <row r="102" spans="1:21" x14ac:dyDescent="0.15">
      <c r="A102" s="172">
        <v>43</v>
      </c>
      <c r="B102" s="173">
        <v>37916</v>
      </c>
      <c r="C102" s="174" t="s">
        <v>362</v>
      </c>
      <c r="D102" s="27">
        <v>0</v>
      </c>
      <c r="E102" s="27">
        <v>4</v>
      </c>
      <c r="F102" s="27">
        <v>4</v>
      </c>
      <c r="G102" s="27">
        <v>5</v>
      </c>
      <c r="H102" s="27">
        <v>3</v>
      </c>
      <c r="I102" s="27">
        <v>3</v>
      </c>
      <c r="J102" s="7">
        <v>3</v>
      </c>
      <c r="K102" s="222">
        <v>4935364.5</v>
      </c>
      <c r="L102" s="223" t="s">
        <v>23</v>
      </c>
      <c r="M102" s="224"/>
      <c r="N102" s="225">
        <v>480877.4</v>
      </c>
      <c r="O102" s="226">
        <v>5</v>
      </c>
      <c r="P102" s="227">
        <v>44</v>
      </c>
      <c r="Q102" s="226">
        <v>358</v>
      </c>
      <c r="R102" s="227">
        <v>3872</v>
      </c>
      <c r="S102" s="226">
        <v>31458</v>
      </c>
      <c r="T102" s="227">
        <v>304448</v>
      </c>
    </row>
    <row r="103" spans="1:21" x14ac:dyDescent="0.15">
      <c r="A103" s="178"/>
      <c r="B103" s="179">
        <v>37919</v>
      </c>
      <c r="C103" s="180" t="s">
        <v>363</v>
      </c>
      <c r="D103" s="19">
        <v>9</v>
      </c>
      <c r="E103" s="19">
        <v>8</v>
      </c>
      <c r="F103" s="19">
        <v>7</v>
      </c>
      <c r="G103" s="19">
        <v>0</v>
      </c>
      <c r="H103" s="19">
        <v>5</v>
      </c>
      <c r="I103" s="19">
        <v>6</v>
      </c>
      <c r="J103" s="13">
        <v>6</v>
      </c>
      <c r="K103" s="229">
        <v>14449759.5</v>
      </c>
      <c r="L103" s="237">
        <v>1</v>
      </c>
      <c r="M103" s="229">
        <v>1370000</v>
      </c>
      <c r="N103" s="231">
        <v>74676.399999999994</v>
      </c>
      <c r="O103" s="232">
        <v>15</v>
      </c>
      <c r="P103" s="233">
        <v>99</v>
      </c>
      <c r="Q103" s="232">
        <v>929</v>
      </c>
      <c r="R103" s="233">
        <v>9312</v>
      </c>
      <c r="S103" s="232">
        <v>95439</v>
      </c>
      <c r="T103" s="233">
        <v>897863</v>
      </c>
    </row>
    <row r="104" spans="1:21" x14ac:dyDescent="0.15">
      <c r="A104" s="172">
        <v>44</v>
      </c>
      <c r="B104" s="173">
        <v>37923</v>
      </c>
      <c r="C104" s="174" t="s">
        <v>362</v>
      </c>
      <c r="D104" s="27">
        <v>5</v>
      </c>
      <c r="E104" s="27">
        <v>6</v>
      </c>
      <c r="F104" s="27">
        <v>9</v>
      </c>
      <c r="G104" s="27">
        <v>5</v>
      </c>
      <c r="H104" s="27">
        <v>9</v>
      </c>
      <c r="I104" s="27">
        <v>6</v>
      </c>
      <c r="J104" s="7">
        <v>8</v>
      </c>
      <c r="K104" s="222">
        <v>4960614</v>
      </c>
      <c r="L104" s="223">
        <v>1</v>
      </c>
      <c r="M104" s="224">
        <v>370000</v>
      </c>
      <c r="N104" s="225">
        <v>35549.4</v>
      </c>
      <c r="O104" s="226">
        <v>2</v>
      </c>
      <c r="P104" s="227">
        <v>35</v>
      </c>
      <c r="Q104" s="226">
        <v>345</v>
      </c>
      <c r="R104" s="227">
        <v>3421</v>
      </c>
      <c r="S104" s="226">
        <v>33567</v>
      </c>
      <c r="T104" s="227">
        <v>336728</v>
      </c>
    </row>
    <row r="105" spans="1:21" x14ac:dyDescent="0.15">
      <c r="A105" s="178"/>
      <c r="B105" s="179">
        <v>37926</v>
      </c>
      <c r="C105" s="180" t="s">
        <v>363</v>
      </c>
      <c r="D105" s="19">
        <v>3</v>
      </c>
      <c r="E105" s="19">
        <v>4</v>
      </c>
      <c r="F105" s="19">
        <v>6</v>
      </c>
      <c r="G105" s="19">
        <v>3</v>
      </c>
      <c r="H105" s="19">
        <v>3</v>
      </c>
      <c r="I105" s="19">
        <v>2</v>
      </c>
      <c r="J105" s="13">
        <v>1</v>
      </c>
      <c r="K105" s="229">
        <v>14848341</v>
      </c>
      <c r="L105" s="230">
        <v>1</v>
      </c>
      <c r="M105" s="229">
        <v>970000</v>
      </c>
      <c r="N105" s="231">
        <v>55933.7</v>
      </c>
      <c r="O105" s="232">
        <v>8</v>
      </c>
      <c r="P105" s="233">
        <v>86</v>
      </c>
      <c r="Q105" s="232">
        <v>829</v>
      </c>
      <c r="R105" s="233">
        <v>8532</v>
      </c>
      <c r="S105" s="232">
        <v>81411</v>
      </c>
      <c r="T105" s="233">
        <v>789446</v>
      </c>
    </row>
    <row r="106" spans="1:21" x14ac:dyDescent="0.15">
      <c r="A106" s="172">
        <v>45</v>
      </c>
      <c r="B106" s="173">
        <v>37930</v>
      </c>
      <c r="C106" s="174" t="s">
        <v>362</v>
      </c>
      <c r="D106" s="27">
        <v>4</v>
      </c>
      <c r="E106" s="27">
        <v>5</v>
      </c>
      <c r="F106" s="27">
        <v>2</v>
      </c>
      <c r="G106" s="27">
        <v>6</v>
      </c>
      <c r="H106" s="27">
        <v>0</v>
      </c>
      <c r="I106" s="27">
        <v>3</v>
      </c>
      <c r="J106" s="7">
        <v>6</v>
      </c>
      <c r="K106" s="222">
        <v>4718593.5</v>
      </c>
      <c r="L106" s="223" t="s">
        <v>23</v>
      </c>
      <c r="M106" s="224"/>
      <c r="N106" s="225">
        <v>370663.9</v>
      </c>
      <c r="O106" s="226">
        <v>4</v>
      </c>
      <c r="P106" s="227">
        <v>31</v>
      </c>
      <c r="Q106" s="226">
        <v>316</v>
      </c>
      <c r="R106" s="227">
        <v>3022</v>
      </c>
      <c r="S106" s="226">
        <v>31216</v>
      </c>
      <c r="T106" s="227">
        <v>301334</v>
      </c>
    </row>
    <row r="107" spans="1:21" x14ac:dyDescent="0.15">
      <c r="A107" s="178"/>
      <c r="B107" s="179">
        <v>37933</v>
      </c>
      <c r="C107" s="180" t="s">
        <v>363</v>
      </c>
      <c r="D107" s="19">
        <v>1</v>
      </c>
      <c r="E107" s="19">
        <v>6</v>
      </c>
      <c r="F107" s="19">
        <v>5</v>
      </c>
      <c r="G107" s="19">
        <v>6</v>
      </c>
      <c r="H107" s="19">
        <v>4</v>
      </c>
      <c r="I107" s="19">
        <v>9</v>
      </c>
      <c r="J107" s="13">
        <v>7</v>
      </c>
      <c r="K107" s="229">
        <v>14531223</v>
      </c>
      <c r="L107" s="230">
        <v>1</v>
      </c>
      <c r="M107" s="229">
        <v>1270000</v>
      </c>
      <c r="N107" s="231">
        <v>69896.5</v>
      </c>
      <c r="O107" s="232">
        <v>7</v>
      </c>
      <c r="P107" s="233">
        <v>93</v>
      </c>
      <c r="Q107" s="232">
        <v>942</v>
      </c>
      <c r="R107" s="233">
        <v>9300</v>
      </c>
      <c r="S107" s="232">
        <v>90807</v>
      </c>
      <c r="T107" s="233">
        <v>937509</v>
      </c>
    </row>
    <row r="108" spans="1:21" x14ac:dyDescent="0.15">
      <c r="A108" s="172">
        <v>46</v>
      </c>
      <c r="B108" s="173">
        <v>37937</v>
      </c>
      <c r="C108" s="174" t="s">
        <v>362</v>
      </c>
      <c r="D108" s="27">
        <v>1</v>
      </c>
      <c r="E108" s="27">
        <v>5</v>
      </c>
      <c r="F108" s="27">
        <v>4</v>
      </c>
      <c r="G108" s="27">
        <v>3</v>
      </c>
      <c r="H108" s="27">
        <v>8</v>
      </c>
      <c r="I108" s="27">
        <v>0</v>
      </c>
      <c r="J108" s="7">
        <v>0</v>
      </c>
      <c r="K108" s="222">
        <v>4620091.5</v>
      </c>
      <c r="L108" s="223" t="s">
        <v>23</v>
      </c>
      <c r="M108" s="224"/>
      <c r="N108" s="225">
        <v>378056.6</v>
      </c>
      <c r="O108" s="226">
        <v>1</v>
      </c>
      <c r="P108" s="227">
        <v>19</v>
      </c>
      <c r="Q108" s="226">
        <v>225</v>
      </c>
      <c r="R108" s="227">
        <v>2456</v>
      </c>
      <c r="S108" s="226">
        <v>26082</v>
      </c>
      <c r="T108" s="227">
        <v>222232</v>
      </c>
    </row>
    <row r="109" spans="1:21" x14ac:dyDescent="0.15">
      <c r="A109" s="178"/>
      <c r="B109" s="179">
        <v>37940</v>
      </c>
      <c r="C109" s="180" t="s">
        <v>363</v>
      </c>
      <c r="D109" s="19">
        <v>9</v>
      </c>
      <c r="E109" s="19">
        <v>3</v>
      </c>
      <c r="F109" s="19">
        <v>4</v>
      </c>
      <c r="G109" s="19">
        <v>3</v>
      </c>
      <c r="H109" s="19">
        <v>0</v>
      </c>
      <c r="I109" s="19">
        <v>5</v>
      </c>
      <c r="J109" s="13">
        <v>9</v>
      </c>
      <c r="K109" s="229">
        <v>14256702</v>
      </c>
      <c r="L109" s="230" t="s">
        <v>23</v>
      </c>
      <c r="M109" s="229"/>
      <c r="N109" s="231">
        <v>1328978.6000000001</v>
      </c>
      <c r="O109" s="232">
        <v>8</v>
      </c>
      <c r="P109" s="233">
        <v>86</v>
      </c>
      <c r="Q109" s="232">
        <v>871</v>
      </c>
      <c r="R109" s="233">
        <v>8573</v>
      </c>
      <c r="S109" s="232">
        <v>90083</v>
      </c>
      <c r="T109" s="233">
        <v>878282</v>
      </c>
    </row>
    <row r="110" spans="1:21" x14ac:dyDescent="0.15">
      <c r="A110" s="172">
        <v>47</v>
      </c>
      <c r="B110" s="173">
        <v>37944</v>
      </c>
      <c r="C110" s="174" t="s">
        <v>362</v>
      </c>
      <c r="D110" s="27">
        <v>3</v>
      </c>
      <c r="E110" s="27">
        <v>1</v>
      </c>
      <c r="F110" s="27">
        <v>0</v>
      </c>
      <c r="G110" s="27">
        <v>3</v>
      </c>
      <c r="H110" s="27">
        <v>0</v>
      </c>
      <c r="I110" s="27">
        <v>0</v>
      </c>
      <c r="J110" s="7">
        <v>6</v>
      </c>
      <c r="K110" s="222">
        <v>4794366</v>
      </c>
      <c r="L110" s="223" t="s">
        <v>23</v>
      </c>
      <c r="M110" s="224"/>
      <c r="N110" s="225">
        <v>1648762.8</v>
      </c>
      <c r="O110" s="226">
        <v>3</v>
      </c>
      <c r="P110" s="227">
        <v>21</v>
      </c>
      <c r="Q110" s="226">
        <v>278</v>
      </c>
      <c r="R110" s="227">
        <v>2526</v>
      </c>
      <c r="S110" s="226">
        <v>27493</v>
      </c>
      <c r="T110" s="227">
        <v>315794</v>
      </c>
    </row>
    <row r="111" spans="1:21" x14ac:dyDescent="0.15">
      <c r="A111" s="178"/>
      <c r="B111" s="179">
        <v>37947</v>
      </c>
      <c r="C111" s="180" t="s">
        <v>363</v>
      </c>
      <c r="D111" s="19">
        <v>2</v>
      </c>
      <c r="E111" s="19">
        <v>8</v>
      </c>
      <c r="F111" s="19">
        <v>0</v>
      </c>
      <c r="G111" s="19">
        <v>5</v>
      </c>
      <c r="H111" s="19">
        <v>2</v>
      </c>
      <c r="I111" s="19">
        <v>1</v>
      </c>
      <c r="J111" s="13">
        <v>4</v>
      </c>
      <c r="K111" s="229">
        <v>14869929</v>
      </c>
      <c r="L111" s="230">
        <v>3</v>
      </c>
      <c r="M111" s="229">
        <v>870000</v>
      </c>
      <c r="N111" s="231">
        <v>30587.1</v>
      </c>
      <c r="O111" s="232">
        <v>11</v>
      </c>
      <c r="P111" s="233">
        <v>88</v>
      </c>
      <c r="Q111" s="232">
        <v>832</v>
      </c>
      <c r="R111" s="233">
        <v>8163</v>
      </c>
      <c r="S111" s="232">
        <v>82011</v>
      </c>
      <c r="T111" s="233">
        <v>839796</v>
      </c>
    </row>
    <row r="112" spans="1:21" x14ac:dyDescent="0.15">
      <c r="A112" s="172">
        <v>48</v>
      </c>
      <c r="B112" s="173">
        <v>37951</v>
      </c>
      <c r="C112" s="174" t="s">
        <v>362</v>
      </c>
      <c r="D112" s="27">
        <v>2</v>
      </c>
      <c r="E112" s="27">
        <v>1</v>
      </c>
      <c r="F112" s="27">
        <v>3</v>
      </c>
      <c r="G112" s="27">
        <v>0</v>
      </c>
      <c r="H112" s="27">
        <v>0</v>
      </c>
      <c r="I112" s="27">
        <v>6</v>
      </c>
      <c r="J112" s="7">
        <v>4</v>
      </c>
      <c r="K112" s="222">
        <v>5724588</v>
      </c>
      <c r="L112" s="223" t="s">
        <v>23</v>
      </c>
      <c r="M112" s="224"/>
      <c r="N112" s="225">
        <v>412417.1</v>
      </c>
      <c r="O112" s="226">
        <v>3</v>
      </c>
      <c r="P112" s="227">
        <v>21</v>
      </c>
      <c r="Q112" s="226">
        <v>324</v>
      </c>
      <c r="R112" s="227">
        <v>3330</v>
      </c>
      <c r="S112" s="226">
        <v>33146</v>
      </c>
      <c r="T112" s="227">
        <v>320383</v>
      </c>
    </row>
    <row r="113" spans="1:20" x14ac:dyDescent="0.15">
      <c r="A113" s="178"/>
      <c r="B113" s="179">
        <v>37954</v>
      </c>
      <c r="C113" s="180" t="s">
        <v>363</v>
      </c>
      <c r="D113" s="19">
        <v>0</v>
      </c>
      <c r="E113" s="19">
        <v>2</v>
      </c>
      <c r="F113" s="19">
        <v>8</v>
      </c>
      <c r="G113" s="19">
        <v>8</v>
      </c>
      <c r="H113" s="19">
        <v>6</v>
      </c>
      <c r="I113" s="19">
        <v>1</v>
      </c>
      <c r="J113" s="13">
        <v>8</v>
      </c>
      <c r="K113" s="229">
        <v>17017119</v>
      </c>
      <c r="L113" s="230">
        <v>5</v>
      </c>
      <c r="M113" s="229">
        <v>270000</v>
      </c>
      <c r="N113" s="231">
        <v>197458.9</v>
      </c>
      <c r="O113" s="232">
        <v>11</v>
      </c>
      <c r="P113" s="233">
        <v>112</v>
      </c>
      <c r="Q113" s="232">
        <v>1124</v>
      </c>
      <c r="R113" s="233">
        <v>11300</v>
      </c>
      <c r="S113" s="232">
        <v>113347</v>
      </c>
      <c r="T113" s="233">
        <v>1166201</v>
      </c>
    </row>
    <row r="114" spans="1:20" x14ac:dyDescent="0.15">
      <c r="A114" s="172">
        <v>49</v>
      </c>
      <c r="B114" s="173">
        <v>37958</v>
      </c>
      <c r="C114" s="174" t="s">
        <v>362</v>
      </c>
      <c r="D114" s="27">
        <v>6</v>
      </c>
      <c r="E114" s="27">
        <v>5</v>
      </c>
      <c r="F114" s="27">
        <v>1</v>
      </c>
      <c r="G114" s="27">
        <v>8</v>
      </c>
      <c r="H114" s="27">
        <v>0</v>
      </c>
      <c r="I114" s="27">
        <v>0</v>
      </c>
      <c r="J114" s="7">
        <v>6</v>
      </c>
      <c r="K114" s="222">
        <v>10021417.5</v>
      </c>
      <c r="L114" s="223" t="s">
        <v>23</v>
      </c>
      <c r="M114" s="224"/>
      <c r="N114" s="225">
        <v>865887.4</v>
      </c>
      <c r="O114" s="226">
        <v>5</v>
      </c>
      <c r="P114" s="227">
        <v>35</v>
      </c>
      <c r="Q114" s="226">
        <v>542</v>
      </c>
      <c r="R114" s="227">
        <v>5610</v>
      </c>
      <c r="S114" s="226">
        <v>58659</v>
      </c>
      <c r="T114" s="227">
        <v>644313</v>
      </c>
    </row>
    <row r="115" spans="1:20" x14ac:dyDescent="0.15">
      <c r="A115" s="178"/>
      <c r="B115" s="179">
        <v>37961</v>
      </c>
      <c r="C115" s="180" t="s">
        <v>363</v>
      </c>
      <c r="D115" s="19">
        <v>1</v>
      </c>
      <c r="E115" s="19">
        <v>2</v>
      </c>
      <c r="F115" s="19">
        <v>1</v>
      </c>
      <c r="G115" s="19">
        <v>6</v>
      </c>
      <c r="H115" s="19">
        <v>3</v>
      </c>
      <c r="I115" s="19">
        <v>9</v>
      </c>
      <c r="J115" s="13">
        <v>4</v>
      </c>
      <c r="K115" s="229">
        <v>17679766.5</v>
      </c>
      <c r="L115" s="230">
        <v>1</v>
      </c>
      <c r="M115" s="229">
        <v>1970000</v>
      </c>
      <c r="N115" s="231">
        <v>75127.8</v>
      </c>
      <c r="O115" s="232">
        <v>12</v>
      </c>
      <c r="P115" s="233">
        <v>99</v>
      </c>
      <c r="Q115" s="232">
        <v>994</v>
      </c>
      <c r="R115" s="233">
        <v>9681</v>
      </c>
      <c r="S115" s="232">
        <v>97961</v>
      </c>
      <c r="T115" s="233">
        <v>1006352</v>
      </c>
    </row>
    <row r="116" spans="1:20" x14ac:dyDescent="0.15">
      <c r="A116" s="172">
        <v>50</v>
      </c>
      <c r="B116" s="173">
        <v>37965</v>
      </c>
      <c r="C116" s="174" t="s">
        <v>362</v>
      </c>
      <c r="D116" s="27">
        <v>0</v>
      </c>
      <c r="E116" s="27">
        <v>1</v>
      </c>
      <c r="F116" s="27">
        <v>4</v>
      </c>
      <c r="G116" s="27">
        <v>8</v>
      </c>
      <c r="H116" s="27">
        <v>3</v>
      </c>
      <c r="I116" s="27">
        <v>6</v>
      </c>
      <c r="J116" s="7">
        <v>3</v>
      </c>
      <c r="K116" s="222">
        <v>5203542</v>
      </c>
      <c r="L116" s="223" t="s">
        <v>23</v>
      </c>
      <c r="M116" s="224"/>
      <c r="N116" s="225">
        <v>422204.1</v>
      </c>
      <c r="O116" s="226">
        <v>9</v>
      </c>
      <c r="P116" s="227">
        <v>35</v>
      </c>
      <c r="Q116" s="226">
        <v>343</v>
      </c>
      <c r="R116" s="227">
        <v>3228</v>
      </c>
      <c r="S116" s="226">
        <v>32226</v>
      </c>
      <c r="T116" s="227">
        <v>318519</v>
      </c>
    </row>
    <row r="117" spans="1:20" x14ac:dyDescent="0.15">
      <c r="A117" s="178"/>
      <c r="B117" s="179">
        <v>37968</v>
      </c>
      <c r="C117" s="180" t="s">
        <v>363</v>
      </c>
      <c r="D117" s="19">
        <v>1</v>
      </c>
      <c r="E117" s="19">
        <v>8</v>
      </c>
      <c r="F117" s="19">
        <v>4</v>
      </c>
      <c r="G117" s="19">
        <v>3</v>
      </c>
      <c r="H117" s="19">
        <v>4</v>
      </c>
      <c r="I117" s="19">
        <v>7</v>
      </c>
      <c r="J117" s="13">
        <v>3</v>
      </c>
      <c r="K117" s="229">
        <v>15106620</v>
      </c>
      <c r="L117" s="230">
        <v>1</v>
      </c>
      <c r="M117" s="229">
        <v>1370000</v>
      </c>
      <c r="N117" s="231">
        <v>59815.7</v>
      </c>
      <c r="O117" s="232">
        <v>10</v>
      </c>
      <c r="P117" s="233">
        <v>107</v>
      </c>
      <c r="Q117" s="232">
        <v>906</v>
      </c>
      <c r="R117" s="233">
        <v>9143</v>
      </c>
      <c r="S117" s="232">
        <v>92492</v>
      </c>
      <c r="T117" s="233">
        <v>941126</v>
      </c>
    </row>
    <row r="118" spans="1:20" x14ac:dyDescent="0.15">
      <c r="A118" s="172">
        <v>51</v>
      </c>
      <c r="B118" s="173">
        <v>37972</v>
      </c>
      <c r="C118" s="174" t="s">
        <v>362</v>
      </c>
      <c r="D118" s="27">
        <v>8</v>
      </c>
      <c r="E118" s="27">
        <v>5</v>
      </c>
      <c r="F118" s="27">
        <v>5</v>
      </c>
      <c r="G118" s="27">
        <v>7</v>
      </c>
      <c r="H118" s="27">
        <v>0</v>
      </c>
      <c r="I118" s="27">
        <v>5</v>
      </c>
      <c r="J118" s="7">
        <v>4</v>
      </c>
      <c r="K118" s="222">
        <v>5434764</v>
      </c>
      <c r="L118" s="223" t="s">
        <v>23</v>
      </c>
      <c r="M118" s="224"/>
      <c r="N118" s="225">
        <v>422314.5</v>
      </c>
      <c r="O118" s="226" t="s">
        <v>17</v>
      </c>
      <c r="P118" s="227">
        <v>15</v>
      </c>
      <c r="Q118" s="226">
        <v>345</v>
      </c>
      <c r="R118" s="227">
        <v>3053</v>
      </c>
      <c r="S118" s="226">
        <v>32216</v>
      </c>
      <c r="T118" s="227">
        <v>307581</v>
      </c>
    </row>
    <row r="119" spans="1:20" x14ac:dyDescent="0.15">
      <c r="A119" s="178"/>
      <c r="B119" s="179">
        <v>37975</v>
      </c>
      <c r="C119" s="180" t="s">
        <v>363</v>
      </c>
      <c r="D119" s="19">
        <v>2</v>
      </c>
      <c r="E119" s="19">
        <v>0</v>
      </c>
      <c r="F119" s="19">
        <v>4</v>
      </c>
      <c r="G119" s="19">
        <v>7</v>
      </c>
      <c r="H119" s="19">
        <v>8</v>
      </c>
      <c r="I119" s="19">
        <v>0</v>
      </c>
      <c r="J119" s="13">
        <v>4</v>
      </c>
      <c r="K119" s="229">
        <v>16140528</v>
      </c>
      <c r="L119" s="230">
        <v>3</v>
      </c>
      <c r="M119" s="229">
        <v>470000</v>
      </c>
      <c r="N119" s="231">
        <v>88887.7</v>
      </c>
      <c r="O119" s="232">
        <v>5</v>
      </c>
      <c r="P119" s="233">
        <v>78</v>
      </c>
      <c r="Q119" s="232">
        <v>864</v>
      </c>
      <c r="R119" s="233">
        <v>8249</v>
      </c>
      <c r="S119" s="232">
        <v>81777</v>
      </c>
      <c r="T119" s="233">
        <v>931890</v>
      </c>
    </row>
    <row r="120" spans="1:20" x14ac:dyDescent="0.15">
      <c r="A120" s="172">
        <v>52</v>
      </c>
      <c r="B120" s="173">
        <v>37979</v>
      </c>
      <c r="C120" s="174" t="s">
        <v>362</v>
      </c>
      <c r="D120" s="27">
        <v>3</v>
      </c>
      <c r="E120" s="27">
        <v>5</v>
      </c>
      <c r="F120" s="27">
        <v>3</v>
      </c>
      <c r="G120" s="27">
        <v>8</v>
      </c>
      <c r="H120" s="27">
        <v>7</v>
      </c>
      <c r="I120" s="27">
        <v>0</v>
      </c>
      <c r="J120" s="7">
        <v>8</v>
      </c>
      <c r="K120" s="222">
        <v>8212495.5</v>
      </c>
      <c r="L120" s="223" t="s">
        <v>23</v>
      </c>
      <c r="M120" s="224"/>
      <c r="N120" s="225">
        <v>636661.1</v>
      </c>
      <c r="O120" s="226">
        <v>4</v>
      </c>
      <c r="P120" s="227">
        <v>50</v>
      </c>
      <c r="Q120" s="226">
        <v>471</v>
      </c>
      <c r="R120" s="227">
        <v>4699</v>
      </c>
      <c r="S120" s="226">
        <v>48313</v>
      </c>
      <c r="T120" s="227">
        <v>548642</v>
      </c>
    </row>
    <row r="121" spans="1:20" x14ac:dyDescent="0.15">
      <c r="A121" s="178"/>
      <c r="B121" s="179">
        <v>37982</v>
      </c>
      <c r="C121" s="180" t="s">
        <v>363</v>
      </c>
      <c r="D121" s="38">
        <v>1</v>
      </c>
      <c r="E121" s="38">
        <v>4</v>
      </c>
      <c r="F121" s="38">
        <v>7</v>
      </c>
      <c r="G121" s="38">
        <v>8</v>
      </c>
      <c r="H121" s="38">
        <v>9</v>
      </c>
      <c r="I121" s="38">
        <v>2</v>
      </c>
      <c r="J121" s="39">
        <v>6</v>
      </c>
      <c r="K121" s="229">
        <v>15221726</v>
      </c>
      <c r="L121" s="230" t="s">
        <v>23</v>
      </c>
      <c r="M121" s="229"/>
      <c r="N121" s="231">
        <v>1651950.2</v>
      </c>
      <c r="O121" s="232">
        <v>9</v>
      </c>
      <c r="P121" s="233">
        <v>91</v>
      </c>
      <c r="Q121" s="232">
        <v>1022</v>
      </c>
      <c r="R121" s="233">
        <v>9700</v>
      </c>
      <c r="S121" s="232">
        <v>97646</v>
      </c>
      <c r="T121" s="233">
        <v>965778</v>
      </c>
    </row>
    <row r="122" spans="1:20" x14ac:dyDescent="0.15">
      <c r="A122" s="130"/>
      <c r="B122" s="97"/>
      <c r="C122" s="97"/>
      <c r="D122" s="260"/>
      <c r="E122" s="260"/>
      <c r="F122" s="260"/>
      <c r="G122" s="260"/>
      <c r="H122" s="260"/>
      <c r="I122" s="260" t="s">
        <v>24</v>
      </c>
      <c r="J122" s="260"/>
      <c r="K122" s="270"/>
      <c r="L122" s="259">
        <f>SUM(L70:L121)</f>
        <v>36</v>
      </c>
      <c r="M122" s="271"/>
      <c r="N122" s="259"/>
      <c r="O122" s="259">
        <f t="shared" ref="O122:T122" si="1">SUM(O70:O121)</f>
        <v>335</v>
      </c>
      <c r="P122" s="259">
        <f t="shared" si="1"/>
        <v>3050</v>
      </c>
      <c r="Q122" s="259">
        <f t="shared" si="1"/>
        <v>31831</v>
      </c>
      <c r="R122" s="259">
        <f t="shared" si="1"/>
        <v>315981</v>
      </c>
      <c r="S122" s="259">
        <f t="shared" si="1"/>
        <v>3154368</v>
      </c>
      <c r="T122" s="272">
        <f t="shared" si="1"/>
        <v>31781849</v>
      </c>
    </row>
  </sheetData>
  <phoneticPr fontId="0" type="noConversion"/>
  <printOptions horizontalCentered="1" verticalCentered="1"/>
  <pageMargins left="0" right="0" top="0" bottom="0" header="0.51181102300000003" footer="0.51181102300000003"/>
  <pageSetup paperSize="9" scale="85" orientation="landscape" horizontalDpi="4294967292" verticalDpi="4294967292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25"/>
  <sheetViews>
    <sheetView workbookViewId="0">
      <pane xSplit="3" ySplit="7" topLeftCell="D60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3" width="20.33203125" customWidth="1"/>
    <col min="14" max="14" width="23.83203125" customWidth="1"/>
    <col min="15" max="20" width="15.83203125" customWidth="1"/>
    <col min="21" max="21" width="12.5" customWidth="1"/>
    <col min="22" max="22" width="13.5" customWidth="1"/>
    <col min="24" max="24" width="13" customWidth="1"/>
  </cols>
  <sheetData>
    <row r="2" spans="1:24" ht="14.1" customHeight="1" x14ac:dyDescent="0.2">
      <c r="A2" s="1" t="s">
        <v>364</v>
      </c>
      <c r="T2" s="3" t="s">
        <v>421</v>
      </c>
    </row>
    <row r="3" spans="1:24" ht="11.1" customHeight="1" x14ac:dyDescent="0.15">
      <c r="A3" s="6" t="s">
        <v>2</v>
      </c>
    </row>
    <row r="4" spans="1:24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4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4" ht="11.1" customHeight="1" x14ac:dyDescent="0.15">
      <c r="A6" s="13" t="s">
        <v>428</v>
      </c>
      <c r="B6" s="14">
        <v>2004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366</v>
      </c>
      <c r="M6" s="18"/>
      <c r="N6" s="13" t="s">
        <v>367</v>
      </c>
      <c r="O6" s="239">
        <v>70000</v>
      </c>
      <c r="P6" s="239">
        <v>7000</v>
      </c>
      <c r="Q6" s="239">
        <v>700</v>
      </c>
      <c r="R6" s="239">
        <v>70</v>
      </c>
      <c r="S6" s="239">
        <v>7</v>
      </c>
      <c r="T6" s="239">
        <v>2.5</v>
      </c>
    </row>
    <row r="7" spans="1:24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4" x14ac:dyDescent="0.15">
      <c r="A8" s="172">
        <v>1</v>
      </c>
      <c r="B8" s="173">
        <v>37986</v>
      </c>
      <c r="C8" s="174" t="s">
        <v>362</v>
      </c>
      <c r="D8" s="27">
        <v>7</v>
      </c>
      <c r="E8" s="27">
        <v>1</v>
      </c>
      <c r="F8" s="27">
        <v>5</v>
      </c>
      <c r="G8" s="27">
        <v>8</v>
      </c>
      <c r="H8" s="27">
        <v>2</v>
      </c>
      <c r="I8" s="27">
        <v>2</v>
      </c>
      <c r="J8" s="7">
        <v>7</v>
      </c>
      <c r="K8" s="222">
        <v>6504427.5</v>
      </c>
      <c r="L8" s="223" t="s">
        <v>23</v>
      </c>
      <c r="M8" s="224"/>
      <c r="N8" s="225">
        <v>2085795.5</v>
      </c>
      <c r="O8" s="226">
        <v>3</v>
      </c>
      <c r="P8" s="227">
        <v>46</v>
      </c>
      <c r="Q8" s="226">
        <v>428</v>
      </c>
      <c r="R8" s="227">
        <v>4050</v>
      </c>
      <c r="S8" s="226">
        <v>42657</v>
      </c>
      <c r="T8" s="227">
        <v>423126</v>
      </c>
      <c r="V8" s="228"/>
      <c r="X8" s="274"/>
    </row>
    <row r="9" spans="1:24" x14ac:dyDescent="0.15">
      <c r="A9" s="178"/>
      <c r="B9" s="179">
        <v>37989</v>
      </c>
      <c r="C9" s="180" t="s">
        <v>363</v>
      </c>
      <c r="D9" s="19">
        <v>4</v>
      </c>
      <c r="E9" s="19">
        <v>5</v>
      </c>
      <c r="F9" s="19">
        <v>9</v>
      </c>
      <c r="G9" s="19">
        <v>5</v>
      </c>
      <c r="H9" s="19">
        <v>1</v>
      </c>
      <c r="I9" s="19">
        <v>9</v>
      </c>
      <c r="J9" s="13">
        <v>4</v>
      </c>
      <c r="K9" s="229">
        <v>15229822</v>
      </c>
      <c r="L9" s="230">
        <v>1</v>
      </c>
      <c r="M9" s="229">
        <v>3070000</v>
      </c>
      <c r="N9" s="231">
        <v>31624.6</v>
      </c>
      <c r="O9" s="232">
        <v>9</v>
      </c>
      <c r="P9" s="233">
        <v>89</v>
      </c>
      <c r="Q9" s="232">
        <v>891</v>
      </c>
      <c r="R9" s="233">
        <v>8649</v>
      </c>
      <c r="S9" s="232">
        <v>86468</v>
      </c>
      <c r="T9" s="233">
        <v>880953</v>
      </c>
      <c r="V9" s="228"/>
      <c r="X9" s="274"/>
    </row>
    <row r="10" spans="1:24" x14ac:dyDescent="0.15">
      <c r="A10" s="172">
        <v>2</v>
      </c>
      <c r="B10" s="173">
        <v>37993</v>
      </c>
      <c r="C10" s="174" t="s">
        <v>362</v>
      </c>
      <c r="D10" s="238">
        <v>4</v>
      </c>
      <c r="E10" s="27">
        <v>8</v>
      </c>
      <c r="F10" s="27">
        <v>7</v>
      </c>
      <c r="G10" s="27">
        <v>8</v>
      </c>
      <c r="H10" s="27">
        <v>1</v>
      </c>
      <c r="I10" s="27">
        <v>5</v>
      </c>
      <c r="J10" s="7">
        <v>4</v>
      </c>
      <c r="K10" s="222">
        <v>4842595.5</v>
      </c>
      <c r="L10" s="234" t="s">
        <v>23</v>
      </c>
      <c r="M10" s="224"/>
      <c r="N10" s="225">
        <v>354625.7</v>
      </c>
      <c r="O10" s="226">
        <v>1</v>
      </c>
      <c r="P10" s="227">
        <v>22</v>
      </c>
      <c r="Q10" s="226">
        <v>306</v>
      </c>
      <c r="R10" s="227">
        <v>2928</v>
      </c>
      <c r="S10" s="226">
        <v>29642</v>
      </c>
      <c r="T10" s="227">
        <v>277766</v>
      </c>
      <c r="V10" s="228"/>
      <c r="X10" s="274"/>
    </row>
    <row r="11" spans="1:24" x14ac:dyDescent="0.15">
      <c r="A11" s="178"/>
      <c r="B11" s="179">
        <v>37996</v>
      </c>
      <c r="C11" s="180" t="s">
        <v>363</v>
      </c>
      <c r="D11" s="76">
        <v>2</v>
      </c>
      <c r="E11" s="76">
        <v>3</v>
      </c>
      <c r="F11" s="76">
        <v>7</v>
      </c>
      <c r="G11" s="76">
        <v>0</v>
      </c>
      <c r="H11" s="76">
        <v>5</v>
      </c>
      <c r="I11" s="76">
        <v>1</v>
      </c>
      <c r="J11" s="13">
        <v>6</v>
      </c>
      <c r="K11" s="229">
        <v>14605849.5</v>
      </c>
      <c r="L11" s="237">
        <v>2</v>
      </c>
      <c r="M11" s="229">
        <v>570000</v>
      </c>
      <c r="N11" s="229">
        <v>188835.9</v>
      </c>
      <c r="O11" s="232">
        <v>11</v>
      </c>
      <c r="P11" s="233">
        <v>101</v>
      </c>
      <c r="Q11" s="232">
        <v>856</v>
      </c>
      <c r="R11" s="233">
        <v>9363</v>
      </c>
      <c r="S11" s="232">
        <v>89955</v>
      </c>
      <c r="T11" s="233">
        <v>936213</v>
      </c>
      <c r="V11" s="228"/>
      <c r="X11" s="274"/>
    </row>
    <row r="12" spans="1:24" x14ac:dyDescent="0.15">
      <c r="A12" s="172">
        <v>3</v>
      </c>
      <c r="B12" s="173">
        <v>38000</v>
      </c>
      <c r="C12" s="174" t="s">
        <v>362</v>
      </c>
      <c r="D12" s="27">
        <v>3</v>
      </c>
      <c r="E12" s="27">
        <v>0</v>
      </c>
      <c r="F12" s="27">
        <v>0</v>
      </c>
      <c r="G12" s="27">
        <v>4</v>
      </c>
      <c r="H12" s="27">
        <v>6</v>
      </c>
      <c r="I12" s="27">
        <v>6</v>
      </c>
      <c r="J12" s="7">
        <v>6</v>
      </c>
      <c r="K12" s="222">
        <v>5740450.5</v>
      </c>
      <c r="L12" s="223" t="s">
        <v>23</v>
      </c>
      <c r="M12" s="224"/>
      <c r="N12" s="225">
        <v>571723.9</v>
      </c>
      <c r="O12" s="226">
        <v>4</v>
      </c>
      <c r="P12" s="227">
        <v>56</v>
      </c>
      <c r="Q12" s="226">
        <v>529</v>
      </c>
      <c r="R12" s="227">
        <v>5628</v>
      </c>
      <c r="S12" s="226">
        <v>39584</v>
      </c>
      <c r="T12" s="227">
        <v>370515</v>
      </c>
      <c r="V12" s="228"/>
      <c r="X12" s="274"/>
    </row>
    <row r="13" spans="1:24" x14ac:dyDescent="0.15">
      <c r="A13" s="178"/>
      <c r="B13" s="179">
        <v>38003</v>
      </c>
      <c r="C13" s="180" t="s">
        <v>363</v>
      </c>
      <c r="D13" s="19">
        <v>5</v>
      </c>
      <c r="E13" s="19">
        <v>5</v>
      </c>
      <c r="F13" s="19">
        <v>0</v>
      </c>
      <c r="G13" s="19">
        <v>6</v>
      </c>
      <c r="H13" s="19">
        <v>0</v>
      </c>
      <c r="I13" s="19">
        <v>5</v>
      </c>
      <c r="J13" s="13">
        <v>4</v>
      </c>
      <c r="K13" s="229">
        <v>16674732</v>
      </c>
      <c r="L13" s="230">
        <v>2</v>
      </c>
      <c r="M13" s="229">
        <v>770000</v>
      </c>
      <c r="N13" s="231">
        <v>143928.5</v>
      </c>
      <c r="O13" s="232">
        <v>8</v>
      </c>
      <c r="P13" s="233">
        <v>106</v>
      </c>
      <c r="Q13" s="232">
        <v>1018</v>
      </c>
      <c r="R13" s="233">
        <v>9795</v>
      </c>
      <c r="S13" s="232">
        <v>102585</v>
      </c>
      <c r="T13" s="233">
        <v>970903</v>
      </c>
      <c r="V13" s="228"/>
      <c r="X13" s="274"/>
    </row>
    <row r="14" spans="1:24" x14ac:dyDescent="0.15">
      <c r="A14" s="172">
        <v>4</v>
      </c>
      <c r="B14" s="173">
        <v>38007</v>
      </c>
      <c r="C14" s="174" t="s">
        <v>362</v>
      </c>
      <c r="D14" s="27">
        <v>4</v>
      </c>
      <c r="E14" s="27">
        <v>3</v>
      </c>
      <c r="F14" s="27">
        <v>0</v>
      </c>
      <c r="G14" s="27">
        <v>1</v>
      </c>
      <c r="H14" s="27">
        <v>2</v>
      </c>
      <c r="I14" s="27">
        <v>4</v>
      </c>
      <c r="J14" s="7">
        <v>6</v>
      </c>
      <c r="K14" s="222">
        <v>6656544</v>
      </c>
      <c r="L14" s="234">
        <v>2</v>
      </c>
      <c r="M14" s="224">
        <v>270000</v>
      </c>
      <c r="N14" s="225">
        <v>47920</v>
      </c>
      <c r="O14" s="226">
        <v>2</v>
      </c>
      <c r="P14" s="227">
        <v>42</v>
      </c>
      <c r="Q14" s="226">
        <v>476</v>
      </c>
      <c r="R14" s="227">
        <v>4689</v>
      </c>
      <c r="S14" s="226">
        <v>44752</v>
      </c>
      <c r="T14" s="227">
        <v>431027</v>
      </c>
      <c r="V14" s="228"/>
      <c r="X14" s="274"/>
    </row>
    <row r="15" spans="1:24" x14ac:dyDescent="0.15">
      <c r="A15" s="178"/>
      <c r="B15" s="179">
        <v>38010</v>
      </c>
      <c r="C15" s="180" t="s">
        <v>363</v>
      </c>
      <c r="D15" s="19">
        <v>6</v>
      </c>
      <c r="E15" s="19">
        <v>3</v>
      </c>
      <c r="F15" s="19">
        <v>8</v>
      </c>
      <c r="G15" s="19">
        <v>0</v>
      </c>
      <c r="H15" s="19">
        <v>4</v>
      </c>
      <c r="I15" s="19">
        <v>7</v>
      </c>
      <c r="J15" s="13">
        <v>8</v>
      </c>
      <c r="K15" s="229">
        <v>18282522</v>
      </c>
      <c r="L15" s="230">
        <v>1</v>
      </c>
      <c r="M15" s="229">
        <v>1170000</v>
      </c>
      <c r="N15" s="231">
        <v>97364.2</v>
      </c>
      <c r="O15" s="232">
        <v>17</v>
      </c>
      <c r="P15" s="233">
        <v>113</v>
      </c>
      <c r="Q15" s="232">
        <v>1218</v>
      </c>
      <c r="R15" s="233">
        <v>12437</v>
      </c>
      <c r="S15" s="232">
        <v>124037</v>
      </c>
      <c r="T15" s="233">
        <v>1234472</v>
      </c>
      <c r="V15" s="228"/>
      <c r="X15" s="274"/>
    </row>
    <row r="16" spans="1:24" x14ac:dyDescent="0.15">
      <c r="A16" s="172">
        <v>5</v>
      </c>
      <c r="B16" s="173">
        <v>38014</v>
      </c>
      <c r="C16" s="174" t="s">
        <v>362</v>
      </c>
      <c r="D16" s="27">
        <v>4</v>
      </c>
      <c r="E16" s="27">
        <v>0</v>
      </c>
      <c r="F16" s="27">
        <v>7</v>
      </c>
      <c r="G16" s="27">
        <v>1</v>
      </c>
      <c r="H16" s="27">
        <v>4</v>
      </c>
      <c r="I16" s="27">
        <v>0</v>
      </c>
      <c r="J16" s="7">
        <v>6</v>
      </c>
      <c r="K16" s="222">
        <v>5274448.5</v>
      </c>
      <c r="L16" s="223" t="s">
        <v>23</v>
      </c>
      <c r="M16" s="224"/>
      <c r="N16" s="225">
        <v>449169.9</v>
      </c>
      <c r="O16" s="226">
        <v>3</v>
      </c>
      <c r="P16" s="227">
        <v>28</v>
      </c>
      <c r="Q16" s="226">
        <v>318</v>
      </c>
      <c r="R16" s="227">
        <v>3026</v>
      </c>
      <c r="S16" s="226">
        <v>31451</v>
      </c>
      <c r="T16" s="227">
        <v>354944</v>
      </c>
      <c r="V16" s="228"/>
      <c r="X16" s="274"/>
    </row>
    <row r="17" spans="1:24" x14ac:dyDescent="0.15">
      <c r="A17" s="178"/>
      <c r="B17" s="179">
        <v>38017</v>
      </c>
      <c r="C17" s="180" t="s">
        <v>363</v>
      </c>
      <c r="D17" s="19">
        <v>4</v>
      </c>
      <c r="E17" s="19">
        <v>5</v>
      </c>
      <c r="F17" s="19">
        <v>4</v>
      </c>
      <c r="G17" s="19">
        <v>0</v>
      </c>
      <c r="H17" s="19">
        <v>5</v>
      </c>
      <c r="I17" s="19">
        <v>5</v>
      </c>
      <c r="J17" s="13">
        <v>6</v>
      </c>
      <c r="K17" s="229">
        <v>15175033.5</v>
      </c>
      <c r="L17" s="230">
        <v>1</v>
      </c>
      <c r="M17" s="229">
        <v>1370000</v>
      </c>
      <c r="N17" s="231">
        <v>91344.6</v>
      </c>
      <c r="O17" s="232">
        <v>12</v>
      </c>
      <c r="P17" s="233">
        <v>97</v>
      </c>
      <c r="Q17" s="232">
        <v>962</v>
      </c>
      <c r="R17" s="233">
        <v>9580</v>
      </c>
      <c r="S17" s="232">
        <v>102060</v>
      </c>
      <c r="T17" s="233">
        <v>975169</v>
      </c>
      <c r="V17" s="228"/>
      <c r="X17" s="274"/>
    </row>
    <row r="18" spans="1:24" x14ac:dyDescent="0.15">
      <c r="A18" s="172">
        <v>6</v>
      </c>
      <c r="B18" s="173">
        <v>38021</v>
      </c>
      <c r="C18" s="174" t="s">
        <v>362</v>
      </c>
      <c r="D18" s="27">
        <v>5</v>
      </c>
      <c r="E18" s="27">
        <v>0</v>
      </c>
      <c r="F18" s="27">
        <v>3</v>
      </c>
      <c r="G18" s="27">
        <v>6</v>
      </c>
      <c r="H18" s="27">
        <v>6</v>
      </c>
      <c r="I18" s="27">
        <v>4</v>
      </c>
      <c r="J18" s="7">
        <v>5</v>
      </c>
      <c r="K18" s="222">
        <v>5506641</v>
      </c>
      <c r="L18" s="223" t="s">
        <v>23</v>
      </c>
      <c r="M18" s="224"/>
      <c r="N18" s="224">
        <v>458637.6</v>
      </c>
      <c r="O18" s="226">
        <v>4</v>
      </c>
      <c r="P18" s="227">
        <v>57</v>
      </c>
      <c r="Q18" s="226">
        <v>358</v>
      </c>
      <c r="R18" s="227">
        <v>3804</v>
      </c>
      <c r="S18" s="226">
        <v>37302</v>
      </c>
      <c r="T18" s="227">
        <v>361809</v>
      </c>
      <c r="V18" s="228"/>
      <c r="X18" s="274"/>
    </row>
    <row r="19" spans="1:24" x14ac:dyDescent="0.15">
      <c r="A19" s="178"/>
      <c r="B19" s="179">
        <v>38024</v>
      </c>
      <c r="C19" s="180" t="s">
        <v>363</v>
      </c>
      <c r="D19" s="19">
        <v>8</v>
      </c>
      <c r="E19" s="19">
        <v>2</v>
      </c>
      <c r="F19" s="19">
        <v>5</v>
      </c>
      <c r="G19" s="19">
        <v>9</v>
      </c>
      <c r="H19" s="19">
        <v>1</v>
      </c>
      <c r="I19" s="19">
        <v>7</v>
      </c>
      <c r="J19" s="13">
        <v>8</v>
      </c>
      <c r="K19" s="229">
        <v>15948439.5</v>
      </c>
      <c r="L19" s="230" t="s">
        <v>23</v>
      </c>
      <c r="M19" s="229"/>
      <c r="N19" s="231">
        <v>1522398.5</v>
      </c>
      <c r="O19" s="232">
        <v>16</v>
      </c>
      <c r="P19" s="233">
        <v>116</v>
      </c>
      <c r="Q19" s="232">
        <v>1095</v>
      </c>
      <c r="R19" s="233">
        <v>11352</v>
      </c>
      <c r="S19" s="232">
        <v>111111</v>
      </c>
      <c r="T19" s="233">
        <v>1091693</v>
      </c>
      <c r="V19" s="228"/>
      <c r="X19" s="274"/>
    </row>
    <row r="20" spans="1:24" x14ac:dyDescent="0.15">
      <c r="A20" s="172">
        <v>7</v>
      </c>
      <c r="B20" s="173">
        <v>38028</v>
      </c>
      <c r="C20" s="174" t="s">
        <v>362</v>
      </c>
      <c r="D20" s="27">
        <v>5</v>
      </c>
      <c r="E20" s="27">
        <v>0</v>
      </c>
      <c r="F20" s="27">
        <v>5</v>
      </c>
      <c r="G20" s="27">
        <v>5</v>
      </c>
      <c r="H20" s="27">
        <v>0</v>
      </c>
      <c r="I20" s="27">
        <v>4</v>
      </c>
      <c r="J20" s="7">
        <v>5</v>
      </c>
      <c r="K20" s="222">
        <v>5124295.5</v>
      </c>
      <c r="L20" s="223">
        <v>1</v>
      </c>
      <c r="M20" s="224">
        <v>1770000</v>
      </c>
      <c r="N20" s="225">
        <v>94189</v>
      </c>
      <c r="O20" s="226" t="s">
        <v>17</v>
      </c>
      <c r="P20" s="227">
        <v>28</v>
      </c>
      <c r="Q20" s="226">
        <v>356</v>
      </c>
      <c r="R20" s="227">
        <v>3275</v>
      </c>
      <c r="S20" s="226">
        <v>35647</v>
      </c>
      <c r="T20" s="227">
        <v>335960</v>
      </c>
      <c r="V20" s="228"/>
      <c r="X20" s="274"/>
    </row>
    <row r="21" spans="1:24" x14ac:dyDescent="0.15">
      <c r="A21" s="178"/>
      <c r="B21" s="179">
        <v>38031</v>
      </c>
      <c r="C21" s="180" t="s">
        <v>363</v>
      </c>
      <c r="D21" s="19">
        <v>2</v>
      </c>
      <c r="E21" s="19">
        <v>0</v>
      </c>
      <c r="F21" s="19">
        <v>7</v>
      </c>
      <c r="G21" s="19">
        <v>1</v>
      </c>
      <c r="H21" s="19">
        <v>5</v>
      </c>
      <c r="I21" s="19">
        <v>4</v>
      </c>
      <c r="J21" s="13">
        <v>7</v>
      </c>
      <c r="K21" s="229">
        <v>15195384</v>
      </c>
      <c r="L21" s="230">
        <v>1</v>
      </c>
      <c r="M21" s="229">
        <v>1070000</v>
      </c>
      <c r="N21" s="231">
        <v>37721.1</v>
      </c>
      <c r="O21" s="232">
        <v>12</v>
      </c>
      <c r="P21" s="233">
        <v>102</v>
      </c>
      <c r="Q21" s="232">
        <v>1027</v>
      </c>
      <c r="R21" s="233">
        <v>10445</v>
      </c>
      <c r="S21" s="232">
        <v>102238</v>
      </c>
      <c r="T21" s="233">
        <v>991984</v>
      </c>
      <c r="U21" s="240"/>
      <c r="V21" s="228"/>
      <c r="X21" s="274"/>
    </row>
    <row r="22" spans="1:24" x14ac:dyDescent="0.15">
      <c r="A22" s="172">
        <v>8</v>
      </c>
      <c r="B22" s="173">
        <v>38035</v>
      </c>
      <c r="C22" s="174" t="s">
        <v>362</v>
      </c>
      <c r="D22" s="27">
        <v>9</v>
      </c>
      <c r="E22" s="27">
        <v>6</v>
      </c>
      <c r="F22" s="27">
        <v>2</v>
      </c>
      <c r="G22" s="27">
        <v>0</v>
      </c>
      <c r="H22" s="27">
        <v>0</v>
      </c>
      <c r="I22" s="27">
        <v>7</v>
      </c>
      <c r="J22" s="7">
        <v>6</v>
      </c>
      <c r="K22" s="222">
        <v>4959274.5</v>
      </c>
      <c r="L22" s="223">
        <v>1</v>
      </c>
      <c r="M22" s="224">
        <v>270000</v>
      </c>
      <c r="N22" s="225">
        <v>98504.7</v>
      </c>
      <c r="O22" s="226">
        <v>5</v>
      </c>
      <c r="P22" s="227">
        <v>32</v>
      </c>
      <c r="Q22" s="226">
        <v>292</v>
      </c>
      <c r="R22" s="227">
        <v>3194</v>
      </c>
      <c r="S22" s="226">
        <v>33209</v>
      </c>
      <c r="T22" s="227">
        <v>338142</v>
      </c>
      <c r="V22" s="228"/>
      <c r="X22" s="274"/>
    </row>
    <row r="23" spans="1:24" x14ac:dyDescent="0.15">
      <c r="A23" s="178"/>
      <c r="B23" s="179">
        <v>38038</v>
      </c>
      <c r="C23" s="180" t="s">
        <v>363</v>
      </c>
      <c r="D23" s="19">
        <v>2</v>
      </c>
      <c r="E23" s="19">
        <v>0</v>
      </c>
      <c r="F23" s="19">
        <v>3</v>
      </c>
      <c r="G23" s="19">
        <v>1</v>
      </c>
      <c r="H23" s="19">
        <v>9</v>
      </c>
      <c r="I23" s="19">
        <v>4</v>
      </c>
      <c r="J23" s="13">
        <v>0</v>
      </c>
      <c r="K23" s="229">
        <v>14436000</v>
      </c>
      <c r="L23" s="230" t="s">
        <v>23</v>
      </c>
      <c r="M23" s="229"/>
      <c r="N23" s="231">
        <v>1061385.8999999999</v>
      </c>
      <c r="O23" s="232">
        <v>7</v>
      </c>
      <c r="P23" s="233">
        <v>79</v>
      </c>
      <c r="Q23" s="232">
        <v>711</v>
      </c>
      <c r="R23" s="233">
        <v>6786</v>
      </c>
      <c r="S23" s="232">
        <v>67674</v>
      </c>
      <c r="T23" s="233">
        <v>679883</v>
      </c>
      <c r="V23" s="228"/>
      <c r="X23" s="274"/>
    </row>
    <row r="24" spans="1:24" x14ac:dyDescent="0.15">
      <c r="A24" s="172">
        <v>9</v>
      </c>
      <c r="B24" s="173">
        <v>38042</v>
      </c>
      <c r="C24" s="174" t="s">
        <v>362</v>
      </c>
      <c r="D24" s="27">
        <v>7</v>
      </c>
      <c r="E24" s="27">
        <v>8</v>
      </c>
      <c r="F24" s="27">
        <v>8</v>
      </c>
      <c r="G24" s="27">
        <v>4</v>
      </c>
      <c r="H24" s="27">
        <v>0</v>
      </c>
      <c r="I24" s="27">
        <v>0</v>
      </c>
      <c r="J24" s="7">
        <v>6</v>
      </c>
      <c r="K24" s="222">
        <v>4925242.5</v>
      </c>
      <c r="L24" s="223" t="s">
        <v>23</v>
      </c>
      <c r="M24" s="224"/>
      <c r="N24" s="225">
        <v>1389899.6</v>
      </c>
      <c r="O24" s="226">
        <v>4</v>
      </c>
      <c r="P24" s="227">
        <v>25</v>
      </c>
      <c r="Q24" s="226">
        <v>305</v>
      </c>
      <c r="R24" s="227">
        <v>2958</v>
      </c>
      <c r="S24" s="226">
        <v>30218</v>
      </c>
      <c r="T24" s="227">
        <v>341808</v>
      </c>
      <c r="V24" s="228"/>
      <c r="X24" s="274"/>
    </row>
    <row r="25" spans="1:24" x14ac:dyDescent="0.15">
      <c r="A25" s="178"/>
      <c r="B25" s="179">
        <v>38045</v>
      </c>
      <c r="C25" s="180" t="s">
        <v>363</v>
      </c>
      <c r="D25" s="19">
        <v>5</v>
      </c>
      <c r="E25" s="19">
        <v>2</v>
      </c>
      <c r="F25" s="19">
        <v>2</v>
      </c>
      <c r="G25" s="19">
        <v>6</v>
      </c>
      <c r="H25" s="19">
        <v>5</v>
      </c>
      <c r="I25" s="19">
        <v>1</v>
      </c>
      <c r="J25" s="13">
        <v>5</v>
      </c>
      <c r="K25" s="229">
        <v>14612902.5</v>
      </c>
      <c r="L25" s="230">
        <v>1</v>
      </c>
      <c r="M25" s="229">
        <v>2270000</v>
      </c>
      <c r="N25" s="231">
        <v>94580.2</v>
      </c>
      <c r="O25" s="232">
        <v>9</v>
      </c>
      <c r="P25" s="233">
        <v>96</v>
      </c>
      <c r="Q25" s="232">
        <v>952</v>
      </c>
      <c r="R25" s="233">
        <v>9914</v>
      </c>
      <c r="S25" s="232">
        <v>95529</v>
      </c>
      <c r="T25" s="233">
        <v>990314</v>
      </c>
      <c r="V25" s="228"/>
      <c r="X25" s="274"/>
    </row>
    <row r="26" spans="1:24" x14ac:dyDescent="0.15">
      <c r="A26" s="172">
        <v>10</v>
      </c>
      <c r="B26" s="173">
        <v>38049</v>
      </c>
      <c r="C26" s="174" t="s">
        <v>362</v>
      </c>
      <c r="D26" s="27">
        <v>9</v>
      </c>
      <c r="E26" s="27">
        <v>1</v>
      </c>
      <c r="F26" s="27">
        <v>4</v>
      </c>
      <c r="G26" s="27">
        <v>5</v>
      </c>
      <c r="H26" s="27">
        <v>6</v>
      </c>
      <c r="I26" s="27">
        <v>2</v>
      </c>
      <c r="J26" s="7">
        <v>6</v>
      </c>
      <c r="K26" s="222">
        <v>5449818</v>
      </c>
      <c r="L26" s="223" t="s">
        <v>23</v>
      </c>
      <c r="M26" s="224"/>
      <c r="N26" s="225">
        <v>458083.1</v>
      </c>
      <c r="O26" s="226">
        <v>2</v>
      </c>
      <c r="P26" s="227">
        <v>37</v>
      </c>
      <c r="Q26" s="226">
        <v>383</v>
      </c>
      <c r="R26" s="227">
        <v>3751</v>
      </c>
      <c r="S26" s="226">
        <v>37052</v>
      </c>
      <c r="T26" s="227">
        <v>374307</v>
      </c>
      <c r="V26" s="228"/>
      <c r="X26" s="274"/>
    </row>
    <row r="27" spans="1:24" x14ac:dyDescent="0.15">
      <c r="A27" s="178"/>
      <c r="B27" s="179">
        <v>38052</v>
      </c>
      <c r="C27" s="180" t="s">
        <v>363</v>
      </c>
      <c r="D27" s="19">
        <v>6</v>
      </c>
      <c r="E27" s="19">
        <v>0</v>
      </c>
      <c r="F27" s="19">
        <v>4</v>
      </c>
      <c r="G27" s="19">
        <v>9</v>
      </c>
      <c r="H27" s="19">
        <v>0</v>
      </c>
      <c r="I27" s="19">
        <v>0</v>
      </c>
      <c r="J27" s="13">
        <v>5</v>
      </c>
      <c r="K27" s="229">
        <v>15627078</v>
      </c>
      <c r="L27" s="230">
        <v>1</v>
      </c>
      <c r="M27" s="229">
        <v>1470000</v>
      </c>
      <c r="N27" s="231">
        <v>30409.200000000001</v>
      </c>
      <c r="O27" s="232">
        <v>3</v>
      </c>
      <c r="P27" s="233">
        <v>82</v>
      </c>
      <c r="Q27" s="232">
        <v>766</v>
      </c>
      <c r="R27" s="233">
        <v>7977</v>
      </c>
      <c r="S27" s="232">
        <v>91256</v>
      </c>
      <c r="T27" s="233">
        <v>1063559</v>
      </c>
      <c r="V27" s="228"/>
      <c r="X27" s="274"/>
    </row>
    <row r="28" spans="1:24" x14ac:dyDescent="0.15">
      <c r="A28" s="172">
        <v>11</v>
      </c>
      <c r="B28" s="173">
        <v>38056</v>
      </c>
      <c r="C28" s="174" t="s">
        <v>362</v>
      </c>
      <c r="D28" s="27">
        <v>3</v>
      </c>
      <c r="E28" s="27">
        <v>1</v>
      </c>
      <c r="F28" s="27">
        <v>0</v>
      </c>
      <c r="G28" s="27">
        <v>7</v>
      </c>
      <c r="H28" s="27">
        <v>5</v>
      </c>
      <c r="I28" s="27">
        <v>7</v>
      </c>
      <c r="J28" s="7">
        <v>8</v>
      </c>
      <c r="K28" s="222">
        <v>4945233</v>
      </c>
      <c r="L28" s="223" t="s">
        <v>23</v>
      </c>
      <c r="M28" s="224"/>
      <c r="N28" s="225">
        <v>360256.2</v>
      </c>
      <c r="O28" s="226">
        <v>2</v>
      </c>
      <c r="P28" s="227">
        <v>40</v>
      </c>
      <c r="Q28" s="226">
        <v>327</v>
      </c>
      <c r="R28" s="227">
        <v>3359</v>
      </c>
      <c r="S28" s="226">
        <v>33423</v>
      </c>
      <c r="T28" s="227">
        <v>331024</v>
      </c>
      <c r="V28" s="228"/>
      <c r="X28" s="274"/>
    </row>
    <row r="29" spans="1:24" x14ac:dyDescent="0.15">
      <c r="A29" s="178"/>
      <c r="B29" s="179">
        <v>38059</v>
      </c>
      <c r="C29" s="180" t="s">
        <v>363</v>
      </c>
      <c r="D29" s="19">
        <v>3</v>
      </c>
      <c r="E29" s="19">
        <v>4</v>
      </c>
      <c r="F29" s="19">
        <v>5</v>
      </c>
      <c r="G29" s="19">
        <v>1</v>
      </c>
      <c r="H29" s="19">
        <v>2</v>
      </c>
      <c r="I29" s="19">
        <v>3</v>
      </c>
      <c r="J29" s="13">
        <v>0</v>
      </c>
      <c r="K29" s="229">
        <v>14783881.5</v>
      </c>
      <c r="L29" s="230">
        <v>3</v>
      </c>
      <c r="M29" s="229">
        <v>370000</v>
      </c>
      <c r="N29" s="231">
        <v>236341.1</v>
      </c>
      <c r="O29" s="232">
        <v>4</v>
      </c>
      <c r="P29" s="233">
        <v>68</v>
      </c>
      <c r="Q29" s="232">
        <v>675</v>
      </c>
      <c r="R29" s="233">
        <v>7044</v>
      </c>
      <c r="S29" s="232">
        <v>69444</v>
      </c>
      <c r="T29" s="233">
        <v>699097</v>
      </c>
      <c r="V29" s="228"/>
      <c r="X29" s="274"/>
    </row>
    <row r="30" spans="1:24" x14ac:dyDescent="0.15">
      <c r="A30" s="172">
        <v>12</v>
      </c>
      <c r="B30" s="173">
        <v>38063</v>
      </c>
      <c r="C30" s="174" t="s">
        <v>362</v>
      </c>
      <c r="D30" s="27">
        <v>9</v>
      </c>
      <c r="E30" s="27">
        <v>5</v>
      </c>
      <c r="F30" s="27">
        <v>6</v>
      </c>
      <c r="G30" s="27">
        <v>5</v>
      </c>
      <c r="H30" s="27">
        <v>1</v>
      </c>
      <c r="I30" s="27">
        <v>5</v>
      </c>
      <c r="J30" s="7">
        <v>8</v>
      </c>
      <c r="K30" s="222">
        <v>5178895.5</v>
      </c>
      <c r="L30" s="223" t="s">
        <v>23</v>
      </c>
      <c r="M30" s="224"/>
      <c r="N30" s="225">
        <v>581773.4</v>
      </c>
      <c r="O30" s="226">
        <v>3</v>
      </c>
      <c r="P30" s="227">
        <v>28</v>
      </c>
      <c r="Q30" s="226">
        <v>376</v>
      </c>
      <c r="R30" s="227">
        <v>3421</v>
      </c>
      <c r="S30" s="226">
        <v>35273</v>
      </c>
      <c r="T30" s="227">
        <v>345492</v>
      </c>
      <c r="V30" s="228"/>
      <c r="X30" s="274"/>
    </row>
    <row r="31" spans="1:24" x14ac:dyDescent="0.15">
      <c r="A31" s="178"/>
      <c r="B31" s="179">
        <v>38066</v>
      </c>
      <c r="C31" s="180" t="s">
        <v>363</v>
      </c>
      <c r="D31" s="19">
        <v>7</v>
      </c>
      <c r="E31" s="19">
        <v>9</v>
      </c>
      <c r="F31" s="19">
        <v>6</v>
      </c>
      <c r="G31" s="19">
        <v>1</v>
      </c>
      <c r="H31" s="19">
        <v>7</v>
      </c>
      <c r="I31" s="19">
        <v>5</v>
      </c>
      <c r="J31" s="13">
        <v>2</v>
      </c>
      <c r="K31" s="229">
        <v>15598596</v>
      </c>
      <c r="L31" s="230">
        <v>1</v>
      </c>
      <c r="M31" s="229">
        <v>1570000</v>
      </c>
      <c r="N31" s="231">
        <v>52199.8</v>
      </c>
      <c r="O31" s="232">
        <v>10</v>
      </c>
      <c r="P31" s="233">
        <v>76</v>
      </c>
      <c r="Q31" s="232">
        <v>825</v>
      </c>
      <c r="R31" s="233">
        <v>8526</v>
      </c>
      <c r="S31" s="232">
        <v>83953</v>
      </c>
      <c r="T31" s="233">
        <v>815041</v>
      </c>
      <c r="V31" s="228"/>
      <c r="X31" s="274"/>
    </row>
    <row r="32" spans="1:24" x14ac:dyDescent="0.15">
      <c r="A32" s="172">
        <v>13</v>
      </c>
      <c r="B32" s="173">
        <v>38070</v>
      </c>
      <c r="C32" s="174" t="s">
        <v>362</v>
      </c>
      <c r="D32" s="27">
        <v>5</v>
      </c>
      <c r="E32" s="27">
        <v>5</v>
      </c>
      <c r="F32" s="27">
        <v>0</v>
      </c>
      <c r="G32" s="27">
        <v>1</v>
      </c>
      <c r="H32" s="27">
        <v>9</v>
      </c>
      <c r="I32" s="27">
        <v>9</v>
      </c>
      <c r="J32" s="7">
        <v>5</v>
      </c>
      <c r="K32" s="222">
        <v>4891606.5</v>
      </c>
      <c r="L32" s="223" t="s">
        <v>23</v>
      </c>
      <c r="M32" s="224"/>
      <c r="N32" s="225">
        <v>378470</v>
      </c>
      <c r="O32" s="226">
        <v>5</v>
      </c>
      <c r="P32" s="227">
        <v>24</v>
      </c>
      <c r="Q32" s="226">
        <v>311</v>
      </c>
      <c r="R32" s="227">
        <v>3019</v>
      </c>
      <c r="S32" s="226">
        <v>31520</v>
      </c>
      <c r="T32" s="227">
        <v>333633</v>
      </c>
      <c r="V32" s="228"/>
      <c r="X32" s="274"/>
    </row>
    <row r="33" spans="1:24" x14ac:dyDescent="0.15">
      <c r="A33" s="178"/>
      <c r="B33" s="179">
        <v>38073</v>
      </c>
      <c r="C33" s="180" t="s">
        <v>363</v>
      </c>
      <c r="D33" s="19">
        <v>7</v>
      </c>
      <c r="E33" s="19">
        <v>9</v>
      </c>
      <c r="F33" s="19">
        <v>5</v>
      </c>
      <c r="G33" s="19">
        <v>5</v>
      </c>
      <c r="H33" s="19">
        <v>2</v>
      </c>
      <c r="I33" s="19">
        <v>6</v>
      </c>
      <c r="J33" s="13">
        <v>6</v>
      </c>
      <c r="K33" s="229">
        <v>14427318</v>
      </c>
      <c r="L33" s="230">
        <v>1</v>
      </c>
      <c r="M33" s="229">
        <v>1270000</v>
      </c>
      <c r="N33" s="231">
        <v>70772.100000000006</v>
      </c>
      <c r="O33" s="232">
        <v>11</v>
      </c>
      <c r="P33" s="233">
        <v>98</v>
      </c>
      <c r="Q33" s="232">
        <v>880</v>
      </c>
      <c r="R33" s="233">
        <v>9797</v>
      </c>
      <c r="S33" s="232">
        <v>99533</v>
      </c>
      <c r="T33" s="233">
        <v>938327</v>
      </c>
      <c r="V33" s="228"/>
      <c r="X33" s="274"/>
    </row>
    <row r="34" spans="1:24" x14ac:dyDescent="0.15">
      <c r="A34" s="172">
        <v>14</v>
      </c>
      <c r="B34" s="173">
        <v>38077</v>
      </c>
      <c r="C34" s="174" t="s">
        <v>362</v>
      </c>
      <c r="D34" s="27">
        <v>8</v>
      </c>
      <c r="E34" s="27">
        <v>7</v>
      </c>
      <c r="F34" s="27">
        <v>1</v>
      </c>
      <c r="G34" s="27">
        <v>8</v>
      </c>
      <c r="H34" s="27">
        <v>9</v>
      </c>
      <c r="I34" s="27">
        <v>0</v>
      </c>
      <c r="J34" s="7">
        <v>0</v>
      </c>
      <c r="K34" s="222">
        <v>4755934.5</v>
      </c>
      <c r="L34" s="223">
        <v>1</v>
      </c>
      <c r="M34" s="224">
        <v>370000</v>
      </c>
      <c r="N34" s="225">
        <v>17992.900000000001</v>
      </c>
      <c r="O34" s="226">
        <v>1</v>
      </c>
      <c r="P34" s="227">
        <v>21</v>
      </c>
      <c r="Q34" s="226">
        <v>237</v>
      </c>
      <c r="R34" s="227">
        <v>2499</v>
      </c>
      <c r="S34" s="226">
        <v>26683</v>
      </c>
      <c r="T34" s="227">
        <v>224716</v>
      </c>
      <c r="V34" s="228"/>
      <c r="X34" s="274"/>
    </row>
    <row r="35" spans="1:24" x14ac:dyDescent="0.15">
      <c r="A35" s="178"/>
      <c r="B35" s="179">
        <v>38080</v>
      </c>
      <c r="C35" s="180" t="s">
        <v>363</v>
      </c>
      <c r="D35" s="19">
        <v>3</v>
      </c>
      <c r="E35" s="19">
        <v>9</v>
      </c>
      <c r="F35" s="19">
        <v>2</v>
      </c>
      <c r="G35" s="19">
        <v>4</v>
      </c>
      <c r="H35" s="19">
        <v>8</v>
      </c>
      <c r="I35" s="19">
        <v>4</v>
      </c>
      <c r="J35" s="13">
        <v>7</v>
      </c>
      <c r="K35" s="229">
        <v>14265159</v>
      </c>
      <c r="L35" s="230">
        <v>3</v>
      </c>
      <c r="M35" s="229">
        <v>270000</v>
      </c>
      <c r="N35" s="231">
        <v>159479</v>
      </c>
      <c r="O35" s="232">
        <v>8</v>
      </c>
      <c r="P35" s="233">
        <v>97</v>
      </c>
      <c r="Q35" s="232">
        <v>1022</v>
      </c>
      <c r="R35" s="233">
        <v>9652</v>
      </c>
      <c r="S35" s="232">
        <v>97027</v>
      </c>
      <c r="T35" s="233">
        <v>929415</v>
      </c>
      <c r="V35" s="228"/>
      <c r="X35" s="274"/>
    </row>
    <row r="36" spans="1:24" x14ac:dyDescent="0.15">
      <c r="A36" s="172">
        <v>15</v>
      </c>
      <c r="B36" s="173">
        <v>38084</v>
      </c>
      <c r="C36" s="174" t="s">
        <v>362</v>
      </c>
      <c r="D36" s="27">
        <v>2</v>
      </c>
      <c r="E36" s="27">
        <v>9</v>
      </c>
      <c r="F36" s="27">
        <v>7</v>
      </c>
      <c r="G36" s="27">
        <v>6</v>
      </c>
      <c r="H36" s="27">
        <v>8</v>
      </c>
      <c r="I36" s="27">
        <v>7</v>
      </c>
      <c r="J36" s="7">
        <v>1</v>
      </c>
      <c r="K36" s="222">
        <v>5153053.5</v>
      </c>
      <c r="L36" s="223" t="s">
        <v>23</v>
      </c>
      <c r="M36" s="224"/>
      <c r="N36" s="225">
        <v>503187.7</v>
      </c>
      <c r="O36" s="226">
        <v>2</v>
      </c>
      <c r="P36" s="227">
        <v>33</v>
      </c>
      <c r="Q36" s="226">
        <v>276</v>
      </c>
      <c r="R36" s="227">
        <v>2785</v>
      </c>
      <c r="S36" s="226">
        <v>27118</v>
      </c>
      <c r="T36" s="227">
        <v>275322</v>
      </c>
      <c r="V36" s="228"/>
      <c r="X36" s="274"/>
    </row>
    <row r="37" spans="1:24" x14ac:dyDescent="0.15">
      <c r="A37" s="178"/>
      <c r="B37" s="179">
        <v>38087</v>
      </c>
      <c r="C37" s="180" t="s">
        <v>363</v>
      </c>
      <c r="D37" s="19">
        <v>4</v>
      </c>
      <c r="E37" s="19">
        <v>4</v>
      </c>
      <c r="F37" s="19">
        <v>7</v>
      </c>
      <c r="G37" s="19">
        <v>1</v>
      </c>
      <c r="H37" s="19">
        <v>2</v>
      </c>
      <c r="I37" s="19">
        <v>5</v>
      </c>
      <c r="J37" s="13">
        <v>5</v>
      </c>
      <c r="K37" s="229">
        <v>15153538.5</v>
      </c>
      <c r="L37" s="230">
        <v>3</v>
      </c>
      <c r="M37" s="229">
        <v>470000</v>
      </c>
      <c r="N37" s="231">
        <v>103928.7</v>
      </c>
      <c r="O37" s="232">
        <v>6</v>
      </c>
      <c r="P37" s="233">
        <v>128</v>
      </c>
      <c r="Q37" s="232">
        <v>1147</v>
      </c>
      <c r="R37" s="233">
        <v>11016</v>
      </c>
      <c r="S37" s="232">
        <v>110322</v>
      </c>
      <c r="T37" s="233">
        <v>1025519</v>
      </c>
      <c r="V37" s="228"/>
      <c r="X37" s="274"/>
    </row>
    <row r="38" spans="1:24" x14ac:dyDescent="0.15">
      <c r="A38" s="172">
        <v>16</v>
      </c>
      <c r="B38" s="173">
        <v>38091</v>
      </c>
      <c r="C38" s="174" t="s">
        <v>362</v>
      </c>
      <c r="D38" s="27">
        <v>4</v>
      </c>
      <c r="E38" s="27">
        <v>7</v>
      </c>
      <c r="F38" s="27">
        <v>5</v>
      </c>
      <c r="G38" s="27">
        <v>4</v>
      </c>
      <c r="H38" s="27">
        <v>7</v>
      </c>
      <c r="I38" s="27">
        <v>7</v>
      </c>
      <c r="J38" s="7">
        <v>0</v>
      </c>
      <c r="K38" s="222">
        <v>4694527.5</v>
      </c>
      <c r="L38" s="223" t="s">
        <v>23</v>
      </c>
      <c r="M38" s="224"/>
      <c r="N38" s="225">
        <v>417053.7</v>
      </c>
      <c r="O38" s="226">
        <v>3</v>
      </c>
      <c r="P38" s="227">
        <v>21</v>
      </c>
      <c r="Q38" s="226">
        <v>214</v>
      </c>
      <c r="R38" s="227">
        <v>2317</v>
      </c>
      <c r="S38" s="226">
        <v>22529</v>
      </c>
      <c r="T38" s="227">
        <v>229441</v>
      </c>
      <c r="V38" s="228"/>
      <c r="X38" s="274"/>
    </row>
    <row r="39" spans="1:24" x14ac:dyDescent="0.15">
      <c r="A39" s="178"/>
      <c r="B39" s="179">
        <v>38094</v>
      </c>
      <c r="C39" s="180" t="s">
        <v>363</v>
      </c>
      <c r="D39" s="19">
        <v>8</v>
      </c>
      <c r="E39" s="19">
        <v>0</v>
      </c>
      <c r="F39" s="19">
        <v>4</v>
      </c>
      <c r="G39" s="19">
        <v>3</v>
      </c>
      <c r="H39" s="19">
        <v>0</v>
      </c>
      <c r="I39" s="19">
        <v>6</v>
      </c>
      <c r="J39" s="13">
        <v>2</v>
      </c>
      <c r="K39" s="229">
        <v>14092339.5</v>
      </c>
      <c r="L39" s="230" t="s">
        <v>23</v>
      </c>
      <c r="M39" s="229"/>
      <c r="N39" s="231">
        <v>1357012.7</v>
      </c>
      <c r="O39" s="232">
        <v>11</v>
      </c>
      <c r="P39" s="233">
        <v>60</v>
      </c>
      <c r="Q39" s="232">
        <v>681</v>
      </c>
      <c r="R39" s="233">
        <v>7205</v>
      </c>
      <c r="S39" s="232">
        <v>74664</v>
      </c>
      <c r="T39" s="233">
        <v>731633</v>
      </c>
      <c r="V39" s="228"/>
      <c r="X39" s="274"/>
    </row>
    <row r="40" spans="1:24" x14ac:dyDescent="0.15">
      <c r="A40" s="172">
        <v>17</v>
      </c>
      <c r="B40" s="173">
        <v>38098</v>
      </c>
      <c r="C40" s="174" t="s">
        <v>362</v>
      </c>
      <c r="D40" s="27">
        <v>3</v>
      </c>
      <c r="E40" s="27">
        <v>8</v>
      </c>
      <c r="F40" s="27">
        <v>6</v>
      </c>
      <c r="G40" s="27">
        <v>1</v>
      </c>
      <c r="H40" s="27">
        <v>4</v>
      </c>
      <c r="I40" s="27">
        <v>4</v>
      </c>
      <c r="J40" s="7">
        <v>3</v>
      </c>
      <c r="K40" s="222">
        <v>4629045</v>
      </c>
      <c r="L40" s="223">
        <v>1</v>
      </c>
      <c r="M40" s="224">
        <v>1570000</v>
      </c>
      <c r="N40" s="225">
        <v>95770</v>
      </c>
      <c r="O40" s="226">
        <v>2</v>
      </c>
      <c r="P40" s="227">
        <v>40</v>
      </c>
      <c r="Q40" s="226">
        <v>275</v>
      </c>
      <c r="R40" s="227">
        <v>2781</v>
      </c>
      <c r="S40" s="226">
        <v>28604</v>
      </c>
      <c r="T40" s="227">
        <v>282762</v>
      </c>
      <c r="V40" s="228"/>
      <c r="X40" s="274"/>
    </row>
    <row r="41" spans="1:24" x14ac:dyDescent="0.15">
      <c r="A41" s="178"/>
      <c r="B41" s="179">
        <v>38101</v>
      </c>
      <c r="C41" s="180" t="s">
        <v>363</v>
      </c>
      <c r="D41" s="19">
        <v>2</v>
      </c>
      <c r="E41" s="19">
        <v>3</v>
      </c>
      <c r="F41" s="19">
        <v>4</v>
      </c>
      <c r="G41" s="19">
        <v>5</v>
      </c>
      <c r="H41" s="19">
        <v>2</v>
      </c>
      <c r="I41" s="19">
        <v>3</v>
      </c>
      <c r="J41" s="13">
        <v>7</v>
      </c>
      <c r="K41" s="229">
        <v>13973625</v>
      </c>
      <c r="L41" s="230">
        <v>1</v>
      </c>
      <c r="M41" s="229">
        <v>970000</v>
      </c>
      <c r="N41" s="231">
        <v>57810.8</v>
      </c>
      <c r="O41" s="232">
        <v>5</v>
      </c>
      <c r="P41" s="233">
        <v>93</v>
      </c>
      <c r="Q41" s="232">
        <v>893</v>
      </c>
      <c r="R41" s="233">
        <v>9151</v>
      </c>
      <c r="S41" s="232">
        <v>90794</v>
      </c>
      <c r="T41" s="233">
        <v>915774</v>
      </c>
      <c r="V41" s="228"/>
      <c r="X41" s="274"/>
    </row>
    <row r="42" spans="1:24" x14ac:dyDescent="0.15">
      <c r="A42" s="172">
        <v>18</v>
      </c>
      <c r="B42" s="173">
        <v>38105</v>
      </c>
      <c r="C42" s="174" t="s">
        <v>362</v>
      </c>
      <c r="D42" s="27">
        <v>3</v>
      </c>
      <c r="E42" s="27">
        <v>4</v>
      </c>
      <c r="F42" s="27">
        <v>4</v>
      </c>
      <c r="G42" s="27">
        <v>6</v>
      </c>
      <c r="H42" s="27">
        <v>4</v>
      </c>
      <c r="I42" s="27">
        <v>5</v>
      </c>
      <c r="J42" s="7">
        <v>4</v>
      </c>
      <c r="K42" s="222">
        <v>4947939</v>
      </c>
      <c r="L42" s="234">
        <v>1</v>
      </c>
      <c r="M42" s="224">
        <v>370000</v>
      </c>
      <c r="N42" s="225">
        <v>17838.3</v>
      </c>
      <c r="O42" s="226" t="s">
        <v>17</v>
      </c>
      <c r="P42" s="227">
        <v>33</v>
      </c>
      <c r="Q42" s="226">
        <v>318</v>
      </c>
      <c r="R42" s="227">
        <v>3037</v>
      </c>
      <c r="S42" s="226">
        <v>30456</v>
      </c>
      <c r="T42" s="227">
        <v>282140</v>
      </c>
      <c r="V42" s="228"/>
      <c r="X42" s="274"/>
    </row>
    <row r="43" spans="1:24" x14ac:dyDescent="0.15">
      <c r="A43" s="178"/>
      <c r="B43" s="179">
        <v>38108</v>
      </c>
      <c r="C43" s="180" t="s">
        <v>363</v>
      </c>
      <c r="D43" s="19">
        <v>1</v>
      </c>
      <c r="E43" s="19">
        <v>7</v>
      </c>
      <c r="F43" s="19">
        <v>8</v>
      </c>
      <c r="G43" s="19">
        <v>9</v>
      </c>
      <c r="H43" s="19">
        <v>9</v>
      </c>
      <c r="I43" s="19">
        <v>7</v>
      </c>
      <c r="J43" s="13">
        <v>2</v>
      </c>
      <c r="K43" s="229">
        <v>14075499</v>
      </c>
      <c r="L43" s="237">
        <v>1</v>
      </c>
      <c r="M43" s="229">
        <v>870000</v>
      </c>
      <c r="N43" s="231">
        <v>86674.1</v>
      </c>
      <c r="O43" s="232">
        <v>3</v>
      </c>
      <c r="P43" s="233">
        <v>74</v>
      </c>
      <c r="Q43" s="232">
        <v>694</v>
      </c>
      <c r="R43" s="233">
        <v>7609</v>
      </c>
      <c r="S43" s="232">
        <v>73631</v>
      </c>
      <c r="T43" s="233">
        <v>734015</v>
      </c>
      <c r="V43" s="228"/>
      <c r="X43" s="274"/>
    </row>
    <row r="44" spans="1:24" x14ac:dyDescent="0.15">
      <c r="A44" s="172">
        <v>19</v>
      </c>
      <c r="B44" s="173">
        <v>38112</v>
      </c>
      <c r="C44" s="174" t="s">
        <v>362</v>
      </c>
      <c r="D44" s="27">
        <v>5</v>
      </c>
      <c r="E44" s="27">
        <v>1</v>
      </c>
      <c r="F44" s="27">
        <v>0</v>
      </c>
      <c r="G44" s="27">
        <v>5</v>
      </c>
      <c r="H44" s="27">
        <v>7</v>
      </c>
      <c r="I44" s="27">
        <v>1</v>
      </c>
      <c r="J44" s="7">
        <v>1</v>
      </c>
      <c r="K44" s="222">
        <v>4667902.5</v>
      </c>
      <c r="L44" s="234">
        <v>1</v>
      </c>
      <c r="M44" s="224">
        <v>370000</v>
      </c>
      <c r="N44" s="225">
        <v>28023.200000000001</v>
      </c>
      <c r="O44" s="226">
        <v>4</v>
      </c>
      <c r="P44" s="227">
        <v>28</v>
      </c>
      <c r="Q44" s="226">
        <v>272</v>
      </c>
      <c r="R44" s="227">
        <v>2600</v>
      </c>
      <c r="S44" s="226">
        <v>26845</v>
      </c>
      <c r="T44" s="227">
        <v>243490</v>
      </c>
      <c r="V44" s="228"/>
      <c r="X44" s="274"/>
    </row>
    <row r="45" spans="1:24" x14ac:dyDescent="0.15">
      <c r="A45" s="178"/>
      <c r="B45" s="179">
        <v>38115</v>
      </c>
      <c r="C45" s="180" t="s">
        <v>363</v>
      </c>
      <c r="D45" s="19">
        <v>8</v>
      </c>
      <c r="E45" s="19">
        <v>8</v>
      </c>
      <c r="F45" s="19">
        <v>9</v>
      </c>
      <c r="G45" s="19">
        <v>3</v>
      </c>
      <c r="H45" s="19">
        <v>9</v>
      </c>
      <c r="I45" s="19">
        <v>3</v>
      </c>
      <c r="J45" s="13">
        <v>8</v>
      </c>
      <c r="K45" s="229">
        <v>14280108</v>
      </c>
      <c r="L45" s="230">
        <v>1</v>
      </c>
      <c r="M45" s="229">
        <v>970000</v>
      </c>
      <c r="N45" s="231">
        <v>10506.4</v>
      </c>
      <c r="O45" s="232">
        <v>11</v>
      </c>
      <c r="P45" s="233">
        <v>108</v>
      </c>
      <c r="Q45" s="232">
        <v>1030</v>
      </c>
      <c r="R45" s="233">
        <v>10217</v>
      </c>
      <c r="S45" s="232">
        <v>100908</v>
      </c>
      <c r="T45" s="233">
        <v>968669</v>
      </c>
      <c r="V45" s="228"/>
      <c r="X45" s="274"/>
    </row>
    <row r="46" spans="1:24" x14ac:dyDescent="0.15">
      <c r="A46" s="172">
        <v>20</v>
      </c>
      <c r="B46" s="173">
        <v>38119</v>
      </c>
      <c r="C46" s="174" t="s">
        <v>362</v>
      </c>
      <c r="D46" s="27">
        <v>4</v>
      </c>
      <c r="E46" s="27">
        <v>0</v>
      </c>
      <c r="F46" s="27">
        <v>3</v>
      </c>
      <c r="G46" s="27">
        <v>5</v>
      </c>
      <c r="H46" s="27">
        <v>1</v>
      </c>
      <c r="I46" s="27">
        <v>6</v>
      </c>
      <c r="J46" s="7">
        <v>9</v>
      </c>
      <c r="K46" s="222">
        <v>4977468</v>
      </c>
      <c r="L46" s="223" t="s">
        <v>23</v>
      </c>
      <c r="M46" s="224"/>
      <c r="N46" s="225">
        <v>342503.5</v>
      </c>
      <c r="O46" s="226">
        <v>4</v>
      </c>
      <c r="P46" s="227">
        <v>28</v>
      </c>
      <c r="Q46" s="226">
        <v>281</v>
      </c>
      <c r="R46" s="227">
        <v>2916</v>
      </c>
      <c r="S46" s="226">
        <v>29283</v>
      </c>
      <c r="T46" s="227">
        <v>286919</v>
      </c>
      <c r="V46" s="228"/>
      <c r="X46" s="274"/>
    </row>
    <row r="47" spans="1:24" x14ac:dyDescent="0.15">
      <c r="A47" s="178"/>
      <c r="B47" s="179">
        <v>38122</v>
      </c>
      <c r="C47" s="180" t="s">
        <v>363</v>
      </c>
      <c r="D47" s="19">
        <v>9</v>
      </c>
      <c r="E47" s="19">
        <v>0</v>
      </c>
      <c r="F47" s="19">
        <v>2</v>
      </c>
      <c r="G47" s="19">
        <v>2</v>
      </c>
      <c r="H47" s="19">
        <v>3</v>
      </c>
      <c r="I47" s="19">
        <v>8</v>
      </c>
      <c r="J47" s="13">
        <v>0</v>
      </c>
      <c r="K47" s="229">
        <v>14060920.5</v>
      </c>
      <c r="L47" s="230" t="s">
        <v>23</v>
      </c>
      <c r="M47" s="229"/>
      <c r="N47" s="231">
        <v>1280366.8999999999</v>
      </c>
      <c r="O47" s="232">
        <v>7</v>
      </c>
      <c r="P47" s="233">
        <v>73</v>
      </c>
      <c r="Q47" s="232">
        <v>702</v>
      </c>
      <c r="R47" s="233">
        <v>6758</v>
      </c>
      <c r="S47" s="232">
        <v>66482</v>
      </c>
      <c r="T47" s="233">
        <v>672823</v>
      </c>
      <c r="V47" s="228"/>
      <c r="X47" s="274"/>
    </row>
    <row r="48" spans="1:24" x14ac:dyDescent="0.15">
      <c r="A48" s="172">
        <v>21</v>
      </c>
      <c r="B48" s="173">
        <v>38126</v>
      </c>
      <c r="C48" s="174" t="s">
        <v>362</v>
      </c>
      <c r="D48" s="27">
        <v>5</v>
      </c>
      <c r="E48" s="27">
        <v>3</v>
      </c>
      <c r="F48" s="27">
        <v>1</v>
      </c>
      <c r="G48" s="27">
        <v>7</v>
      </c>
      <c r="H48" s="27">
        <v>5</v>
      </c>
      <c r="I48" s="27">
        <v>5</v>
      </c>
      <c r="J48" s="7">
        <v>7</v>
      </c>
      <c r="K48" s="222">
        <v>4893690</v>
      </c>
      <c r="L48" s="223">
        <v>1</v>
      </c>
      <c r="M48" s="224">
        <v>1570000</v>
      </c>
      <c r="N48" s="225">
        <v>36776</v>
      </c>
      <c r="O48" s="226">
        <v>2</v>
      </c>
      <c r="P48" s="227">
        <v>28</v>
      </c>
      <c r="Q48" s="226">
        <v>324</v>
      </c>
      <c r="R48" s="227">
        <v>3123</v>
      </c>
      <c r="S48" s="226">
        <v>32524</v>
      </c>
      <c r="T48" s="227">
        <v>319449</v>
      </c>
      <c r="V48" s="228"/>
      <c r="X48" s="274"/>
    </row>
    <row r="49" spans="1:24" x14ac:dyDescent="0.15">
      <c r="A49" s="178"/>
      <c r="B49" s="179">
        <v>38129</v>
      </c>
      <c r="C49" s="180" t="s">
        <v>363</v>
      </c>
      <c r="D49" s="19">
        <v>9</v>
      </c>
      <c r="E49" s="19">
        <v>4</v>
      </c>
      <c r="F49" s="19">
        <v>3</v>
      </c>
      <c r="G49" s="19">
        <v>5</v>
      </c>
      <c r="H49" s="19">
        <v>8</v>
      </c>
      <c r="I49" s="19">
        <v>6</v>
      </c>
      <c r="J49" s="13">
        <v>7</v>
      </c>
      <c r="K49" s="229">
        <v>13893334.5</v>
      </c>
      <c r="L49" s="230">
        <v>1</v>
      </c>
      <c r="M49" s="229">
        <v>870000</v>
      </c>
      <c r="N49" s="231">
        <v>93461.4</v>
      </c>
      <c r="O49" s="232">
        <v>9</v>
      </c>
      <c r="P49" s="233">
        <v>108</v>
      </c>
      <c r="Q49" s="232">
        <v>928</v>
      </c>
      <c r="R49" s="233">
        <v>9107</v>
      </c>
      <c r="S49" s="232">
        <v>89750</v>
      </c>
      <c r="T49" s="233">
        <v>916077</v>
      </c>
      <c r="V49" s="228"/>
      <c r="X49" s="274"/>
    </row>
    <row r="50" spans="1:24" x14ac:dyDescent="0.15">
      <c r="A50" s="172">
        <v>22</v>
      </c>
      <c r="B50" s="173">
        <v>38133</v>
      </c>
      <c r="C50" s="174" t="s">
        <v>362</v>
      </c>
      <c r="D50" s="27">
        <v>7</v>
      </c>
      <c r="E50" s="27">
        <v>4</v>
      </c>
      <c r="F50" s="27">
        <v>0</v>
      </c>
      <c r="G50" s="27">
        <v>0</v>
      </c>
      <c r="H50" s="27">
        <v>8</v>
      </c>
      <c r="I50" s="27">
        <v>7</v>
      </c>
      <c r="J50" s="7">
        <v>8</v>
      </c>
      <c r="K50" s="222">
        <v>5410318.5</v>
      </c>
      <c r="L50" s="223" t="s">
        <v>23</v>
      </c>
      <c r="M50" s="224"/>
      <c r="N50" s="225">
        <v>454329.59999999998</v>
      </c>
      <c r="O50" s="226">
        <v>2</v>
      </c>
      <c r="P50" s="227">
        <v>33</v>
      </c>
      <c r="Q50" s="226">
        <v>356</v>
      </c>
      <c r="R50" s="227">
        <v>3722</v>
      </c>
      <c r="S50" s="226">
        <v>36243</v>
      </c>
      <c r="T50" s="227">
        <v>356266</v>
      </c>
      <c r="V50" s="228"/>
      <c r="X50" s="274"/>
    </row>
    <row r="51" spans="1:24" x14ac:dyDescent="0.15">
      <c r="A51" s="178"/>
      <c r="B51" s="179">
        <v>38136</v>
      </c>
      <c r="C51" s="180" t="s">
        <v>363</v>
      </c>
      <c r="D51" s="19">
        <v>0</v>
      </c>
      <c r="E51" s="19">
        <v>2</v>
      </c>
      <c r="F51" s="19">
        <v>6</v>
      </c>
      <c r="G51" s="19">
        <v>6</v>
      </c>
      <c r="H51" s="19">
        <v>7</v>
      </c>
      <c r="I51" s="19">
        <v>8</v>
      </c>
      <c r="J51" s="13">
        <v>8</v>
      </c>
      <c r="K51" s="229">
        <v>16131612</v>
      </c>
      <c r="L51" s="230">
        <v>1</v>
      </c>
      <c r="M51" s="229">
        <v>1470000</v>
      </c>
      <c r="N51" s="231">
        <v>60308.1</v>
      </c>
      <c r="O51" s="232">
        <v>6</v>
      </c>
      <c r="P51" s="233">
        <v>93</v>
      </c>
      <c r="Q51" s="232">
        <v>1060</v>
      </c>
      <c r="R51" s="233">
        <v>10661</v>
      </c>
      <c r="S51" s="232">
        <v>108290</v>
      </c>
      <c r="T51" s="233">
        <v>1087852</v>
      </c>
      <c r="V51" s="228"/>
      <c r="X51" s="274"/>
    </row>
    <row r="52" spans="1:24" x14ac:dyDescent="0.15">
      <c r="A52" s="172">
        <v>23</v>
      </c>
      <c r="B52" s="173">
        <v>38140</v>
      </c>
      <c r="C52" s="174" t="s">
        <v>362</v>
      </c>
      <c r="D52" s="27">
        <v>3</v>
      </c>
      <c r="E52" s="27">
        <v>4</v>
      </c>
      <c r="F52" s="27">
        <v>8</v>
      </c>
      <c r="G52" s="27">
        <v>3</v>
      </c>
      <c r="H52" s="27">
        <v>8</v>
      </c>
      <c r="I52" s="27">
        <v>3</v>
      </c>
      <c r="J52" s="7">
        <v>5</v>
      </c>
      <c r="K52" s="222">
        <v>4765267.5</v>
      </c>
      <c r="L52" s="223" t="s">
        <v>23</v>
      </c>
      <c r="M52" s="224"/>
      <c r="N52" s="225">
        <v>378151.4</v>
      </c>
      <c r="O52" s="226">
        <v>1</v>
      </c>
      <c r="P52" s="227">
        <v>35</v>
      </c>
      <c r="Q52" s="226">
        <v>303</v>
      </c>
      <c r="R52" s="227">
        <v>3353</v>
      </c>
      <c r="S52" s="226">
        <v>34189</v>
      </c>
      <c r="T52" s="227">
        <v>330099</v>
      </c>
      <c r="V52" s="228"/>
      <c r="X52" s="274"/>
    </row>
    <row r="53" spans="1:24" x14ac:dyDescent="0.15">
      <c r="A53" s="178"/>
      <c r="B53" s="179">
        <v>38143</v>
      </c>
      <c r="C53" s="180" t="s">
        <v>363</v>
      </c>
      <c r="D53" s="19">
        <v>2</v>
      </c>
      <c r="E53" s="19">
        <v>8</v>
      </c>
      <c r="F53" s="19">
        <v>1</v>
      </c>
      <c r="G53" s="19">
        <v>6</v>
      </c>
      <c r="H53" s="19">
        <v>3</v>
      </c>
      <c r="I53" s="19">
        <v>4</v>
      </c>
      <c r="J53" s="13">
        <v>6</v>
      </c>
      <c r="K53" s="229">
        <v>14096940</v>
      </c>
      <c r="L53" s="230">
        <v>1</v>
      </c>
      <c r="M53" s="229">
        <v>1270000</v>
      </c>
      <c r="N53" s="231">
        <v>48417.3</v>
      </c>
      <c r="O53" s="232">
        <v>14</v>
      </c>
      <c r="P53" s="233">
        <v>98</v>
      </c>
      <c r="Q53" s="232">
        <v>928</v>
      </c>
      <c r="R53" s="233">
        <v>9462</v>
      </c>
      <c r="S53" s="232">
        <v>94072</v>
      </c>
      <c r="T53" s="233">
        <v>905690</v>
      </c>
      <c r="V53" s="228"/>
      <c r="X53" s="274"/>
    </row>
    <row r="54" spans="1:24" x14ac:dyDescent="0.15">
      <c r="A54" s="172">
        <v>24</v>
      </c>
      <c r="B54" s="173">
        <v>38147</v>
      </c>
      <c r="C54" s="174" t="s">
        <v>362</v>
      </c>
      <c r="D54" s="27">
        <v>5</v>
      </c>
      <c r="E54" s="27">
        <v>3</v>
      </c>
      <c r="F54" s="27">
        <v>7</v>
      </c>
      <c r="G54" s="27">
        <v>8</v>
      </c>
      <c r="H54" s="27">
        <v>7</v>
      </c>
      <c r="I54" s="27">
        <v>7</v>
      </c>
      <c r="J54" s="7">
        <v>4</v>
      </c>
      <c r="K54" s="222">
        <v>4664154</v>
      </c>
      <c r="L54" s="223" t="s">
        <v>23</v>
      </c>
      <c r="M54" s="224"/>
      <c r="N54" s="225">
        <v>359516.4</v>
      </c>
      <c r="O54" s="226">
        <v>4</v>
      </c>
      <c r="P54" s="227">
        <v>26</v>
      </c>
      <c r="Q54" s="226">
        <v>244</v>
      </c>
      <c r="R54" s="227">
        <v>2443</v>
      </c>
      <c r="S54" s="226">
        <v>26041</v>
      </c>
      <c r="T54" s="227">
        <v>262591</v>
      </c>
      <c r="V54" s="228"/>
      <c r="X54" s="274"/>
    </row>
    <row r="55" spans="1:24" x14ac:dyDescent="0.15">
      <c r="A55" s="178"/>
      <c r="B55" s="179">
        <v>38150</v>
      </c>
      <c r="C55" s="180" t="s">
        <v>363</v>
      </c>
      <c r="D55" s="19">
        <v>5</v>
      </c>
      <c r="E55" s="19">
        <v>6</v>
      </c>
      <c r="F55" s="19">
        <v>8</v>
      </c>
      <c r="G55" s="19">
        <v>3</v>
      </c>
      <c r="H55" s="19">
        <v>8</v>
      </c>
      <c r="I55" s="19">
        <v>6</v>
      </c>
      <c r="J55" s="13">
        <v>7</v>
      </c>
      <c r="K55" s="229">
        <v>13591450.5</v>
      </c>
      <c r="L55" s="230" t="s">
        <v>23</v>
      </c>
      <c r="M55" s="229"/>
      <c r="N55" s="231">
        <v>1266066.1000000001</v>
      </c>
      <c r="O55" s="232">
        <v>9</v>
      </c>
      <c r="P55" s="233">
        <v>89</v>
      </c>
      <c r="Q55" s="232">
        <v>905</v>
      </c>
      <c r="R55" s="233">
        <v>9104</v>
      </c>
      <c r="S55" s="232">
        <v>89398</v>
      </c>
      <c r="T55" s="233">
        <v>904483</v>
      </c>
      <c r="V55" s="228"/>
      <c r="X55" s="274"/>
    </row>
    <row r="56" spans="1:24" x14ac:dyDescent="0.15">
      <c r="A56" s="172">
        <v>25</v>
      </c>
      <c r="B56" s="173">
        <v>38154</v>
      </c>
      <c r="C56" s="174" t="s">
        <v>362</v>
      </c>
      <c r="D56" s="27">
        <v>0</v>
      </c>
      <c r="E56" s="27">
        <v>3</v>
      </c>
      <c r="F56" s="27">
        <v>6</v>
      </c>
      <c r="G56" s="27">
        <v>4</v>
      </c>
      <c r="H56" s="27">
        <v>0</v>
      </c>
      <c r="I56" s="27">
        <v>3</v>
      </c>
      <c r="J56" s="7">
        <v>5</v>
      </c>
      <c r="K56" s="222">
        <v>4548615</v>
      </c>
      <c r="L56" s="234">
        <v>2</v>
      </c>
      <c r="M56" s="224">
        <v>770000</v>
      </c>
      <c r="N56" s="225">
        <v>29458.7</v>
      </c>
      <c r="O56" s="226">
        <v>3</v>
      </c>
      <c r="P56" s="227">
        <v>34</v>
      </c>
      <c r="Q56" s="226">
        <v>345</v>
      </c>
      <c r="R56" s="227">
        <v>3029</v>
      </c>
      <c r="S56" s="226">
        <v>33213</v>
      </c>
      <c r="T56" s="227">
        <v>315663</v>
      </c>
      <c r="U56" s="240"/>
      <c r="V56" s="275"/>
      <c r="X56" s="274"/>
    </row>
    <row r="57" spans="1:24" x14ac:dyDescent="0.15">
      <c r="A57" s="178"/>
      <c r="B57" s="179">
        <v>38157</v>
      </c>
      <c r="C57" s="180" t="s">
        <v>363</v>
      </c>
      <c r="D57" s="19">
        <v>9</v>
      </c>
      <c r="E57" s="19">
        <v>1</v>
      </c>
      <c r="F57" s="19">
        <v>4</v>
      </c>
      <c r="G57" s="19">
        <v>4</v>
      </c>
      <c r="H57" s="19">
        <v>9</v>
      </c>
      <c r="I57" s="19">
        <v>2</v>
      </c>
      <c r="J57" s="13">
        <v>4</v>
      </c>
      <c r="K57" s="229">
        <v>14222820</v>
      </c>
      <c r="L57" s="230">
        <v>1</v>
      </c>
      <c r="M57" s="229">
        <v>970000</v>
      </c>
      <c r="N57" s="231">
        <v>8120.8</v>
      </c>
      <c r="O57" s="232">
        <v>8</v>
      </c>
      <c r="P57" s="233">
        <v>71</v>
      </c>
      <c r="Q57" s="232">
        <v>863</v>
      </c>
      <c r="R57" s="233">
        <v>8153</v>
      </c>
      <c r="S57" s="232">
        <v>82204</v>
      </c>
      <c r="T57" s="233">
        <v>806176</v>
      </c>
      <c r="V57" s="228"/>
      <c r="X57" s="274"/>
    </row>
    <row r="58" spans="1:24" x14ac:dyDescent="0.15">
      <c r="A58" s="172">
        <v>26</v>
      </c>
      <c r="B58" s="173">
        <v>38161</v>
      </c>
      <c r="C58" s="174" t="s">
        <v>362</v>
      </c>
      <c r="D58" s="27">
        <v>1</v>
      </c>
      <c r="E58" s="27">
        <v>4</v>
      </c>
      <c r="F58" s="27">
        <v>5</v>
      </c>
      <c r="G58" s="27">
        <v>0</v>
      </c>
      <c r="H58" s="27">
        <v>8</v>
      </c>
      <c r="I58" s="27">
        <v>1</v>
      </c>
      <c r="J58" s="7">
        <v>1</v>
      </c>
      <c r="K58" s="222">
        <v>4909134</v>
      </c>
      <c r="L58" s="223" t="s">
        <v>23</v>
      </c>
      <c r="M58" s="224"/>
      <c r="N58" s="225">
        <v>335560</v>
      </c>
      <c r="O58" s="226">
        <v>2</v>
      </c>
      <c r="P58" s="227">
        <v>25</v>
      </c>
      <c r="Q58" s="226">
        <v>278</v>
      </c>
      <c r="R58" s="227">
        <v>2665</v>
      </c>
      <c r="S58" s="226">
        <v>28257</v>
      </c>
      <c r="T58" s="227">
        <v>257869</v>
      </c>
      <c r="V58" s="228"/>
      <c r="X58" s="274"/>
    </row>
    <row r="59" spans="1:24" x14ac:dyDescent="0.15">
      <c r="A59" s="178"/>
      <c r="B59" s="179">
        <v>38164</v>
      </c>
      <c r="C59" s="180" t="s">
        <v>363</v>
      </c>
      <c r="D59" s="38">
        <v>7</v>
      </c>
      <c r="E59" s="38">
        <v>3</v>
      </c>
      <c r="F59" s="38">
        <v>9</v>
      </c>
      <c r="G59" s="38">
        <v>2</v>
      </c>
      <c r="H59" s="38">
        <v>1</v>
      </c>
      <c r="I59" s="38">
        <v>6</v>
      </c>
      <c r="J59" s="39">
        <v>7</v>
      </c>
      <c r="K59" s="229">
        <v>14698417.5</v>
      </c>
      <c r="L59" s="230" t="s">
        <v>23</v>
      </c>
      <c r="M59" s="229"/>
      <c r="N59" s="231">
        <v>1315944.3999999999</v>
      </c>
      <c r="O59" s="232">
        <v>13</v>
      </c>
      <c r="P59" s="233">
        <v>100</v>
      </c>
      <c r="Q59" s="232">
        <v>963</v>
      </c>
      <c r="R59" s="233">
        <v>9831</v>
      </c>
      <c r="S59" s="232">
        <v>98226</v>
      </c>
      <c r="T59" s="233">
        <v>982019</v>
      </c>
      <c r="V59" s="228"/>
      <c r="X59" s="274"/>
    </row>
    <row r="60" spans="1:24" x14ac:dyDescent="0.15">
      <c r="A60" s="45"/>
      <c r="B60" s="46"/>
      <c r="C60" s="46"/>
      <c r="D60" s="276"/>
      <c r="E60" s="276"/>
      <c r="F60" s="276"/>
      <c r="G60" s="276"/>
      <c r="H60" s="276"/>
      <c r="I60" s="276" t="s">
        <v>24</v>
      </c>
      <c r="J60" s="276"/>
      <c r="K60" s="277"/>
      <c r="L60" s="278">
        <f>SUM(L8:L59)</f>
        <v>39</v>
      </c>
      <c r="M60" s="229"/>
      <c r="N60" s="278"/>
      <c r="O60" s="278">
        <f t="shared" ref="O60:T60" si="0">SUM(O8:O59)</f>
        <v>307</v>
      </c>
      <c r="P60" s="278">
        <f t="shared" si="0"/>
        <v>3265</v>
      </c>
      <c r="Q60" s="278">
        <f t="shared" si="0"/>
        <v>32180</v>
      </c>
      <c r="R60" s="278">
        <f t="shared" si="0"/>
        <v>323963</v>
      </c>
      <c r="S60" s="278">
        <f t="shared" si="0"/>
        <v>3245326</v>
      </c>
      <c r="T60" s="272">
        <f t="shared" si="0"/>
        <v>32134033</v>
      </c>
      <c r="V60" s="228"/>
      <c r="X60" s="274"/>
    </row>
    <row r="63" spans="1:24" x14ac:dyDescent="0.15">
      <c r="K63" s="254"/>
    </row>
    <row r="64" spans="1:24" ht="12.75" x14ac:dyDescent="0.2">
      <c r="A64" s="1" t="s">
        <v>364</v>
      </c>
      <c r="T64" s="3" t="s">
        <v>420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2004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366</v>
      </c>
      <c r="M68" s="18"/>
      <c r="N68" s="13" t="s">
        <v>367</v>
      </c>
      <c r="O68" s="239">
        <v>70000</v>
      </c>
      <c r="P68" s="239">
        <v>7000</v>
      </c>
      <c r="Q68" s="239">
        <v>700</v>
      </c>
      <c r="R68" s="239">
        <v>70</v>
      </c>
      <c r="S68" s="239">
        <v>7</v>
      </c>
      <c r="T68" s="239">
        <v>2.5</v>
      </c>
    </row>
    <row r="69" spans="1:24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38168</v>
      </c>
      <c r="C70" s="174" t="s">
        <v>362</v>
      </c>
      <c r="D70" s="27">
        <v>2</v>
      </c>
      <c r="E70" s="27">
        <v>6</v>
      </c>
      <c r="F70" s="27">
        <v>7</v>
      </c>
      <c r="G70" s="27">
        <v>1</v>
      </c>
      <c r="H70" s="27">
        <v>0</v>
      </c>
      <c r="I70" s="27">
        <v>6</v>
      </c>
      <c r="J70" s="7">
        <v>8</v>
      </c>
      <c r="K70" s="222">
        <v>4693831.5</v>
      </c>
      <c r="L70" s="223">
        <v>1</v>
      </c>
      <c r="M70" s="224">
        <v>1570000</v>
      </c>
      <c r="N70" s="225">
        <v>59023</v>
      </c>
      <c r="O70" s="226">
        <v>1</v>
      </c>
      <c r="P70" s="227">
        <v>31</v>
      </c>
      <c r="Q70" s="226">
        <v>317</v>
      </c>
      <c r="R70" s="227">
        <v>2979</v>
      </c>
      <c r="S70" s="226">
        <v>32037</v>
      </c>
      <c r="T70" s="227">
        <v>316363</v>
      </c>
      <c r="U70" s="240"/>
      <c r="V70" s="275"/>
      <c r="X70" s="274"/>
    </row>
    <row r="71" spans="1:24" x14ac:dyDescent="0.15">
      <c r="A71" s="178"/>
      <c r="B71" s="179">
        <v>38171</v>
      </c>
      <c r="C71" s="180" t="s">
        <v>363</v>
      </c>
      <c r="D71" s="19">
        <v>0</v>
      </c>
      <c r="E71" s="19">
        <v>7</v>
      </c>
      <c r="F71" s="19">
        <v>4</v>
      </c>
      <c r="G71" s="19">
        <v>9</v>
      </c>
      <c r="H71" s="19">
        <v>9</v>
      </c>
      <c r="I71" s="19">
        <v>5</v>
      </c>
      <c r="J71" s="13">
        <v>2</v>
      </c>
      <c r="K71" s="229">
        <v>14095839</v>
      </c>
      <c r="L71" s="230">
        <v>2</v>
      </c>
      <c r="M71" s="229">
        <v>470000</v>
      </c>
      <c r="N71" s="231">
        <v>59215.5</v>
      </c>
      <c r="O71" s="232">
        <v>9</v>
      </c>
      <c r="P71" s="233">
        <v>84</v>
      </c>
      <c r="Q71" s="232">
        <v>757</v>
      </c>
      <c r="R71" s="233">
        <v>7791</v>
      </c>
      <c r="S71" s="232">
        <v>76388</v>
      </c>
      <c r="T71" s="233">
        <v>734986</v>
      </c>
      <c r="V71" s="228"/>
      <c r="X71" s="274"/>
    </row>
    <row r="72" spans="1:24" x14ac:dyDescent="0.15">
      <c r="A72" s="172">
        <v>28</v>
      </c>
      <c r="B72" s="173">
        <v>38175</v>
      </c>
      <c r="C72" s="174" t="s">
        <v>362</v>
      </c>
      <c r="D72" s="27">
        <v>9</v>
      </c>
      <c r="E72" s="27">
        <v>6</v>
      </c>
      <c r="F72" s="27">
        <v>7</v>
      </c>
      <c r="G72" s="27">
        <v>7</v>
      </c>
      <c r="H72" s="27">
        <v>6</v>
      </c>
      <c r="I72" s="27">
        <v>7</v>
      </c>
      <c r="J72" s="7">
        <v>8</v>
      </c>
      <c r="K72" s="222">
        <v>4966417.5</v>
      </c>
      <c r="L72" s="223" t="s">
        <v>23</v>
      </c>
      <c r="M72" s="224"/>
      <c r="N72" s="225">
        <v>390475.5</v>
      </c>
      <c r="O72" s="226">
        <v>3</v>
      </c>
      <c r="P72" s="227">
        <v>49</v>
      </c>
      <c r="Q72" s="226">
        <v>341</v>
      </c>
      <c r="R72" s="227">
        <v>3570</v>
      </c>
      <c r="S72" s="226">
        <v>34071</v>
      </c>
      <c r="T72" s="227">
        <v>332640</v>
      </c>
      <c r="V72" s="228"/>
      <c r="X72" s="274"/>
    </row>
    <row r="73" spans="1:24" x14ac:dyDescent="0.15">
      <c r="A73" s="178"/>
      <c r="B73" s="179">
        <v>38178</v>
      </c>
      <c r="C73" s="180" t="s">
        <v>363</v>
      </c>
      <c r="D73" s="19">
        <v>7</v>
      </c>
      <c r="E73" s="19">
        <v>1</v>
      </c>
      <c r="F73" s="19">
        <v>9</v>
      </c>
      <c r="G73" s="19">
        <v>9</v>
      </c>
      <c r="H73" s="19">
        <v>2</v>
      </c>
      <c r="I73" s="19">
        <v>7</v>
      </c>
      <c r="J73" s="13">
        <v>1</v>
      </c>
      <c r="K73" s="229">
        <v>14947068</v>
      </c>
      <c r="L73" s="230">
        <v>2</v>
      </c>
      <c r="M73" s="229">
        <v>670000</v>
      </c>
      <c r="N73" s="231">
        <v>47444.9</v>
      </c>
      <c r="O73" s="232">
        <v>7</v>
      </c>
      <c r="P73" s="233">
        <v>82</v>
      </c>
      <c r="Q73" s="232">
        <v>808</v>
      </c>
      <c r="R73" s="233">
        <v>7803</v>
      </c>
      <c r="S73" s="232">
        <v>78173</v>
      </c>
      <c r="T73" s="233">
        <v>777435</v>
      </c>
      <c r="V73" s="228"/>
      <c r="X73" s="274"/>
    </row>
    <row r="74" spans="1:24" x14ac:dyDescent="0.15">
      <c r="A74" s="172">
        <v>29</v>
      </c>
      <c r="B74" s="173">
        <v>38182</v>
      </c>
      <c r="C74" s="174" t="s">
        <v>362</v>
      </c>
      <c r="D74" s="27">
        <v>2</v>
      </c>
      <c r="E74" s="27">
        <v>3</v>
      </c>
      <c r="F74" s="27">
        <v>1</v>
      </c>
      <c r="G74" s="27">
        <v>2</v>
      </c>
      <c r="H74" s="27">
        <v>4</v>
      </c>
      <c r="I74" s="27">
        <v>4</v>
      </c>
      <c r="J74" s="7">
        <v>7</v>
      </c>
      <c r="K74" s="222">
        <v>4705585.5</v>
      </c>
      <c r="L74" s="223" t="s">
        <v>23</v>
      </c>
      <c r="M74" s="224"/>
      <c r="N74" s="225">
        <v>361307.5</v>
      </c>
      <c r="O74" s="226">
        <v>3</v>
      </c>
      <c r="P74" s="227">
        <v>40</v>
      </c>
      <c r="Q74" s="226">
        <v>310</v>
      </c>
      <c r="R74" s="227">
        <v>3201</v>
      </c>
      <c r="S74" s="226">
        <v>32290</v>
      </c>
      <c r="T74" s="227">
        <v>312952</v>
      </c>
      <c r="V74" s="228"/>
      <c r="X74" s="274"/>
    </row>
    <row r="75" spans="1:24" x14ac:dyDescent="0.15">
      <c r="A75" s="178"/>
      <c r="B75" s="179">
        <v>38185</v>
      </c>
      <c r="C75" s="180" t="s">
        <v>363</v>
      </c>
      <c r="D75" s="19">
        <v>1</v>
      </c>
      <c r="E75" s="19">
        <v>3</v>
      </c>
      <c r="F75" s="19">
        <v>4</v>
      </c>
      <c r="G75" s="19">
        <v>5</v>
      </c>
      <c r="H75" s="19">
        <v>4</v>
      </c>
      <c r="I75" s="19">
        <v>0</v>
      </c>
      <c r="J75" s="13">
        <v>7</v>
      </c>
      <c r="K75" s="229">
        <v>13863681</v>
      </c>
      <c r="L75" s="230">
        <v>2</v>
      </c>
      <c r="M75" s="229">
        <v>570000</v>
      </c>
      <c r="N75" s="231">
        <v>146015</v>
      </c>
      <c r="O75" s="232">
        <v>6</v>
      </c>
      <c r="P75" s="233">
        <v>68</v>
      </c>
      <c r="Q75" s="232">
        <v>851</v>
      </c>
      <c r="R75" s="233">
        <v>7983</v>
      </c>
      <c r="S75" s="232">
        <v>80387</v>
      </c>
      <c r="T75" s="233">
        <v>948310</v>
      </c>
      <c r="V75" s="228"/>
      <c r="X75" s="274"/>
    </row>
    <row r="76" spans="1:24" x14ac:dyDescent="0.15">
      <c r="A76" s="172">
        <v>30</v>
      </c>
      <c r="B76" s="173">
        <v>38189</v>
      </c>
      <c r="C76" s="174" t="s">
        <v>362</v>
      </c>
      <c r="D76" s="27">
        <v>4</v>
      </c>
      <c r="E76" s="27">
        <v>7</v>
      </c>
      <c r="F76" s="27">
        <v>9</v>
      </c>
      <c r="G76" s="27">
        <v>8</v>
      </c>
      <c r="H76" s="27">
        <v>3</v>
      </c>
      <c r="I76" s="27">
        <v>4</v>
      </c>
      <c r="J76" s="7">
        <v>7</v>
      </c>
      <c r="K76" s="222">
        <v>4512820.5</v>
      </c>
      <c r="L76" s="223" t="s">
        <v>23</v>
      </c>
      <c r="M76" s="224"/>
      <c r="N76" s="225">
        <v>447020.1</v>
      </c>
      <c r="O76" s="226">
        <v>4</v>
      </c>
      <c r="P76" s="227">
        <v>42</v>
      </c>
      <c r="Q76" s="226">
        <v>312</v>
      </c>
      <c r="R76" s="227">
        <v>3095</v>
      </c>
      <c r="S76" s="226">
        <v>31257</v>
      </c>
      <c r="T76" s="227">
        <v>300620</v>
      </c>
      <c r="V76" s="228"/>
      <c r="X76" s="274"/>
    </row>
    <row r="77" spans="1:24" x14ac:dyDescent="0.15">
      <c r="A77" s="178"/>
      <c r="B77" s="179">
        <v>38192</v>
      </c>
      <c r="C77" s="180" t="s">
        <v>363</v>
      </c>
      <c r="D77" s="19">
        <v>1</v>
      </c>
      <c r="E77" s="19">
        <v>1</v>
      </c>
      <c r="F77" s="19">
        <v>3</v>
      </c>
      <c r="G77" s="19">
        <v>8</v>
      </c>
      <c r="H77" s="19">
        <v>3</v>
      </c>
      <c r="I77" s="19">
        <v>4</v>
      </c>
      <c r="J77" s="13">
        <v>1</v>
      </c>
      <c r="K77" s="229">
        <v>13635874.5</v>
      </c>
      <c r="L77" s="230" t="s">
        <v>23</v>
      </c>
      <c r="M77" s="229"/>
      <c r="N77" s="231">
        <v>1356532.9</v>
      </c>
      <c r="O77" s="232">
        <v>5</v>
      </c>
      <c r="P77" s="233">
        <v>60</v>
      </c>
      <c r="Q77" s="232">
        <v>709</v>
      </c>
      <c r="R77" s="233">
        <v>7287</v>
      </c>
      <c r="S77" s="232">
        <v>70027</v>
      </c>
      <c r="T77" s="233">
        <v>709189</v>
      </c>
      <c r="V77" s="228"/>
      <c r="X77" s="274"/>
    </row>
    <row r="78" spans="1:24" x14ac:dyDescent="0.15">
      <c r="A78" s="172">
        <v>31</v>
      </c>
      <c r="B78" s="173">
        <v>38196</v>
      </c>
      <c r="C78" s="174" t="s">
        <v>362</v>
      </c>
      <c r="D78" s="27">
        <v>2</v>
      </c>
      <c r="E78" s="27">
        <v>7</v>
      </c>
      <c r="F78" s="27">
        <v>5</v>
      </c>
      <c r="G78" s="27">
        <v>6</v>
      </c>
      <c r="H78" s="27">
        <v>8</v>
      </c>
      <c r="I78" s="27">
        <v>2</v>
      </c>
      <c r="J78" s="7">
        <v>9</v>
      </c>
      <c r="K78" s="222">
        <v>4476699</v>
      </c>
      <c r="L78" s="223" t="s">
        <v>23</v>
      </c>
      <c r="M78" s="224"/>
      <c r="N78" s="225">
        <v>1655128.7</v>
      </c>
      <c r="O78" s="226">
        <v>4</v>
      </c>
      <c r="P78" s="227">
        <v>28</v>
      </c>
      <c r="Q78" s="226">
        <v>258</v>
      </c>
      <c r="R78" s="227">
        <v>2561</v>
      </c>
      <c r="S78" s="226">
        <v>25533</v>
      </c>
      <c r="T78" s="227">
        <v>254602</v>
      </c>
      <c r="V78" s="228"/>
      <c r="X78" s="274"/>
    </row>
    <row r="79" spans="1:24" x14ac:dyDescent="0.15">
      <c r="A79" s="178"/>
      <c r="B79" s="179">
        <v>38199</v>
      </c>
      <c r="C79" s="180" t="s">
        <v>363</v>
      </c>
      <c r="D79" s="19">
        <v>7</v>
      </c>
      <c r="E79" s="19">
        <v>5</v>
      </c>
      <c r="F79" s="19">
        <v>7</v>
      </c>
      <c r="G79" s="19">
        <v>3</v>
      </c>
      <c r="H79" s="19">
        <v>8</v>
      </c>
      <c r="I79" s="19">
        <v>6</v>
      </c>
      <c r="J79" s="13">
        <v>9</v>
      </c>
      <c r="K79" s="229">
        <v>13763254.5</v>
      </c>
      <c r="L79" s="230">
        <v>1</v>
      </c>
      <c r="M79" s="229">
        <v>2570000</v>
      </c>
      <c r="N79" s="229">
        <v>3137.8</v>
      </c>
      <c r="O79" s="232">
        <v>6</v>
      </c>
      <c r="P79" s="233">
        <v>93</v>
      </c>
      <c r="Q79" s="232">
        <v>858</v>
      </c>
      <c r="R79" s="233">
        <v>8437</v>
      </c>
      <c r="S79" s="232">
        <v>85193</v>
      </c>
      <c r="T79" s="233">
        <v>816656</v>
      </c>
      <c r="V79" s="228"/>
      <c r="X79" s="274"/>
    </row>
    <row r="80" spans="1:24" x14ac:dyDescent="0.15">
      <c r="A80" s="172">
        <v>32</v>
      </c>
      <c r="B80" s="173">
        <v>38203</v>
      </c>
      <c r="C80" s="174" t="s">
        <v>362</v>
      </c>
      <c r="D80" s="27">
        <v>8</v>
      </c>
      <c r="E80" s="27">
        <v>8</v>
      </c>
      <c r="F80" s="27">
        <v>7</v>
      </c>
      <c r="G80" s="27">
        <v>7</v>
      </c>
      <c r="H80" s="27">
        <v>1</v>
      </c>
      <c r="I80" s="27">
        <v>3</v>
      </c>
      <c r="J80" s="7">
        <v>0</v>
      </c>
      <c r="K80" s="222">
        <v>4516378.5</v>
      </c>
      <c r="L80" s="234" t="s">
        <v>23</v>
      </c>
      <c r="M80" s="224"/>
      <c r="N80" s="225">
        <v>304380.2</v>
      </c>
      <c r="O80" s="236">
        <v>2</v>
      </c>
      <c r="P80" s="227">
        <v>19</v>
      </c>
      <c r="Q80" s="226">
        <v>200</v>
      </c>
      <c r="R80" s="227">
        <v>2242</v>
      </c>
      <c r="S80" s="226">
        <v>21302</v>
      </c>
      <c r="T80" s="227">
        <v>217913</v>
      </c>
      <c r="V80" s="228"/>
      <c r="X80" s="274"/>
    </row>
    <row r="81" spans="1:24" x14ac:dyDescent="0.15">
      <c r="A81" s="178"/>
      <c r="B81" s="179">
        <v>38206</v>
      </c>
      <c r="C81" s="180" t="s">
        <v>363</v>
      </c>
      <c r="D81" s="19">
        <v>6</v>
      </c>
      <c r="E81" s="19">
        <v>4</v>
      </c>
      <c r="F81" s="19">
        <v>1</v>
      </c>
      <c r="G81" s="19">
        <v>6</v>
      </c>
      <c r="H81" s="19">
        <v>7</v>
      </c>
      <c r="I81" s="19">
        <v>2</v>
      </c>
      <c r="J81" s="13">
        <v>7</v>
      </c>
      <c r="K81" s="229">
        <v>13496971.5</v>
      </c>
      <c r="L81" s="230">
        <v>2</v>
      </c>
      <c r="M81" s="229">
        <v>570000</v>
      </c>
      <c r="N81" s="231">
        <v>64628.2</v>
      </c>
      <c r="O81" s="232">
        <v>7</v>
      </c>
      <c r="P81" s="233">
        <v>81</v>
      </c>
      <c r="Q81" s="232">
        <v>1022</v>
      </c>
      <c r="R81" s="233">
        <v>9423</v>
      </c>
      <c r="S81" s="232">
        <v>91457</v>
      </c>
      <c r="T81" s="233">
        <v>915949</v>
      </c>
      <c r="V81" s="228"/>
      <c r="X81" s="274"/>
    </row>
    <row r="82" spans="1:24" x14ac:dyDescent="0.15">
      <c r="A82" s="172">
        <v>33</v>
      </c>
      <c r="B82" s="173">
        <v>38210</v>
      </c>
      <c r="C82" s="174" t="s">
        <v>362</v>
      </c>
      <c r="D82" s="27">
        <v>7</v>
      </c>
      <c r="E82" s="27">
        <v>7</v>
      </c>
      <c r="F82" s="27">
        <v>7</v>
      </c>
      <c r="G82" s="27">
        <v>2</v>
      </c>
      <c r="H82" s="27">
        <v>8</v>
      </c>
      <c r="I82" s="27">
        <v>5</v>
      </c>
      <c r="J82" s="7">
        <v>8</v>
      </c>
      <c r="K82" s="222">
        <v>4782720</v>
      </c>
      <c r="L82" s="223" t="s">
        <v>23</v>
      </c>
      <c r="M82" s="279"/>
      <c r="N82" s="225">
        <v>383635.6</v>
      </c>
      <c r="O82" s="226">
        <v>1</v>
      </c>
      <c r="P82" s="227">
        <v>42</v>
      </c>
      <c r="Q82" s="226">
        <v>344</v>
      </c>
      <c r="R82" s="227">
        <v>3365</v>
      </c>
      <c r="S82" s="226">
        <v>33104</v>
      </c>
      <c r="T82" s="227">
        <v>323658</v>
      </c>
      <c r="V82" s="228"/>
      <c r="X82" s="274"/>
    </row>
    <row r="83" spans="1:24" x14ac:dyDescent="0.15">
      <c r="A83" s="178"/>
      <c r="B83" s="179">
        <v>38213</v>
      </c>
      <c r="C83" s="180" t="s">
        <v>363</v>
      </c>
      <c r="D83" s="19">
        <v>1</v>
      </c>
      <c r="E83" s="19">
        <v>7</v>
      </c>
      <c r="F83" s="19">
        <v>9</v>
      </c>
      <c r="G83" s="19">
        <v>2</v>
      </c>
      <c r="H83" s="19">
        <v>6</v>
      </c>
      <c r="I83" s="19">
        <v>8</v>
      </c>
      <c r="J83" s="13">
        <v>7</v>
      </c>
      <c r="K83" s="229">
        <v>14887828.5</v>
      </c>
      <c r="L83" s="230">
        <v>1</v>
      </c>
      <c r="M83" s="229">
        <v>1370000</v>
      </c>
      <c r="N83" s="231">
        <v>6653.8</v>
      </c>
      <c r="O83" s="232">
        <v>11</v>
      </c>
      <c r="P83" s="233">
        <v>95</v>
      </c>
      <c r="Q83" s="232">
        <v>986</v>
      </c>
      <c r="R83" s="233">
        <v>9920</v>
      </c>
      <c r="S83" s="232">
        <v>96109</v>
      </c>
      <c r="T83" s="233">
        <v>1012884</v>
      </c>
      <c r="V83" s="228"/>
      <c r="X83" s="274"/>
    </row>
    <row r="84" spans="1:24" x14ac:dyDescent="0.15">
      <c r="A84" s="172">
        <v>34</v>
      </c>
      <c r="B84" s="173">
        <v>38217</v>
      </c>
      <c r="C84" s="174" t="s">
        <v>362</v>
      </c>
      <c r="D84" s="27">
        <v>1</v>
      </c>
      <c r="E84" s="27">
        <v>8</v>
      </c>
      <c r="F84" s="27">
        <v>6</v>
      </c>
      <c r="G84" s="27">
        <v>8</v>
      </c>
      <c r="H84" s="27">
        <v>6</v>
      </c>
      <c r="I84" s="27">
        <v>7</v>
      </c>
      <c r="J84" s="7">
        <v>7</v>
      </c>
      <c r="K84" s="222">
        <v>5862184.5</v>
      </c>
      <c r="L84" s="223">
        <v>1</v>
      </c>
      <c r="M84" s="224">
        <v>370000</v>
      </c>
      <c r="N84" s="225">
        <v>27661.5</v>
      </c>
      <c r="O84" s="226">
        <v>3</v>
      </c>
      <c r="P84" s="227">
        <v>40</v>
      </c>
      <c r="Q84" s="226">
        <v>449</v>
      </c>
      <c r="R84" s="227">
        <v>4574</v>
      </c>
      <c r="S84" s="226">
        <v>46778</v>
      </c>
      <c r="T84" s="227">
        <v>388133</v>
      </c>
      <c r="V84" s="228"/>
      <c r="X84" s="274"/>
    </row>
    <row r="85" spans="1:24" x14ac:dyDescent="0.15">
      <c r="A85" s="178"/>
      <c r="B85" s="179">
        <v>38220</v>
      </c>
      <c r="C85" s="180" t="s">
        <v>363</v>
      </c>
      <c r="D85" s="19">
        <v>1</v>
      </c>
      <c r="E85" s="19">
        <v>4</v>
      </c>
      <c r="F85" s="19">
        <v>1</v>
      </c>
      <c r="G85" s="19">
        <v>0</v>
      </c>
      <c r="H85" s="19">
        <v>9</v>
      </c>
      <c r="I85" s="19">
        <v>1</v>
      </c>
      <c r="J85" s="13">
        <v>3</v>
      </c>
      <c r="K85" s="229">
        <v>13792950</v>
      </c>
      <c r="L85" s="230" t="s">
        <v>23</v>
      </c>
      <c r="M85" s="229"/>
      <c r="N85" s="231">
        <v>947651.3</v>
      </c>
      <c r="O85" s="232">
        <v>11</v>
      </c>
      <c r="P85" s="233">
        <v>83</v>
      </c>
      <c r="Q85" s="232">
        <v>927</v>
      </c>
      <c r="R85" s="233">
        <v>9905</v>
      </c>
      <c r="S85" s="232">
        <v>98891</v>
      </c>
      <c r="T85" s="233">
        <v>818191</v>
      </c>
      <c r="V85" s="228"/>
      <c r="X85" s="274"/>
    </row>
    <row r="86" spans="1:24" x14ac:dyDescent="0.15">
      <c r="A86" s="172">
        <v>35</v>
      </c>
      <c r="B86" s="173">
        <v>38224</v>
      </c>
      <c r="C86" s="174" t="s">
        <v>362</v>
      </c>
      <c r="D86" s="27">
        <v>2</v>
      </c>
      <c r="E86" s="27">
        <v>3</v>
      </c>
      <c r="F86" s="27">
        <v>6</v>
      </c>
      <c r="G86" s="27">
        <v>0</v>
      </c>
      <c r="H86" s="27">
        <v>0</v>
      </c>
      <c r="I86" s="27">
        <v>7</v>
      </c>
      <c r="J86" s="7">
        <v>3</v>
      </c>
      <c r="K86" s="222">
        <v>4794373.5</v>
      </c>
      <c r="L86" s="223" t="s">
        <v>23</v>
      </c>
      <c r="M86" s="224"/>
      <c r="N86" s="225">
        <v>1267436</v>
      </c>
      <c r="O86" s="226">
        <v>4</v>
      </c>
      <c r="P86" s="227">
        <v>17</v>
      </c>
      <c r="Q86" s="226">
        <v>218</v>
      </c>
      <c r="R86" s="227">
        <v>2684</v>
      </c>
      <c r="S86" s="226">
        <v>28859</v>
      </c>
      <c r="T86" s="227">
        <v>291069</v>
      </c>
      <c r="V86" s="228"/>
      <c r="X86" s="274"/>
    </row>
    <row r="87" spans="1:24" x14ac:dyDescent="0.15">
      <c r="A87" s="178"/>
      <c r="B87" s="179">
        <v>38227</v>
      </c>
      <c r="C87" s="180" t="s">
        <v>363</v>
      </c>
      <c r="D87" s="19">
        <v>7</v>
      </c>
      <c r="E87" s="19">
        <v>6</v>
      </c>
      <c r="F87" s="19">
        <v>4</v>
      </c>
      <c r="G87" s="19">
        <v>0</v>
      </c>
      <c r="H87" s="19">
        <v>8</v>
      </c>
      <c r="I87" s="19">
        <v>8</v>
      </c>
      <c r="J87" s="13">
        <v>4</v>
      </c>
      <c r="K87" s="229">
        <v>13510153.5</v>
      </c>
      <c r="L87" s="230">
        <v>2</v>
      </c>
      <c r="M87" s="229">
        <v>1070000</v>
      </c>
      <c r="N87" s="231">
        <v>28563.200000000001</v>
      </c>
      <c r="O87" s="232">
        <v>9</v>
      </c>
      <c r="P87" s="233">
        <v>74</v>
      </c>
      <c r="Q87" s="232">
        <v>716</v>
      </c>
      <c r="R87" s="233">
        <v>7264</v>
      </c>
      <c r="S87" s="232">
        <v>75231</v>
      </c>
      <c r="T87" s="233">
        <v>764150</v>
      </c>
      <c r="V87" s="228"/>
      <c r="X87" s="274"/>
    </row>
    <row r="88" spans="1:24" x14ac:dyDescent="0.15">
      <c r="A88" s="172">
        <v>36</v>
      </c>
      <c r="B88" s="173">
        <v>38231</v>
      </c>
      <c r="C88" s="174" t="s">
        <v>362</v>
      </c>
      <c r="D88" s="27">
        <v>4</v>
      </c>
      <c r="E88" s="27">
        <v>4</v>
      </c>
      <c r="F88" s="27">
        <v>1</v>
      </c>
      <c r="G88" s="27">
        <v>4</v>
      </c>
      <c r="H88" s="27">
        <v>3</v>
      </c>
      <c r="I88" s="27">
        <v>9</v>
      </c>
      <c r="J88" s="7">
        <v>4</v>
      </c>
      <c r="K88" s="222">
        <v>4601181</v>
      </c>
      <c r="L88" s="223" t="s">
        <v>23</v>
      </c>
      <c r="M88" s="224"/>
      <c r="N88" s="225">
        <v>335462</v>
      </c>
      <c r="O88" s="226">
        <v>1</v>
      </c>
      <c r="P88" s="227">
        <v>24</v>
      </c>
      <c r="Q88" s="226">
        <v>265</v>
      </c>
      <c r="R88" s="227">
        <v>2380</v>
      </c>
      <c r="S88" s="226">
        <v>24315</v>
      </c>
      <c r="T88" s="227">
        <v>259882</v>
      </c>
      <c r="V88" s="228"/>
      <c r="X88" s="274"/>
    </row>
    <row r="89" spans="1:24" x14ac:dyDescent="0.15">
      <c r="A89" s="178"/>
      <c r="B89" s="179">
        <v>38234</v>
      </c>
      <c r="C89" s="180" t="s">
        <v>363</v>
      </c>
      <c r="D89" s="19">
        <v>8</v>
      </c>
      <c r="E89" s="19">
        <v>3</v>
      </c>
      <c r="F89" s="19">
        <v>8</v>
      </c>
      <c r="G89" s="19">
        <v>2</v>
      </c>
      <c r="H89" s="19">
        <v>3</v>
      </c>
      <c r="I89" s="19">
        <v>5</v>
      </c>
      <c r="J89" s="13">
        <v>0</v>
      </c>
      <c r="K89" s="229">
        <v>13718386.5</v>
      </c>
      <c r="L89" s="230">
        <v>1</v>
      </c>
      <c r="M89" s="229">
        <v>1170000</v>
      </c>
      <c r="N89" s="231">
        <v>80478.399999999994</v>
      </c>
      <c r="O89" s="232">
        <v>7</v>
      </c>
      <c r="P89" s="233">
        <v>78</v>
      </c>
      <c r="Q89" s="232">
        <v>695</v>
      </c>
      <c r="R89" s="233">
        <v>6520</v>
      </c>
      <c r="S89" s="232">
        <v>66518</v>
      </c>
      <c r="T89" s="233">
        <v>644012</v>
      </c>
      <c r="V89" s="228"/>
      <c r="X89" s="274"/>
    </row>
    <row r="90" spans="1:24" x14ac:dyDescent="0.15">
      <c r="A90" s="172">
        <v>37</v>
      </c>
      <c r="B90" s="173">
        <v>38238</v>
      </c>
      <c r="C90" s="174" t="s">
        <v>362</v>
      </c>
      <c r="D90" s="27">
        <v>1</v>
      </c>
      <c r="E90" s="27">
        <v>6</v>
      </c>
      <c r="F90" s="27">
        <v>5</v>
      </c>
      <c r="G90" s="27">
        <v>5</v>
      </c>
      <c r="H90" s="27">
        <v>4</v>
      </c>
      <c r="I90" s="27">
        <v>8</v>
      </c>
      <c r="J90" s="7">
        <v>0</v>
      </c>
      <c r="K90" s="222">
        <v>4926466.5</v>
      </c>
      <c r="L90" s="223" t="s">
        <v>23</v>
      </c>
      <c r="M90" s="224"/>
      <c r="N90" s="225">
        <v>409073.7</v>
      </c>
      <c r="O90" s="226">
        <v>4</v>
      </c>
      <c r="P90" s="227">
        <v>22</v>
      </c>
      <c r="Q90" s="226">
        <v>211</v>
      </c>
      <c r="R90" s="227">
        <v>2244</v>
      </c>
      <c r="S90" s="226">
        <v>23260</v>
      </c>
      <c r="T90" s="227">
        <v>236884</v>
      </c>
      <c r="V90" s="228"/>
      <c r="X90" s="274"/>
    </row>
    <row r="91" spans="1:24" x14ac:dyDescent="0.15">
      <c r="A91" s="178"/>
      <c r="B91" s="179">
        <v>38241</v>
      </c>
      <c r="C91" s="180" t="s">
        <v>363</v>
      </c>
      <c r="D91" s="19">
        <v>1</v>
      </c>
      <c r="E91" s="19">
        <v>3</v>
      </c>
      <c r="F91" s="19">
        <v>0</v>
      </c>
      <c r="G91" s="19">
        <v>3</v>
      </c>
      <c r="H91" s="19">
        <v>3</v>
      </c>
      <c r="I91" s="19">
        <v>7</v>
      </c>
      <c r="J91" s="13">
        <v>0</v>
      </c>
      <c r="K91" s="229">
        <v>14717400</v>
      </c>
      <c r="L91" s="230">
        <v>1</v>
      </c>
      <c r="M91" s="229">
        <v>1370000</v>
      </c>
      <c r="N91" s="231">
        <v>20724.3</v>
      </c>
      <c r="O91" s="232">
        <v>5</v>
      </c>
      <c r="P91" s="233">
        <v>62</v>
      </c>
      <c r="Q91" s="232">
        <v>700</v>
      </c>
      <c r="R91" s="233">
        <v>6832</v>
      </c>
      <c r="S91" s="232">
        <v>69281</v>
      </c>
      <c r="T91" s="233">
        <v>700249</v>
      </c>
      <c r="V91" s="228"/>
      <c r="X91" s="274"/>
    </row>
    <row r="92" spans="1:24" x14ac:dyDescent="0.15">
      <c r="A92" s="172">
        <v>38</v>
      </c>
      <c r="B92" s="173">
        <v>38245</v>
      </c>
      <c r="C92" s="174" t="s">
        <v>362</v>
      </c>
      <c r="D92" s="27">
        <v>6</v>
      </c>
      <c r="E92" s="27">
        <v>9</v>
      </c>
      <c r="F92" s="27">
        <v>3</v>
      </c>
      <c r="G92" s="27">
        <v>4</v>
      </c>
      <c r="H92" s="27">
        <v>0</v>
      </c>
      <c r="I92" s="27">
        <v>4</v>
      </c>
      <c r="J92" s="7">
        <v>0</v>
      </c>
      <c r="K92" s="222">
        <v>5192016</v>
      </c>
      <c r="L92" s="223" t="s">
        <v>23</v>
      </c>
      <c r="M92" s="224"/>
      <c r="N92" s="225">
        <v>367031.8</v>
      </c>
      <c r="O92" s="226">
        <v>3</v>
      </c>
      <c r="P92" s="227">
        <v>19</v>
      </c>
      <c r="Q92" s="226">
        <v>257</v>
      </c>
      <c r="R92" s="227">
        <v>2419</v>
      </c>
      <c r="S92" s="226">
        <v>25298</v>
      </c>
      <c r="T92" s="227">
        <v>253733</v>
      </c>
      <c r="V92" s="228"/>
      <c r="X92" s="274"/>
    </row>
    <row r="93" spans="1:24" x14ac:dyDescent="0.15">
      <c r="A93" s="178"/>
      <c r="B93" s="179">
        <v>38248</v>
      </c>
      <c r="C93" s="180" t="s">
        <v>363</v>
      </c>
      <c r="D93" s="19">
        <v>9</v>
      </c>
      <c r="E93" s="19">
        <v>8</v>
      </c>
      <c r="F93" s="19">
        <v>9</v>
      </c>
      <c r="G93" s="19">
        <v>3</v>
      </c>
      <c r="H93" s="19">
        <v>6</v>
      </c>
      <c r="I93" s="19">
        <v>5</v>
      </c>
      <c r="J93" s="13">
        <v>5</v>
      </c>
      <c r="K93" s="229">
        <v>14948634</v>
      </c>
      <c r="L93" s="230">
        <v>1</v>
      </c>
      <c r="M93" s="229">
        <v>1270000</v>
      </c>
      <c r="N93" s="231">
        <v>94105.7</v>
      </c>
      <c r="O93" s="232">
        <v>10</v>
      </c>
      <c r="P93" s="233">
        <v>97</v>
      </c>
      <c r="Q93" s="232">
        <v>1114</v>
      </c>
      <c r="R93" s="233">
        <v>10416</v>
      </c>
      <c r="S93" s="232">
        <v>108994</v>
      </c>
      <c r="T93" s="233">
        <v>1008247</v>
      </c>
      <c r="V93" s="228"/>
      <c r="X93" s="274"/>
    </row>
    <row r="94" spans="1:24" x14ac:dyDescent="0.15">
      <c r="A94" s="172">
        <v>39</v>
      </c>
      <c r="B94" s="173">
        <v>38252</v>
      </c>
      <c r="C94" s="174" t="s">
        <v>362</v>
      </c>
      <c r="D94" s="27">
        <v>4</v>
      </c>
      <c r="E94" s="27">
        <v>1</v>
      </c>
      <c r="F94" s="27">
        <v>7</v>
      </c>
      <c r="G94" s="27">
        <v>0</v>
      </c>
      <c r="H94" s="27">
        <v>7</v>
      </c>
      <c r="I94" s="27">
        <v>3</v>
      </c>
      <c r="J94" s="7">
        <v>8</v>
      </c>
      <c r="K94" s="222">
        <v>4622383.5</v>
      </c>
      <c r="L94" s="223" t="s">
        <v>23</v>
      </c>
      <c r="M94" s="224"/>
      <c r="N94" s="224">
        <v>402418.7</v>
      </c>
      <c r="O94" s="226">
        <v>3</v>
      </c>
      <c r="P94" s="227">
        <v>40</v>
      </c>
      <c r="Q94" s="226">
        <v>295</v>
      </c>
      <c r="R94" s="227">
        <v>3227</v>
      </c>
      <c r="S94" s="226">
        <v>31951</v>
      </c>
      <c r="T94" s="227">
        <v>310396</v>
      </c>
      <c r="V94" s="228"/>
      <c r="X94" s="274"/>
    </row>
    <row r="95" spans="1:24" x14ac:dyDescent="0.15">
      <c r="A95" s="178"/>
      <c r="B95" s="179">
        <v>38255</v>
      </c>
      <c r="C95" s="180" t="s">
        <v>363</v>
      </c>
      <c r="D95" s="19">
        <v>2</v>
      </c>
      <c r="E95" s="19">
        <v>6</v>
      </c>
      <c r="F95" s="19">
        <v>4</v>
      </c>
      <c r="G95" s="19">
        <v>9</v>
      </c>
      <c r="H95" s="19">
        <v>2</v>
      </c>
      <c r="I95" s="19">
        <v>7</v>
      </c>
      <c r="J95" s="13">
        <v>8</v>
      </c>
      <c r="K95" s="229">
        <v>13815349.5</v>
      </c>
      <c r="L95" s="230">
        <v>1</v>
      </c>
      <c r="M95" s="229">
        <v>1270000</v>
      </c>
      <c r="N95" s="231">
        <v>53902.5</v>
      </c>
      <c r="O95" s="232">
        <v>18</v>
      </c>
      <c r="P95" s="233">
        <v>91</v>
      </c>
      <c r="Q95" s="232">
        <v>958</v>
      </c>
      <c r="R95" s="233">
        <v>9572</v>
      </c>
      <c r="S95" s="232">
        <v>97617</v>
      </c>
      <c r="T95" s="233">
        <v>936810</v>
      </c>
      <c r="V95" s="228"/>
      <c r="X95" s="274"/>
    </row>
    <row r="96" spans="1:24" x14ac:dyDescent="0.15">
      <c r="A96" s="172">
        <v>40</v>
      </c>
      <c r="B96" s="173">
        <v>38259</v>
      </c>
      <c r="C96" s="174" t="s">
        <v>362</v>
      </c>
      <c r="D96" s="27">
        <v>2</v>
      </c>
      <c r="E96" s="27">
        <v>4</v>
      </c>
      <c r="F96" s="27">
        <v>0</v>
      </c>
      <c r="G96" s="27">
        <v>1</v>
      </c>
      <c r="H96" s="27">
        <v>0</v>
      </c>
      <c r="I96" s="27">
        <v>3</v>
      </c>
      <c r="J96" s="7">
        <v>6</v>
      </c>
      <c r="K96" s="222">
        <v>4897320</v>
      </c>
      <c r="L96" s="223" t="s">
        <v>23</v>
      </c>
      <c r="M96" s="224"/>
      <c r="N96" s="225">
        <v>380553.7</v>
      </c>
      <c r="O96" s="226">
        <v>9</v>
      </c>
      <c r="P96" s="227">
        <v>27</v>
      </c>
      <c r="Q96" s="226">
        <v>341</v>
      </c>
      <c r="R96" s="227">
        <v>3177</v>
      </c>
      <c r="S96" s="226">
        <v>32779</v>
      </c>
      <c r="T96" s="227">
        <v>317791</v>
      </c>
      <c r="V96" s="228"/>
      <c r="X96" s="274"/>
    </row>
    <row r="97" spans="1:24" x14ac:dyDescent="0.15">
      <c r="A97" s="178"/>
      <c r="B97" s="179">
        <v>38262</v>
      </c>
      <c r="C97" s="180" t="s">
        <v>363</v>
      </c>
      <c r="D97" s="19">
        <v>1</v>
      </c>
      <c r="E97" s="19">
        <v>4</v>
      </c>
      <c r="F97" s="19">
        <v>9</v>
      </c>
      <c r="G97" s="19">
        <v>9</v>
      </c>
      <c r="H97" s="19">
        <v>2</v>
      </c>
      <c r="I97" s="19">
        <v>9</v>
      </c>
      <c r="J97" s="13">
        <v>9</v>
      </c>
      <c r="K97" s="229">
        <v>14948296.5</v>
      </c>
      <c r="L97" s="230">
        <v>1</v>
      </c>
      <c r="M97" s="229">
        <v>1370000</v>
      </c>
      <c r="N97" s="231">
        <v>7605.1</v>
      </c>
      <c r="O97" s="232">
        <v>9</v>
      </c>
      <c r="P97" s="233">
        <v>82</v>
      </c>
      <c r="Q97" s="232">
        <v>856</v>
      </c>
      <c r="R97" s="233">
        <v>8766</v>
      </c>
      <c r="S97" s="232">
        <v>90246</v>
      </c>
      <c r="T97" s="233">
        <v>897391</v>
      </c>
      <c r="V97" s="228"/>
      <c r="X97" s="274"/>
    </row>
    <row r="98" spans="1:24" x14ac:dyDescent="0.15">
      <c r="A98" s="172">
        <v>41</v>
      </c>
      <c r="B98" s="173">
        <v>38266</v>
      </c>
      <c r="C98" s="174" t="s">
        <v>362</v>
      </c>
      <c r="D98" s="27">
        <v>2</v>
      </c>
      <c r="E98" s="27">
        <v>8</v>
      </c>
      <c r="F98" s="27">
        <v>5</v>
      </c>
      <c r="G98" s="27">
        <v>8</v>
      </c>
      <c r="H98" s="27">
        <v>7</v>
      </c>
      <c r="I98" s="27">
        <v>5</v>
      </c>
      <c r="J98" s="7">
        <v>7</v>
      </c>
      <c r="K98" s="222">
        <v>6234286.5</v>
      </c>
      <c r="L98" s="223">
        <v>2</v>
      </c>
      <c r="M98" s="224">
        <v>170000</v>
      </c>
      <c r="N98" s="225">
        <v>83432</v>
      </c>
      <c r="O98" s="226">
        <v>5</v>
      </c>
      <c r="P98" s="227">
        <v>42</v>
      </c>
      <c r="Q98" s="226">
        <v>456</v>
      </c>
      <c r="R98" s="227">
        <v>4310</v>
      </c>
      <c r="S98" s="226">
        <v>42612</v>
      </c>
      <c r="T98" s="227">
        <v>420684</v>
      </c>
      <c r="V98" s="228"/>
      <c r="X98" s="274"/>
    </row>
    <row r="99" spans="1:24" x14ac:dyDescent="0.15">
      <c r="A99" s="178"/>
      <c r="B99" s="179">
        <v>38269</v>
      </c>
      <c r="C99" s="180" t="s">
        <v>363</v>
      </c>
      <c r="D99" s="19">
        <v>9</v>
      </c>
      <c r="E99" s="19">
        <v>6</v>
      </c>
      <c r="F99" s="19">
        <v>8</v>
      </c>
      <c r="G99" s="19">
        <v>3</v>
      </c>
      <c r="H99" s="19">
        <v>0</v>
      </c>
      <c r="I99" s="19">
        <v>2</v>
      </c>
      <c r="J99" s="13">
        <v>2</v>
      </c>
      <c r="K99" s="229">
        <v>17409610.5</v>
      </c>
      <c r="L99" s="230">
        <v>1</v>
      </c>
      <c r="M99" s="229">
        <v>1170000</v>
      </c>
      <c r="N99" s="231">
        <v>74653</v>
      </c>
      <c r="O99" s="232">
        <v>9</v>
      </c>
      <c r="P99" s="233">
        <v>100</v>
      </c>
      <c r="Q99" s="232">
        <v>863</v>
      </c>
      <c r="R99" s="233">
        <v>9254</v>
      </c>
      <c r="S99" s="232">
        <v>94021</v>
      </c>
      <c r="T99" s="233">
        <v>939064</v>
      </c>
      <c r="V99" s="228"/>
      <c r="X99" s="274"/>
    </row>
    <row r="100" spans="1:24" x14ac:dyDescent="0.15">
      <c r="A100" s="172">
        <v>42</v>
      </c>
      <c r="B100" s="173">
        <v>38273</v>
      </c>
      <c r="C100" s="174" t="s">
        <v>362</v>
      </c>
      <c r="D100" s="27">
        <v>4</v>
      </c>
      <c r="E100" s="27">
        <v>9</v>
      </c>
      <c r="F100" s="27">
        <v>6</v>
      </c>
      <c r="G100" s="27">
        <v>5</v>
      </c>
      <c r="H100" s="27">
        <v>4</v>
      </c>
      <c r="I100" s="27">
        <v>3</v>
      </c>
      <c r="J100" s="7">
        <v>4</v>
      </c>
      <c r="K100" s="222">
        <v>5052207</v>
      </c>
      <c r="L100" s="234">
        <v>2</v>
      </c>
      <c r="M100" s="224">
        <v>170000</v>
      </c>
      <c r="N100" s="224">
        <v>71635.199999999997</v>
      </c>
      <c r="O100" s="226">
        <v>2</v>
      </c>
      <c r="P100" s="227">
        <v>37</v>
      </c>
      <c r="Q100" s="226">
        <v>315</v>
      </c>
      <c r="R100" s="227">
        <v>2946</v>
      </c>
      <c r="S100" s="226">
        <v>28922</v>
      </c>
      <c r="T100" s="227">
        <v>286764</v>
      </c>
      <c r="V100" s="228"/>
      <c r="X100" s="274"/>
    </row>
    <row r="101" spans="1:24" x14ac:dyDescent="0.15">
      <c r="A101" s="178"/>
      <c r="B101" s="179">
        <v>38276</v>
      </c>
      <c r="C101" s="180" t="s">
        <v>363</v>
      </c>
      <c r="D101" s="19">
        <v>6</v>
      </c>
      <c r="E101" s="19">
        <v>1</v>
      </c>
      <c r="F101" s="19">
        <v>7</v>
      </c>
      <c r="G101" s="19">
        <v>5</v>
      </c>
      <c r="H101" s="19">
        <v>6</v>
      </c>
      <c r="I101" s="19">
        <v>3</v>
      </c>
      <c r="J101" s="13">
        <v>1</v>
      </c>
      <c r="K101" s="229">
        <v>14241952.5</v>
      </c>
      <c r="L101" s="237">
        <v>1</v>
      </c>
      <c r="M101" s="229">
        <v>970000</v>
      </c>
      <c r="N101" s="231">
        <v>51573.4</v>
      </c>
      <c r="O101" s="232">
        <v>12</v>
      </c>
      <c r="P101" s="233">
        <v>86</v>
      </c>
      <c r="Q101" s="232">
        <v>718</v>
      </c>
      <c r="R101" s="233">
        <v>7649</v>
      </c>
      <c r="S101" s="232">
        <v>75667</v>
      </c>
      <c r="T101" s="233">
        <v>749878</v>
      </c>
      <c r="U101" s="228"/>
      <c r="V101" s="228"/>
      <c r="X101" s="274"/>
    </row>
    <row r="102" spans="1:24" x14ac:dyDescent="0.15">
      <c r="A102" s="172">
        <v>43</v>
      </c>
      <c r="B102" s="173">
        <v>38280</v>
      </c>
      <c r="C102" s="174" t="s">
        <v>362</v>
      </c>
      <c r="D102" s="27">
        <v>4</v>
      </c>
      <c r="E102" s="27">
        <v>4</v>
      </c>
      <c r="F102" s="27">
        <v>8</v>
      </c>
      <c r="G102" s="27">
        <v>8</v>
      </c>
      <c r="H102" s="27">
        <v>3</v>
      </c>
      <c r="I102" s="27">
        <v>7</v>
      </c>
      <c r="J102" s="7">
        <v>2</v>
      </c>
      <c r="K102" s="222">
        <v>4668205.5</v>
      </c>
      <c r="L102" s="223" t="s">
        <v>23</v>
      </c>
      <c r="M102" s="224"/>
      <c r="N102" s="225">
        <v>362942.7</v>
      </c>
      <c r="O102" s="226">
        <v>1</v>
      </c>
      <c r="P102" s="227">
        <v>32</v>
      </c>
      <c r="Q102" s="226">
        <v>239</v>
      </c>
      <c r="R102" s="227">
        <v>2477</v>
      </c>
      <c r="S102" s="226">
        <v>24641</v>
      </c>
      <c r="T102" s="227">
        <v>249376</v>
      </c>
      <c r="V102" s="228"/>
      <c r="X102" s="274"/>
    </row>
    <row r="103" spans="1:24" x14ac:dyDescent="0.15">
      <c r="A103" s="178"/>
      <c r="B103" s="179">
        <v>38283</v>
      </c>
      <c r="C103" s="180" t="s">
        <v>363</v>
      </c>
      <c r="D103" s="19">
        <v>5</v>
      </c>
      <c r="E103" s="19">
        <v>4</v>
      </c>
      <c r="F103" s="19">
        <v>0</v>
      </c>
      <c r="G103" s="19">
        <v>1</v>
      </c>
      <c r="H103" s="19">
        <v>0</v>
      </c>
      <c r="I103" s="19">
        <v>4</v>
      </c>
      <c r="J103" s="13">
        <v>3</v>
      </c>
      <c r="K103" s="229">
        <v>13842429</v>
      </c>
      <c r="L103" s="237">
        <v>1</v>
      </c>
      <c r="M103" s="229">
        <v>1270000</v>
      </c>
      <c r="N103" s="231">
        <v>16232.7</v>
      </c>
      <c r="O103" s="232">
        <v>14</v>
      </c>
      <c r="P103" s="233">
        <v>78</v>
      </c>
      <c r="Q103" s="232">
        <v>806</v>
      </c>
      <c r="R103" s="233">
        <v>7915</v>
      </c>
      <c r="S103" s="232">
        <v>84666</v>
      </c>
      <c r="T103" s="233">
        <v>835555</v>
      </c>
      <c r="V103" s="228"/>
      <c r="X103" s="274"/>
    </row>
    <row r="104" spans="1:24" x14ac:dyDescent="0.15">
      <c r="A104" s="172">
        <v>44</v>
      </c>
      <c r="B104" s="173">
        <v>38287</v>
      </c>
      <c r="C104" s="174" t="s">
        <v>362</v>
      </c>
      <c r="D104" s="27">
        <v>4</v>
      </c>
      <c r="E104" s="27">
        <v>5</v>
      </c>
      <c r="F104" s="27">
        <v>5</v>
      </c>
      <c r="G104" s="27">
        <v>3</v>
      </c>
      <c r="H104" s="27">
        <v>0</v>
      </c>
      <c r="I104" s="27">
        <v>2</v>
      </c>
      <c r="J104" s="7">
        <v>6</v>
      </c>
      <c r="K104" s="222">
        <v>4556875.5</v>
      </c>
      <c r="L104" s="223">
        <v>1</v>
      </c>
      <c r="M104" s="224">
        <v>270000</v>
      </c>
      <c r="N104" s="225">
        <v>50176.3</v>
      </c>
      <c r="O104" s="226">
        <v>2</v>
      </c>
      <c r="P104" s="227">
        <v>39</v>
      </c>
      <c r="Q104" s="226">
        <v>316</v>
      </c>
      <c r="R104" s="227">
        <v>2774</v>
      </c>
      <c r="S104" s="226">
        <v>29985</v>
      </c>
      <c r="T104" s="227">
        <v>298998</v>
      </c>
      <c r="V104" s="228"/>
      <c r="X104" s="274"/>
    </row>
    <row r="105" spans="1:24" x14ac:dyDescent="0.15">
      <c r="A105" s="178"/>
      <c r="B105" s="179">
        <v>38290</v>
      </c>
      <c r="C105" s="180" t="s">
        <v>363</v>
      </c>
      <c r="D105" s="19">
        <v>2</v>
      </c>
      <c r="E105" s="19">
        <v>3</v>
      </c>
      <c r="F105" s="19">
        <v>6</v>
      </c>
      <c r="G105" s="19">
        <v>3</v>
      </c>
      <c r="H105" s="19">
        <v>7</v>
      </c>
      <c r="I105" s="19">
        <v>8</v>
      </c>
      <c r="J105" s="13">
        <v>0</v>
      </c>
      <c r="K105" s="229">
        <v>14060529</v>
      </c>
      <c r="L105" s="230">
        <v>2</v>
      </c>
      <c r="M105" s="229">
        <v>470000</v>
      </c>
      <c r="N105" s="231">
        <v>48013.599999999999</v>
      </c>
      <c r="O105" s="232">
        <v>7</v>
      </c>
      <c r="P105" s="233">
        <v>56</v>
      </c>
      <c r="Q105" s="232">
        <v>701</v>
      </c>
      <c r="R105" s="233">
        <v>6579</v>
      </c>
      <c r="S105" s="232">
        <v>66920</v>
      </c>
      <c r="T105" s="233">
        <v>672210</v>
      </c>
      <c r="V105" s="228"/>
      <c r="X105" s="274"/>
    </row>
    <row r="106" spans="1:24" x14ac:dyDescent="0.15">
      <c r="A106" s="172">
        <v>45</v>
      </c>
      <c r="B106" s="173">
        <v>38294</v>
      </c>
      <c r="C106" s="174" t="s">
        <v>362</v>
      </c>
      <c r="D106" s="27">
        <v>3</v>
      </c>
      <c r="E106" s="27">
        <v>2</v>
      </c>
      <c r="F106" s="27">
        <v>0</v>
      </c>
      <c r="G106" s="27">
        <v>6</v>
      </c>
      <c r="H106" s="27">
        <v>0</v>
      </c>
      <c r="I106" s="27">
        <v>8</v>
      </c>
      <c r="J106" s="7">
        <v>3</v>
      </c>
      <c r="K106" s="222">
        <v>4596444</v>
      </c>
      <c r="L106" s="223">
        <v>1</v>
      </c>
      <c r="M106" s="224">
        <v>270000</v>
      </c>
      <c r="N106" s="225">
        <v>84596.4</v>
      </c>
      <c r="O106" s="226">
        <v>1</v>
      </c>
      <c r="P106" s="227">
        <v>37</v>
      </c>
      <c r="Q106" s="226">
        <v>249</v>
      </c>
      <c r="R106" s="227">
        <v>2401</v>
      </c>
      <c r="S106" s="226">
        <v>26342</v>
      </c>
      <c r="T106" s="227">
        <v>281042</v>
      </c>
      <c r="V106" s="228"/>
      <c r="X106" s="274"/>
    </row>
    <row r="107" spans="1:24" x14ac:dyDescent="0.15">
      <c r="A107" s="178"/>
      <c r="B107" s="179">
        <v>38297</v>
      </c>
      <c r="C107" s="180" t="s">
        <v>363</v>
      </c>
      <c r="D107" s="19">
        <v>7</v>
      </c>
      <c r="E107" s="19">
        <v>3</v>
      </c>
      <c r="F107" s="19">
        <v>9</v>
      </c>
      <c r="G107" s="19">
        <v>0</v>
      </c>
      <c r="H107" s="19">
        <v>3</v>
      </c>
      <c r="I107" s="19">
        <v>7</v>
      </c>
      <c r="J107" s="13">
        <v>6</v>
      </c>
      <c r="K107" s="229">
        <v>13910794.5</v>
      </c>
      <c r="L107" s="230" t="s">
        <v>23</v>
      </c>
      <c r="M107" s="229"/>
      <c r="N107" s="229">
        <v>1012446.4</v>
      </c>
      <c r="O107" s="232">
        <v>8</v>
      </c>
      <c r="P107" s="233">
        <v>81</v>
      </c>
      <c r="Q107" s="232">
        <v>856</v>
      </c>
      <c r="R107" s="233">
        <v>9023</v>
      </c>
      <c r="S107" s="232">
        <v>89474</v>
      </c>
      <c r="T107" s="233">
        <v>904226</v>
      </c>
      <c r="V107" s="228"/>
      <c r="X107" s="274"/>
    </row>
    <row r="108" spans="1:24" x14ac:dyDescent="0.15">
      <c r="A108" s="172">
        <v>46</v>
      </c>
      <c r="B108" s="173">
        <v>38301</v>
      </c>
      <c r="C108" s="174" t="s">
        <v>362</v>
      </c>
      <c r="D108" s="27">
        <v>7</v>
      </c>
      <c r="E108" s="27">
        <v>2</v>
      </c>
      <c r="F108" s="27">
        <v>0</v>
      </c>
      <c r="G108" s="27">
        <v>1</v>
      </c>
      <c r="H108" s="27">
        <v>1</v>
      </c>
      <c r="I108" s="27">
        <v>1</v>
      </c>
      <c r="J108" s="7">
        <v>1</v>
      </c>
      <c r="K108" s="222">
        <v>4551051</v>
      </c>
      <c r="L108" s="223">
        <v>2</v>
      </c>
      <c r="M108" s="224">
        <v>570000</v>
      </c>
      <c r="N108" s="225">
        <v>176001.5</v>
      </c>
      <c r="O108" s="226">
        <v>5</v>
      </c>
      <c r="P108" s="227">
        <v>38</v>
      </c>
      <c r="Q108" s="226">
        <v>460</v>
      </c>
      <c r="R108" s="227">
        <v>2976</v>
      </c>
      <c r="S108" s="226">
        <v>26319</v>
      </c>
      <c r="T108" s="227">
        <v>241774</v>
      </c>
      <c r="V108" s="228"/>
      <c r="X108" s="274"/>
    </row>
    <row r="109" spans="1:24" x14ac:dyDescent="0.15">
      <c r="A109" s="178"/>
      <c r="B109" s="179">
        <v>38304</v>
      </c>
      <c r="C109" s="180" t="s">
        <v>363</v>
      </c>
      <c r="D109" s="19">
        <v>3</v>
      </c>
      <c r="E109" s="19">
        <v>4</v>
      </c>
      <c r="F109" s="19">
        <v>9</v>
      </c>
      <c r="G109" s="19">
        <v>3</v>
      </c>
      <c r="H109" s="19">
        <v>5</v>
      </c>
      <c r="I109" s="19">
        <v>5</v>
      </c>
      <c r="J109" s="13">
        <v>1</v>
      </c>
      <c r="K109" s="229">
        <v>13790505</v>
      </c>
      <c r="L109" s="230" t="s">
        <v>23</v>
      </c>
      <c r="M109" s="229"/>
      <c r="N109" s="231">
        <v>1095808.2</v>
      </c>
      <c r="O109" s="232">
        <v>6</v>
      </c>
      <c r="P109" s="233">
        <v>67</v>
      </c>
      <c r="Q109" s="232">
        <v>754</v>
      </c>
      <c r="R109" s="233">
        <v>7498</v>
      </c>
      <c r="S109" s="232">
        <v>74885</v>
      </c>
      <c r="T109" s="233">
        <v>721892</v>
      </c>
      <c r="V109" s="228"/>
      <c r="X109" s="274"/>
    </row>
    <row r="110" spans="1:24" x14ac:dyDescent="0.15">
      <c r="A110" s="172">
        <v>47</v>
      </c>
      <c r="B110" s="173">
        <v>38308</v>
      </c>
      <c r="C110" s="174" t="s">
        <v>362</v>
      </c>
      <c r="D110" s="27">
        <v>5</v>
      </c>
      <c r="E110" s="27">
        <v>6</v>
      </c>
      <c r="F110" s="27">
        <v>7</v>
      </c>
      <c r="G110" s="27">
        <v>6</v>
      </c>
      <c r="H110" s="27">
        <v>9</v>
      </c>
      <c r="I110" s="27">
        <v>3</v>
      </c>
      <c r="J110" s="7">
        <v>5</v>
      </c>
      <c r="K110" s="222">
        <v>4846809</v>
      </c>
      <c r="L110" s="223">
        <v>1</v>
      </c>
      <c r="M110" s="224">
        <v>1370000</v>
      </c>
      <c r="N110" s="225">
        <v>49110.400000000001</v>
      </c>
      <c r="O110" s="226">
        <v>8</v>
      </c>
      <c r="P110" s="227">
        <v>44</v>
      </c>
      <c r="Q110" s="226">
        <v>343</v>
      </c>
      <c r="R110" s="227">
        <v>3391</v>
      </c>
      <c r="S110" s="226">
        <v>34034</v>
      </c>
      <c r="T110" s="227">
        <v>323205</v>
      </c>
      <c r="V110" s="228"/>
      <c r="X110" s="274"/>
    </row>
    <row r="111" spans="1:24" x14ac:dyDescent="0.15">
      <c r="A111" s="178"/>
      <c r="B111" s="179">
        <v>38311</v>
      </c>
      <c r="C111" s="180" t="s">
        <v>363</v>
      </c>
      <c r="D111" s="19">
        <v>9</v>
      </c>
      <c r="E111" s="19">
        <v>8</v>
      </c>
      <c r="F111" s="19">
        <v>7</v>
      </c>
      <c r="G111" s="19">
        <v>1</v>
      </c>
      <c r="H111" s="19">
        <v>1</v>
      </c>
      <c r="I111" s="19">
        <v>1</v>
      </c>
      <c r="J111" s="13">
        <v>4</v>
      </c>
      <c r="K111" s="229">
        <v>13424700</v>
      </c>
      <c r="L111" s="230">
        <v>1</v>
      </c>
      <c r="M111" s="229">
        <v>870000</v>
      </c>
      <c r="N111" s="231">
        <v>74537.899999999994</v>
      </c>
      <c r="O111" s="232">
        <v>6</v>
      </c>
      <c r="P111" s="233">
        <v>71</v>
      </c>
      <c r="Q111" s="232">
        <v>682</v>
      </c>
      <c r="R111" s="233">
        <v>6987</v>
      </c>
      <c r="S111" s="232">
        <v>74082</v>
      </c>
      <c r="T111" s="233">
        <v>764178</v>
      </c>
      <c r="V111" s="228"/>
      <c r="X111" s="274"/>
    </row>
    <row r="112" spans="1:24" x14ac:dyDescent="0.15">
      <c r="A112" s="172">
        <v>48</v>
      </c>
      <c r="B112" s="173">
        <v>38315</v>
      </c>
      <c r="C112" s="174" t="s">
        <v>362</v>
      </c>
      <c r="D112" s="27">
        <v>8</v>
      </c>
      <c r="E112" s="27">
        <v>3</v>
      </c>
      <c r="F112" s="27">
        <v>8</v>
      </c>
      <c r="G112" s="27">
        <v>8</v>
      </c>
      <c r="H112" s="27">
        <v>2</v>
      </c>
      <c r="I112" s="27">
        <v>5</v>
      </c>
      <c r="J112" s="7">
        <v>4</v>
      </c>
      <c r="K112" s="222">
        <v>4638265.5</v>
      </c>
      <c r="L112" s="223" t="s">
        <v>23</v>
      </c>
      <c r="M112" s="224"/>
      <c r="N112" s="225">
        <v>383910.2</v>
      </c>
      <c r="O112" s="226">
        <v>4</v>
      </c>
      <c r="P112" s="227">
        <v>31</v>
      </c>
      <c r="Q112" s="226">
        <v>258</v>
      </c>
      <c r="R112" s="227">
        <v>2792</v>
      </c>
      <c r="S112" s="226">
        <v>28275</v>
      </c>
      <c r="T112" s="227">
        <v>260574</v>
      </c>
      <c r="V112" s="228"/>
      <c r="X112" s="274"/>
    </row>
    <row r="113" spans="1:24" x14ac:dyDescent="0.15">
      <c r="A113" s="178"/>
      <c r="B113" s="179">
        <v>38318</v>
      </c>
      <c r="C113" s="180" t="s">
        <v>363</v>
      </c>
      <c r="D113" s="19">
        <v>9</v>
      </c>
      <c r="E113" s="19">
        <v>8</v>
      </c>
      <c r="F113" s="19">
        <v>1</v>
      </c>
      <c r="G113" s="19">
        <v>1</v>
      </c>
      <c r="H113" s="19">
        <v>3</v>
      </c>
      <c r="I113" s="19">
        <v>4</v>
      </c>
      <c r="J113" s="13">
        <v>8</v>
      </c>
      <c r="K113" s="229">
        <v>14076892.5</v>
      </c>
      <c r="L113" s="230">
        <v>1</v>
      </c>
      <c r="M113" s="229">
        <v>1270000</v>
      </c>
      <c r="N113" s="231">
        <v>52838.9</v>
      </c>
      <c r="O113" s="232">
        <v>8</v>
      </c>
      <c r="P113" s="233">
        <v>79</v>
      </c>
      <c r="Q113" s="232">
        <v>1081</v>
      </c>
      <c r="R113" s="233">
        <v>9949</v>
      </c>
      <c r="S113" s="232">
        <v>100639</v>
      </c>
      <c r="T113" s="233">
        <v>948732</v>
      </c>
      <c r="V113" s="228"/>
      <c r="X113" s="274"/>
    </row>
    <row r="114" spans="1:24" x14ac:dyDescent="0.15">
      <c r="A114" s="172">
        <v>49</v>
      </c>
      <c r="B114" s="173">
        <v>38322</v>
      </c>
      <c r="C114" s="174" t="s">
        <v>362</v>
      </c>
      <c r="D114" s="27">
        <v>2</v>
      </c>
      <c r="E114" s="27">
        <v>0</v>
      </c>
      <c r="F114" s="27">
        <v>0</v>
      </c>
      <c r="G114" s="27">
        <v>9</v>
      </c>
      <c r="H114" s="27">
        <v>6</v>
      </c>
      <c r="I114" s="27">
        <v>7</v>
      </c>
      <c r="J114" s="7">
        <v>3</v>
      </c>
      <c r="K114" s="222">
        <v>6490006.5</v>
      </c>
      <c r="L114" s="223" t="s">
        <v>23</v>
      </c>
      <c r="M114" s="224"/>
      <c r="N114" s="225">
        <v>485722.3</v>
      </c>
      <c r="O114" s="226">
        <v>4</v>
      </c>
      <c r="P114" s="227">
        <v>37</v>
      </c>
      <c r="Q114" s="226">
        <v>388</v>
      </c>
      <c r="R114" s="227">
        <v>4006</v>
      </c>
      <c r="S114" s="226">
        <v>39533</v>
      </c>
      <c r="T114" s="227">
        <v>398957</v>
      </c>
      <c r="V114" s="228"/>
      <c r="X114" s="274"/>
    </row>
    <row r="115" spans="1:24" x14ac:dyDescent="0.15">
      <c r="A115" s="178"/>
      <c r="B115" s="179">
        <v>38325</v>
      </c>
      <c r="C115" s="180" t="s">
        <v>363</v>
      </c>
      <c r="D115" s="19">
        <v>3</v>
      </c>
      <c r="E115" s="19">
        <v>6</v>
      </c>
      <c r="F115" s="19">
        <v>7</v>
      </c>
      <c r="G115" s="19">
        <v>3</v>
      </c>
      <c r="H115" s="19">
        <v>6</v>
      </c>
      <c r="I115" s="19">
        <v>6</v>
      </c>
      <c r="J115" s="13">
        <v>9</v>
      </c>
      <c r="K115" s="229">
        <v>18010761</v>
      </c>
      <c r="L115" s="230" t="s">
        <v>23</v>
      </c>
      <c r="M115" s="229"/>
      <c r="N115" s="231">
        <v>1687040.1</v>
      </c>
      <c r="O115" s="232">
        <v>9</v>
      </c>
      <c r="P115" s="233">
        <v>123</v>
      </c>
      <c r="Q115" s="232">
        <v>1103</v>
      </c>
      <c r="R115" s="233">
        <v>11162</v>
      </c>
      <c r="S115" s="232">
        <v>112440</v>
      </c>
      <c r="T115" s="233">
        <v>1079053</v>
      </c>
      <c r="V115" s="228"/>
      <c r="X115" s="274"/>
    </row>
    <row r="116" spans="1:24" x14ac:dyDescent="0.15">
      <c r="A116" s="172">
        <v>50</v>
      </c>
      <c r="B116" s="173">
        <v>38329</v>
      </c>
      <c r="C116" s="174" t="s">
        <v>362</v>
      </c>
      <c r="D116" s="27">
        <v>6</v>
      </c>
      <c r="E116" s="27">
        <v>5</v>
      </c>
      <c r="F116" s="27">
        <v>8</v>
      </c>
      <c r="G116" s="27">
        <v>5</v>
      </c>
      <c r="H116" s="27">
        <v>3</v>
      </c>
      <c r="I116" s="27">
        <v>0</v>
      </c>
      <c r="J116" s="7">
        <v>5</v>
      </c>
      <c r="K116" s="222">
        <v>8269161</v>
      </c>
      <c r="L116" s="223">
        <v>1</v>
      </c>
      <c r="M116" s="224">
        <v>2170000</v>
      </c>
      <c r="N116" s="225">
        <v>68593.100000000006</v>
      </c>
      <c r="O116" s="226">
        <v>4</v>
      </c>
      <c r="P116" s="227">
        <v>53</v>
      </c>
      <c r="Q116" s="226">
        <v>481</v>
      </c>
      <c r="R116" s="227">
        <v>4732</v>
      </c>
      <c r="S116" s="226">
        <v>47705</v>
      </c>
      <c r="T116" s="227">
        <v>545611</v>
      </c>
      <c r="V116" s="228"/>
      <c r="X116" s="274"/>
    </row>
    <row r="117" spans="1:24" x14ac:dyDescent="0.15">
      <c r="A117" s="178"/>
      <c r="B117" s="179">
        <v>38332</v>
      </c>
      <c r="C117" s="180" t="s">
        <v>363</v>
      </c>
      <c r="D117" s="19">
        <v>1</v>
      </c>
      <c r="E117" s="19">
        <v>9</v>
      </c>
      <c r="F117" s="19">
        <v>8</v>
      </c>
      <c r="G117" s="19">
        <v>6</v>
      </c>
      <c r="H117" s="19">
        <v>0</v>
      </c>
      <c r="I117" s="19">
        <v>0</v>
      </c>
      <c r="J117" s="13">
        <v>1</v>
      </c>
      <c r="K117" s="229">
        <v>22370070</v>
      </c>
      <c r="L117" s="230">
        <v>3</v>
      </c>
      <c r="M117" s="229">
        <v>470000</v>
      </c>
      <c r="N117" s="231">
        <v>150676.79999999999</v>
      </c>
      <c r="O117" s="232">
        <v>4</v>
      </c>
      <c r="P117" s="233">
        <v>121</v>
      </c>
      <c r="Q117" s="232">
        <v>1054</v>
      </c>
      <c r="R117" s="233">
        <v>10991</v>
      </c>
      <c r="S117" s="232">
        <v>114249</v>
      </c>
      <c r="T117" s="233">
        <v>1227590</v>
      </c>
      <c r="V117" s="228"/>
      <c r="X117" s="274"/>
    </row>
    <row r="118" spans="1:24" x14ac:dyDescent="0.15">
      <c r="A118" s="172">
        <v>51</v>
      </c>
      <c r="B118" s="173">
        <v>38336</v>
      </c>
      <c r="C118" s="174" t="s">
        <v>362</v>
      </c>
      <c r="D118" s="27">
        <v>5</v>
      </c>
      <c r="E118" s="27">
        <v>6</v>
      </c>
      <c r="F118" s="27">
        <v>5</v>
      </c>
      <c r="G118" s="27">
        <v>0</v>
      </c>
      <c r="H118" s="27">
        <v>0</v>
      </c>
      <c r="I118" s="27">
        <v>2</v>
      </c>
      <c r="J118" s="7">
        <v>4</v>
      </c>
      <c r="K118" s="222">
        <v>17943270</v>
      </c>
      <c r="L118" s="223"/>
      <c r="M118" s="224"/>
      <c r="N118" s="225">
        <v>1347492.9</v>
      </c>
      <c r="O118" s="226">
        <v>10</v>
      </c>
      <c r="P118" s="227">
        <v>100</v>
      </c>
      <c r="Q118" s="226">
        <v>995</v>
      </c>
      <c r="R118" s="227">
        <v>10814</v>
      </c>
      <c r="S118" s="226">
        <v>110805</v>
      </c>
      <c r="T118" s="227">
        <v>1078833</v>
      </c>
      <c r="V118" s="228"/>
      <c r="X118" s="274"/>
    </row>
    <row r="119" spans="1:24" x14ac:dyDescent="0.15">
      <c r="A119" s="178"/>
      <c r="B119" s="179">
        <v>38339</v>
      </c>
      <c r="C119" s="180" t="s">
        <v>363</v>
      </c>
      <c r="D119" s="19">
        <v>3</v>
      </c>
      <c r="E119" s="19">
        <v>4</v>
      </c>
      <c r="F119" s="19">
        <v>9</v>
      </c>
      <c r="G119" s="19">
        <v>5</v>
      </c>
      <c r="H119" s="19">
        <v>8</v>
      </c>
      <c r="I119" s="19">
        <v>3</v>
      </c>
      <c r="J119" s="13">
        <v>5</v>
      </c>
      <c r="K119" s="229">
        <v>17104807.5</v>
      </c>
      <c r="L119" s="230"/>
      <c r="M119" s="229"/>
      <c r="N119" s="231">
        <v>2488383.6</v>
      </c>
      <c r="O119" s="232">
        <v>17</v>
      </c>
      <c r="P119" s="233">
        <v>112</v>
      </c>
      <c r="Q119" s="232">
        <v>1186</v>
      </c>
      <c r="R119" s="233">
        <v>11816</v>
      </c>
      <c r="S119" s="232">
        <v>116975</v>
      </c>
      <c r="T119" s="233">
        <v>1140113</v>
      </c>
      <c r="V119" s="228"/>
      <c r="X119" s="274"/>
    </row>
    <row r="120" spans="1:24" x14ac:dyDescent="0.15">
      <c r="A120" s="172">
        <v>52</v>
      </c>
      <c r="B120" s="173">
        <v>38343</v>
      </c>
      <c r="C120" s="174" t="s">
        <v>362</v>
      </c>
      <c r="D120" s="27">
        <v>7</v>
      </c>
      <c r="E120" s="27">
        <v>8</v>
      </c>
      <c r="F120" s="27">
        <v>7</v>
      </c>
      <c r="G120" s="27">
        <v>8</v>
      </c>
      <c r="H120" s="27">
        <v>7</v>
      </c>
      <c r="I120" s="27">
        <v>7</v>
      </c>
      <c r="J120" s="7">
        <v>6</v>
      </c>
      <c r="K120" s="222">
        <v>5832948</v>
      </c>
      <c r="L120" s="223">
        <v>2</v>
      </c>
      <c r="M120" s="224">
        <v>1370000</v>
      </c>
      <c r="N120" s="225">
        <v>137441.20000000001</v>
      </c>
      <c r="O120" s="226">
        <v>1</v>
      </c>
      <c r="P120" s="227">
        <v>34</v>
      </c>
      <c r="Q120" s="226">
        <v>362</v>
      </c>
      <c r="R120" s="227">
        <v>3652</v>
      </c>
      <c r="S120" s="226">
        <v>37672</v>
      </c>
      <c r="T120" s="227">
        <v>378487</v>
      </c>
      <c r="V120" s="228"/>
      <c r="X120" s="274"/>
    </row>
    <row r="121" spans="1:24" x14ac:dyDescent="0.15">
      <c r="A121" s="178"/>
      <c r="B121" s="179">
        <v>38346</v>
      </c>
      <c r="C121" s="180" t="s">
        <v>363</v>
      </c>
      <c r="D121" s="38">
        <v>7</v>
      </c>
      <c r="E121" s="38">
        <v>4</v>
      </c>
      <c r="F121" s="38">
        <v>0</v>
      </c>
      <c r="G121" s="38">
        <v>9</v>
      </c>
      <c r="H121" s="38">
        <v>0</v>
      </c>
      <c r="I121" s="38">
        <v>9</v>
      </c>
      <c r="J121" s="39">
        <v>8</v>
      </c>
      <c r="K121" s="229">
        <v>14715189</v>
      </c>
      <c r="L121" s="230" t="s">
        <v>23</v>
      </c>
      <c r="M121" s="229"/>
      <c r="N121" s="231">
        <v>1118944.3</v>
      </c>
      <c r="O121" s="232">
        <v>8</v>
      </c>
      <c r="P121" s="233">
        <v>103</v>
      </c>
      <c r="Q121" s="232">
        <v>926</v>
      </c>
      <c r="R121" s="233">
        <v>8979</v>
      </c>
      <c r="S121" s="232">
        <v>96992</v>
      </c>
      <c r="T121" s="233">
        <v>993729</v>
      </c>
      <c r="V121" s="228"/>
      <c r="X121" s="274"/>
    </row>
    <row r="122" spans="1:24" x14ac:dyDescent="0.15">
      <c r="A122" s="172">
        <v>53</v>
      </c>
      <c r="B122" s="173">
        <v>38350</v>
      </c>
      <c r="C122" s="174" t="s">
        <v>362</v>
      </c>
      <c r="D122" s="27">
        <v>3</v>
      </c>
      <c r="E122" s="27">
        <v>6</v>
      </c>
      <c r="F122" s="27">
        <v>9</v>
      </c>
      <c r="G122" s="27">
        <v>7</v>
      </c>
      <c r="H122" s="27">
        <v>9</v>
      </c>
      <c r="I122" s="27">
        <v>5</v>
      </c>
      <c r="J122" s="7">
        <v>4</v>
      </c>
      <c r="K122" s="222">
        <v>5649532.5</v>
      </c>
      <c r="L122" s="223" t="s">
        <v>23</v>
      </c>
      <c r="M122" s="224"/>
      <c r="N122" s="225">
        <v>1495768.1</v>
      </c>
      <c r="O122" s="226">
        <v>3</v>
      </c>
      <c r="P122" s="227">
        <v>40</v>
      </c>
      <c r="Q122" s="226">
        <v>372</v>
      </c>
      <c r="R122" s="227">
        <v>3355</v>
      </c>
      <c r="S122" s="226">
        <v>35000</v>
      </c>
      <c r="T122" s="227">
        <v>325887</v>
      </c>
      <c r="V122" s="228"/>
      <c r="X122" s="274"/>
    </row>
    <row r="123" spans="1:24" x14ac:dyDescent="0.15">
      <c r="A123" s="178"/>
      <c r="B123" s="179">
        <v>38353</v>
      </c>
      <c r="C123" s="180" t="s">
        <v>363</v>
      </c>
      <c r="D123" s="38">
        <v>6</v>
      </c>
      <c r="E123" s="38">
        <v>0</v>
      </c>
      <c r="F123" s="38">
        <v>1</v>
      </c>
      <c r="G123" s="38">
        <v>3</v>
      </c>
      <c r="H123" s="38">
        <v>8</v>
      </c>
      <c r="I123" s="38">
        <v>4</v>
      </c>
      <c r="J123" s="39">
        <v>7</v>
      </c>
      <c r="K123" s="229">
        <v>14907439.5</v>
      </c>
      <c r="L123" s="230">
        <v>3</v>
      </c>
      <c r="M123" s="229">
        <v>770000</v>
      </c>
      <c r="N123" s="231">
        <v>180094.3</v>
      </c>
      <c r="O123" s="232">
        <v>9</v>
      </c>
      <c r="P123" s="233">
        <v>91</v>
      </c>
      <c r="Q123" s="232">
        <v>1108</v>
      </c>
      <c r="R123" s="233">
        <v>10700</v>
      </c>
      <c r="S123" s="232">
        <v>104183</v>
      </c>
      <c r="T123" s="233">
        <v>994962</v>
      </c>
      <c r="V123" s="228"/>
      <c r="X123" s="274"/>
    </row>
    <row r="124" spans="1:24" x14ac:dyDescent="0.15">
      <c r="A124" s="45"/>
      <c r="B124" s="46"/>
      <c r="C124" s="46"/>
      <c r="D124" s="276"/>
      <c r="E124" s="276"/>
      <c r="F124" s="276"/>
      <c r="G124" s="276"/>
      <c r="H124" s="276"/>
      <c r="I124" s="276" t="s">
        <v>24</v>
      </c>
      <c r="J124" s="276"/>
      <c r="K124" s="277"/>
      <c r="L124" s="278">
        <f>SUM(L70:L123)</f>
        <v>44</v>
      </c>
      <c r="M124" s="229"/>
      <c r="N124" s="278"/>
      <c r="O124" s="278">
        <f t="shared" ref="O124:T124" si="1">SUM(O70:O123)</f>
        <v>332</v>
      </c>
      <c r="P124" s="278">
        <f t="shared" si="1"/>
        <v>3302</v>
      </c>
      <c r="Q124" s="278">
        <f t="shared" si="1"/>
        <v>33147</v>
      </c>
      <c r="R124" s="278">
        <f t="shared" si="1"/>
        <v>328765</v>
      </c>
      <c r="S124" s="278">
        <f t="shared" si="1"/>
        <v>3324384</v>
      </c>
      <c r="T124" s="272">
        <f t="shared" si="1"/>
        <v>32862469</v>
      </c>
      <c r="V124" s="228"/>
      <c r="X124" s="274"/>
    </row>
    <row r="125" spans="1:24" x14ac:dyDescent="0.15">
      <c r="K125" s="222"/>
      <c r="V125" s="280"/>
      <c r="X125" s="274"/>
    </row>
  </sheetData>
  <phoneticPr fontId="0" type="noConversion"/>
  <printOptions horizontalCentered="1" verticalCentered="1"/>
  <pageMargins left="0" right="0" top="0" bottom="0" header="0.51181102300000003" footer="0.51181102300000003"/>
  <pageSetup paperSize="9" scale="85" orientation="landscape" horizontalDpi="4294967292" verticalDpi="4294967292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37"/>
  <sheetViews>
    <sheetView zoomScaleNormal="100" workbookViewId="0">
      <pane xSplit="3" ySplit="7" topLeftCell="D60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3" width="16.83203125" customWidth="1"/>
    <col min="14" max="14" width="23.83203125" customWidth="1"/>
    <col min="15" max="20" width="15.83203125" customWidth="1"/>
    <col min="21" max="21" width="12.5" customWidth="1"/>
    <col min="22" max="22" width="13.5" customWidth="1"/>
    <col min="24" max="24" width="13" customWidth="1"/>
  </cols>
  <sheetData>
    <row r="2" spans="1:24" ht="14.1" customHeight="1" x14ac:dyDescent="0.2">
      <c r="A2" s="1" t="s">
        <v>364</v>
      </c>
      <c r="T2" s="3" t="s">
        <v>419</v>
      </c>
    </row>
    <row r="3" spans="1:24" ht="11.1" customHeight="1" x14ac:dyDescent="0.15">
      <c r="A3" s="6" t="s">
        <v>2</v>
      </c>
    </row>
    <row r="4" spans="1:24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4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4" ht="11.1" customHeight="1" x14ac:dyDescent="0.15">
      <c r="A6" s="13" t="s">
        <v>428</v>
      </c>
      <c r="B6" s="14">
        <v>2005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366</v>
      </c>
      <c r="M6" s="18"/>
      <c r="N6" s="13" t="s">
        <v>367</v>
      </c>
      <c r="O6" s="239">
        <v>70000</v>
      </c>
      <c r="P6" s="239">
        <v>7000</v>
      </c>
      <c r="Q6" s="239">
        <v>700</v>
      </c>
      <c r="R6" s="239">
        <v>70</v>
      </c>
      <c r="S6" s="239">
        <v>7</v>
      </c>
      <c r="T6" s="239">
        <v>2.5</v>
      </c>
    </row>
    <row r="7" spans="1:24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4" x14ac:dyDescent="0.15">
      <c r="A8" s="172">
        <v>1</v>
      </c>
      <c r="B8" s="173">
        <v>38357</v>
      </c>
      <c r="C8" s="174" t="s">
        <v>362</v>
      </c>
      <c r="D8" s="27">
        <v>6</v>
      </c>
      <c r="E8" s="27">
        <v>1</v>
      </c>
      <c r="F8" s="27">
        <v>8</v>
      </c>
      <c r="G8" s="27">
        <v>3</v>
      </c>
      <c r="H8" s="27">
        <v>4</v>
      </c>
      <c r="I8" s="27">
        <v>3</v>
      </c>
      <c r="J8" s="7">
        <v>0</v>
      </c>
      <c r="K8" s="222">
        <v>6380965.5</v>
      </c>
      <c r="L8" s="223">
        <v>1</v>
      </c>
      <c r="M8" s="224">
        <v>570000</v>
      </c>
      <c r="N8" s="225">
        <v>35704.699999999997</v>
      </c>
      <c r="O8" s="226">
        <v>3</v>
      </c>
      <c r="P8" s="227">
        <v>33</v>
      </c>
      <c r="Q8" s="226">
        <v>306</v>
      </c>
      <c r="R8" s="227">
        <v>2964</v>
      </c>
      <c r="S8" s="226">
        <v>30886</v>
      </c>
      <c r="T8" s="227">
        <v>313498</v>
      </c>
      <c r="V8" s="228"/>
      <c r="X8" s="274"/>
    </row>
    <row r="9" spans="1:24" x14ac:dyDescent="0.15">
      <c r="A9" s="178"/>
      <c r="B9" s="179">
        <v>38360</v>
      </c>
      <c r="C9" s="180" t="s">
        <v>363</v>
      </c>
      <c r="D9" s="19">
        <v>4</v>
      </c>
      <c r="E9" s="19">
        <v>4</v>
      </c>
      <c r="F9" s="19">
        <v>4</v>
      </c>
      <c r="G9" s="19">
        <v>4</v>
      </c>
      <c r="H9" s="19">
        <v>5</v>
      </c>
      <c r="I9" s="19">
        <v>1</v>
      </c>
      <c r="J9" s="13">
        <v>1</v>
      </c>
      <c r="K9" s="229">
        <v>14084835</v>
      </c>
      <c r="L9" s="230" t="s">
        <v>23</v>
      </c>
      <c r="M9" s="229"/>
      <c r="N9" s="231">
        <v>975163.2</v>
      </c>
      <c r="O9" s="232">
        <v>4</v>
      </c>
      <c r="P9" s="233">
        <v>73</v>
      </c>
      <c r="Q9" s="232">
        <v>734</v>
      </c>
      <c r="R9" s="233">
        <v>7745</v>
      </c>
      <c r="S9" s="232">
        <v>78147</v>
      </c>
      <c r="T9" s="233">
        <v>748469</v>
      </c>
      <c r="V9" s="228"/>
      <c r="X9" s="274"/>
    </row>
    <row r="10" spans="1:24" x14ac:dyDescent="0.15">
      <c r="A10" s="172">
        <v>2</v>
      </c>
      <c r="B10" s="173">
        <v>38364</v>
      </c>
      <c r="C10" s="174" t="s">
        <v>362</v>
      </c>
      <c r="D10" s="238">
        <v>3</v>
      </c>
      <c r="E10" s="27">
        <v>7</v>
      </c>
      <c r="F10" s="27">
        <v>4</v>
      </c>
      <c r="G10" s="27">
        <v>5</v>
      </c>
      <c r="H10" s="27">
        <v>9</v>
      </c>
      <c r="I10" s="27">
        <v>7</v>
      </c>
      <c r="J10" s="7">
        <v>3</v>
      </c>
      <c r="K10" s="222">
        <v>4929123</v>
      </c>
      <c r="L10" s="234">
        <v>1</v>
      </c>
      <c r="M10" s="224">
        <v>1270000</v>
      </c>
      <c r="N10" s="225">
        <v>33935.699999999997</v>
      </c>
      <c r="O10" s="226">
        <v>3</v>
      </c>
      <c r="P10" s="227">
        <v>28</v>
      </c>
      <c r="Q10" s="226">
        <v>315</v>
      </c>
      <c r="R10" s="227">
        <v>3094</v>
      </c>
      <c r="S10" s="226">
        <v>30137</v>
      </c>
      <c r="T10" s="227">
        <v>302406</v>
      </c>
      <c r="V10" s="228"/>
      <c r="X10" s="274"/>
    </row>
    <row r="11" spans="1:24" x14ac:dyDescent="0.15">
      <c r="A11" s="178"/>
      <c r="B11" s="179">
        <v>38367</v>
      </c>
      <c r="C11" s="180" t="s">
        <v>363</v>
      </c>
      <c r="D11" s="76">
        <v>2</v>
      </c>
      <c r="E11" s="76">
        <v>4</v>
      </c>
      <c r="F11" s="76">
        <v>6</v>
      </c>
      <c r="G11" s="76">
        <v>2</v>
      </c>
      <c r="H11" s="76">
        <v>8</v>
      </c>
      <c r="I11" s="76">
        <v>5</v>
      </c>
      <c r="J11" s="13">
        <v>1</v>
      </c>
      <c r="K11" s="229">
        <v>14037603</v>
      </c>
      <c r="L11" s="237">
        <v>1</v>
      </c>
      <c r="M11" s="229">
        <v>970000</v>
      </c>
      <c r="N11" s="229">
        <v>243.8</v>
      </c>
      <c r="O11" s="232">
        <v>5</v>
      </c>
      <c r="P11" s="233">
        <v>86</v>
      </c>
      <c r="Q11" s="232">
        <v>729</v>
      </c>
      <c r="R11" s="233">
        <v>7889</v>
      </c>
      <c r="S11" s="232">
        <v>77808</v>
      </c>
      <c r="T11" s="233">
        <v>747023</v>
      </c>
      <c r="V11" s="228"/>
      <c r="X11" s="274"/>
    </row>
    <row r="12" spans="1:24" x14ac:dyDescent="0.15">
      <c r="A12" s="172">
        <v>3</v>
      </c>
      <c r="B12" s="173">
        <v>38371</v>
      </c>
      <c r="C12" s="174" t="s">
        <v>362</v>
      </c>
      <c r="D12" s="27">
        <v>0</v>
      </c>
      <c r="E12" s="27">
        <v>1</v>
      </c>
      <c r="F12" s="27">
        <v>7</v>
      </c>
      <c r="G12" s="27">
        <v>9</v>
      </c>
      <c r="H12" s="27">
        <v>9</v>
      </c>
      <c r="I12" s="27">
        <v>9</v>
      </c>
      <c r="J12" s="7">
        <v>8</v>
      </c>
      <c r="K12" s="222">
        <v>4802266.5</v>
      </c>
      <c r="L12" s="223" t="s">
        <v>23</v>
      </c>
      <c r="M12" s="224"/>
      <c r="N12" s="225">
        <v>320555</v>
      </c>
      <c r="O12" s="226">
        <v>3</v>
      </c>
      <c r="P12" s="227">
        <v>30</v>
      </c>
      <c r="Q12" s="226">
        <v>296</v>
      </c>
      <c r="R12" s="227">
        <v>3048</v>
      </c>
      <c r="S12" s="226">
        <v>30773</v>
      </c>
      <c r="T12" s="227">
        <v>321603</v>
      </c>
      <c r="V12" s="228"/>
      <c r="X12" s="274"/>
    </row>
    <row r="13" spans="1:24" x14ac:dyDescent="0.15">
      <c r="A13" s="178"/>
      <c r="B13" s="179">
        <v>38374</v>
      </c>
      <c r="C13" s="180" t="s">
        <v>363</v>
      </c>
      <c r="D13" s="19">
        <v>6</v>
      </c>
      <c r="E13" s="19">
        <v>7</v>
      </c>
      <c r="F13" s="19">
        <v>6</v>
      </c>
      <c r="G13" s="19">
        <v>9</v>
      </c>
      <c r="H13" s="19">
        <v>6</v>
      </c>
      <c r="I13" s="19">
        <v>6</v>
      </c>
      <c r="J13" s="13">
        <v>2</v>
      </c>
      <c r="K13" s="229">
        <v>13759887</v>
      </c>
      <c r="L13" s="230" t="s">
        <v>23</v>
      </c>
      <c r="M13" s="229"/>
      <c r="N13" s="231">
        <v>1238339.5</v>
      </c>
      <c r="O13" s="232">
        <v>3</v>
      </c>
      <c r="P13" s="233">
        <v>83</v>
      </c>
      <c r="Q13" s="232">
        <v>776</v>
      </c>
      <c r="R13" s="233">
        <v>7222</v>
      </c>
      <c r="S13" s="232">
        <v>74520</v>
      </c>
      <c r="T13" s="233">
        <v>728782</v>
      </c>
      <c r="V13" s="228"/>
      <c r="X13" s="274"/>
    </row>
    <row r="14" spans="1:24" x14ac:dyDescent="0.15">
      <c r="A14" s="172">
        <v>4</v>
      </c>
      <c r="B14" s="173">
        <v>38378</v>
      </c>
      <c r="C14" s="174" t="s">
        <v>362</v>
      </c>
      <c r="D14" s="27">
        <v>7</v>
      </c>
      <c r="E14" s="27">
        <v>4</v>
      </c>
      <c r="F14" s="27">
        <v>6</v>
      </c>
      <c r="G14" s="27">
        <v>2</v>
      </c>
      <c r="H14" s="27">
        <v>1</v>
      </c>
      <c r="I14" s="27">
        <v>8</v>
      </c>
      <c r="J14" s="7">
        <v>4</v>
      </c>
      <c r="K14" s="222">
        <v>5197446</v>
      </c>
      <c r="L14" s="234" t="s">
        <v>23</v>
      </c>
      <c r="M14" s="224"/>
      <c r="N14" s="225">
        <v>1585009.1</v>
      </c>
      <c r="O14" s="226">
        <v>4</v>
      </c>
      <c r="P14" s="227">
        <v>24</v>
      </c>
      <c r="Q14" s="226">
        <v>302</v>
      </c>
      <c r="R14" s="227">
        <v>2949</v>
      </c>
      <c r="S14" s="226">
        <v>29042</v>
      </c>
      <c r="T14" s="227">
        <v>302278</v>
      </c>
      <c r="V14" s="228"/>
      <c r="X14" s="274"/>
    </row>
    <row r="15" spans="1:24" x14ac:dyDescent="0.15">
      <c r="A15" s="178"/>
      <c r="B15" s="179">
        <v>38381</v>
      </c>
      <c r="C15" s="180" t="s">
        <v>363</v>
      </c>
      <c r="D15" s="19">
        <v>6</v>
      </c>
      <c r="E15" s="19">
        <v>7</v>
      </c>
      <c r="F15" s="19">
        <v>1</v>
      </c>
      <c r="G15" s="19">
        <v>2</v>
      </c>
      <c r="H15" s="19">
        <v>8</v>
      </c>
      <c r="I15" s="19">
        <v>4</v>
      </c>
      <c r="J15" s="13">
        <v>9</v>
      </c>
      <c r="K15" s="229">
        <v>14855037</v>
      </c>
      <c r="L15" s="230">
        <v>3</v>
      </c>
      <c r="M15" s="229">
        <v>770000</v>
      </c>
      <c r="N15" s="231">
        <v>265840.09999999998</v>
      </c>
      <c r="O15" s="232">
        <v>14</v>
      </c>
      <c r="P15" s="233">
        <v>89</v>
      </c>
      <c r="Q15" s="232">
        <v>903</v>
      </c>
      <c r="R15" s="233">
        <v>9561</v>
      </c>
      <c r="S15" s="232">
        <v>93580</v>
      </c>
      <c r="T15" s="233">
        <v>891867</v>
      </c>
      <c r="V15" s="228"/>
      <c r="X15" s="274"/>
    </row>
    <row r="16" spans="1:24" x14ac:dyDescent="0.15">
      <c r="A16" s="172">
        <v>5</v>
      </c>
      <c r="B16" s="173">
        <v>38385</v>
      </c>
      <c r="C16" s="174" t="s">
        <v>362</v>
      </c>
      <c r="D16" s="27">
        <v>2</v>
      </c>
      <c r="E16" s="27">
        <v>6</v>
      </c>
      <c r="F16" s="27">
        <v>0</v>
      </c>
      <c r="G16" s="27">
        <v>7</v>
      </c>
      <c r="H16" s="27">
        <v>8</v>
      </c>
      <c r="I16" s="27">
        <v>6</v>
      </c>
      <c r="J16" s="7">
        <v>7</v>
      </c>
      <c r="K16" s="222">
        <v>6364956</v>
      </c>
      <c r="L16" s="223">
        <v>1</v>
      </c>
      <c r="M16" s="224">
        <v>670000</v>
      </c>
      <c r="N16" s="225">
        <v>20382.7</v>
      </c>
      <c r="O16" s="226">
        <v>4</v>
      </c>
      <c r="P16" s="227">
        <v>49</v>
      </c>
      <c r="Q16" s="226">
        <v>442</v>
      </c>
      <c r="R16" s="227">
        <v>4307</v>
      </c>
      <c r="S16" s="226">
        <v>41823</v>
      </c>
      <c r="T16" s="227">
        <v>422286</v>
      </c>
      <c r="V16" s="228"/>
      <c r="X16" s="274"/>
    </row>
    <row r="17" spans="1:24" x14ac:dyDescent="0.15">
      <c r="A17" s="178"/>
      <c r="B17" s="179">
        <v>38388</v>
      </c>
      <c r="C17" s="180" t="s">
        <v>363</v>
      </c>
      <c r="D17" s="19">
        <v>4</v>
      </c>
      <c r="E17" s="19">
        <v>6</v>
      </c>
      <c r="F17" s="19">
        <v>6</v>
      </c>
      <c r="G17" s="19">
        <v>7</v>
      </c>
      <c r="H17" s="19">
        <v>4</v>
      </c>
      <c r="I17" s="19">
        <v>8</v>
      </c>
      <c r="J17" s="13">
        <v>1</v>
      </c>
      <c r="K17" s="229">
        <v>13887280.5</v>
      </c>
      <c r="L17" s="230" t="s">
        <v>23</v>
      </c>
      <c r="M17" s="229"/>
      <c r="N17" s="231">
        <v>946664.3</v>
      </c>
      <c r="O17" s="232">
        <v>10</v>
      </c>
      <c r="P17" s="233">
        <v>79</v>
      </c>
      <c r="Q17" s="232">
        <v>740</v>
      </c>
      <c r="R17" s="233">
        <v>7417</v>
      </c>
      <c r="S17" s="232">
        <v>73738</v>
      </c>
      <c r="T17" s="233">
        <v>754586</v>
      </c>
      <c r="V17" s="228"/>
      <c r="X17" s="274"/>
    </row>
    <row r="18" spans="1:24" x14ac:dyDescent="0.15">
      <c r="A18" s="172">
        <v>6</v>
      </c>
      <c r="B18" s="173">
        <v>38392</v>
      </c>
      <c r="C18" s="174" t="s">
        <v>362</v>
      </c>
      <c r="D18" s="27">
        <v>9</v>
      </c>
      <c r="E18" s="27">
        <v>4</v>
      </c>
      <c r="F18" s="27">
        <v>6</v>
      </c>
      <c r="G18" s="27">
        <v>9</v>
      </c>
      <c r="H18" s="27">
        <v>6</v>
      </c>
      <c r="I18" s="27">
        <v>1</v>
      </c>
      <c r="J18" s="7">
        <v>8</v>
      </c>
      <c r="K18" s="222">
        <v>5070415.5</v>
      </c>
      <c r="L18" s="223" t="s">
        <v>23</v>
      </c>
      <c r="M18" s="224"/>
      <c r="N18" s="224">
        <v>1284861</v>
      </c>
      <c r="O18" s="226">
        <v>1</v>
      </c>
      <c r="P18" s="227">
        <v>41</v>
      </c>
      <c r="Q18" s="226">
        <v>342</v>
      </c>
      <c r="R18" s="227">
        <v>3266</v>
      </c>
      <c r="S18" s="226">
        <v>32220</v>
      </c>
      <c r="T18" s="227">
        <v>336969</v>
      </c>
      <c r="V18" s="228"/>
      <c r="X18" s="274"/>
    </row>
    <row r="19" spans="1:24" x14ac:dyDescent="0.15">
      <c r="A19" s="178"/>
      <c r="B19" s="179">
        <v>38395</v>
      </c>
      <c r="C19" s="180" t="s">
        <v>363</v>
      </c>
      <c r="D19" s="19">
        <v>7</v>
      </c>
      <c r="E19" s="19">
        <v>0</v>
      </c>
      <c r="F19" s="19">
        <v>9</v>
      </c>
      <c r="G19" s="19">
        <v>0</v>
      </c>
      <c r="H19" s="19">
        <v>8</v>
      </c>
      <c r="I19" s="19">
        <v>0</v>
      </c>
      <c r="J19" s="13">
        <v>4</v>
      </c>
      <c r="K19" s="229">
        <v>14132088</v>
      </c>
      <c r="L19" s="230" t="s">
        <v>23</v>
      </c>
      <c r="M19" s="229"/>
      <c r="N19" s="231">
        <v>2227471.2999999998</v>
      </c>
      <c r="O19" s="232">
        <v>5</v>
      </c>
      <c r="P19" s="233">
        <v>63</v>
      </c>
      <c r="Q19" s="232">
        <v>658</v>
      </c>
      <c r="R19" s="233">
        <v>7257</v>
      </c>
      <c r="S19" s="232">
        <v>70715</v>
      </c>
      <c r="T19" s="233">
        <v>816109</v>
      </c>
      <c r="V19" s="228"/>
      <c r="X19" s="274"/>
    </row>
    <row r="20" spans="1:24" x14ac:dyDescent="0.15">
      <c r="A20" s="172">
        <v>7</v>
      </c>
      <c r="B20" s="173">
        <v>38399</v>
      </c>
      <c r="C20" s="174" t="s">
        <v>362</v>
      </c>
      <c r="D20" s="27">
        <v>7</v>
      </c>
      <c r="E20" s="27">
        <v>6</v>
      </c>
      <c r="F20" s="27">
        <v>3</v>
      </c>
      <c r="G20" s="27">
        <v>0</v>
      </c>
      <c r="H20" s="27">
        <v>7</v>
      </c>
      <c r="I20" s="27">
        <v>3</v>
      </c>
      <c r="J20" s="7">
        <v>2</v>
      </c>
      <c r="K20" s="222">
        <v>6279478.5</v>
      </c>
      <c r="L20" s="223" t="s">
        <v>23</v>
      </c>
      <c r="M20" s="224"/>
      <c r="N20" s="225">
        <v>2646312.5</v>
      </c>
      <c r="O20" s="226">
        <v>5</v>
      </c>
      <c r="P20" s="227">
        <v>29</v>
      </c>
      <c r="Q20" s="226">
        <v>330</v>
      </c>
      <c r="R20" s="227">
        <v>3456</v>
      </c>
      <c r="S20" s="226">
        <v>34154</v>
      </c>
      <c r="T20" s="227">
        <v>339766</v>
      </c>
      <c r="V20" s="228"/>
      <c r="X20" s="274"/>
    </row>
    <row r="21" spans="1:24" x14ac:dyDescent="0.15">
      <c r="A21" s="178"/>
      <c r="B21" s="179">
        <v>38402</v>
      </c>
      <c r="C21" s="180" t="s">
        <v>363</v>
      </c>
      <c r="D21" s="19">
        <v>8</v>
      </c>
      <c r="E21" s="19">
        <v>7</v>
      </c>
      <c r="F21" s="19">
        <v>7</v>
      </c>
      <c r="G21" s="19">
        <v>8</v>
      </c>
      <c r="H21" s="19">
        <v>0</v>
      </c>
      <c r="I21" s="19">
        <v>0</v>
      </c>
      <c r="J21" s="13">
        <v>7</v>
      </c>
      <c r="K21" s="229">
        <v>14074183.5</v>
      </c>
      <c r="L21" s="230">
        <v>1</v>
      </c>
      <c r="M21" s="229">
        <v>3570000</v>
      </c>
      <c r="N21" s="231">
        <v>15060.5</v>
      </c>
      <c r="O21" s="232">
        <v>2</v>
      </c>
      <c r="P21" s="233">
        <v>83</v>
      </c>
      <c r="Q21" s="232">
        <v>859</v>
      </c>
      <c r="R21" s="233">
        <v>8188</v>
      </c>
      <c r="S21" s="232">
        <v>80965</v>
      </c>
      <c r="T21" s="233">
        <v>956648</v>
      </c>
      <c r="U21" s="240"/>
      <c r="V21" s="228"/>
      <c r="X21" s="274"/>
    </row>
    <row r="22" spans="1:24" x14ac:dyDescent="0.15">
      <c r="A22" s="172">
        <v>8</v>
      </c>
      <c r="B22" s="173">
        <v>38406</v>
      </c>
      <c r="C22" s="174" t="s">
        <v>362</v>
      </c>
      <c r="D22" s="27">
        <v>5</v>
      </c>
      <c r="E22" s="27">
        <v>2</v>
      </c>
      <c r="F22" s="27">
        <v>2</v>
      </c>
      <c r="G22" s="27">
        <v>6</v>
      </c>
      <c r="H22" s="27">
        <v>1</v>
      </c>
      <c r="I22" s="27">
        <v>9</v>
      </c>
      <c r="J22" s="7">
        <v>7</v>
      </c>
      <c r="K22" s="222">
        <v>5062659</v>
      </c>
      <c r="L22" s="223">
        <v>1</v>
      </c>
      <c r="M22" s="224">
        <v>270000</v>
      </c>
      <c r="N22" s="225">
        <v>82739.899999999994</v>
      </c>
      <c r="O22" s="226">
        <v>4</v>
      </c>
      <c r="P22" s="227">
        <v>29</v>
      </c>
      <c r="Q22" s="226">
        <v>300</v>
      </c>
      <c r="R22" s="227">
        <v>3303</v>
      </c>
      <c r="S22" s="226">
        <v>31608</v>
      </c>
      <c r="T22" s="227">
        <v>341056</v>
      </c>
      <c r="V22" s="228"/>
      <c r="X22" s="274"/>
    </row>
    <row r="23" spans="1:24" x14ac:dyDescent="0.15">
      <c r="A23" s="178"/>
      <c r="B23" s="179">
        <v>38409</v>
      </c>
      <c r="C23" s="180" t="s">
        <v>363</v>
      </c>
      <c r="D23" s="19">
        <v>3</v>
      </c>
      <c r="E23" s="19">
        <v>2</v>
      </c>
      <c r="F23" s="19">
        <v>7</v>
      </c>
      <c r="G23" s="19">
        <v>0</v>
      </c>
      <c r="H23" s="19">
        <v>5</v>
      </c>
      <c r="I23" s="19">
        <v>2</v>
      </c>
      <c r="J23" s="13">
        <v>2</v>
      </c>
      <c r="K23" s="229">
        <v>14124157.5</v>
      </c>
      <c r="L23" s="230" t="s">
        <v>23</v>
      </c>
      <c r="M23" s="229"/>
      <c r="N23" s="231">
        <v>1024821.2</v>
      </c>
      <c r="O23" s="232">
        <v>6</v>
      </c>
      <c r="P23" s="233">
        <v>96</v>
      </c>
      <c r="Q23" s="232">
        <v>757</v>
      </c>
      <c r="R23" s="233">
        <v>7652</v>
      </c>
      <c r="S23" s="232">
        <v>75949</v>
      </c>
      <c r="T23" s="233">
        <v>752522</v>
      </c>
      <c r="V23" s="228"/>
      <c r="X23" s="274"/>
    </row>
    <row r="24" spans="1:24" x14ac:dyDescent="0.15">
      <c r="A24" s="172">
        <v>9</v>
      </c>
      <c r="B24" s="173">
        <v>38413</v>
      </c>
      <c r="C24" s="174" t="s">
        <v>362</v>
      </c>
      <c r="D24" s="27">
        <v>4</v>
      </c>
      <c r="E24" s="27">
        <v>6</v>
      </c>
      <c r="F24" s="27">
        <v>4</v>
      </c>
      <c r="G24" s="27">
        <v>1</v>
      </c>
      <c r="H24" s="27">
        <v>9</v>
      </c>
      <c r="I24" s="27">
        <v>1</v>
      </c>
      <c r="J24" s="7">
        <v>6</v>
      </c>
      <c r="K24" s="222">
        <v>5816670</v>
      </c>
      <c r="L24" s="223">
        <v>1</v>
      </c>
      <c r="M24" s="224">
        <v>1370000</v>
      </c>
      <c r="N24" s="225">
        <v>42793.1</v>
      </c>
      <c r="O24" s="226">
        <v>5</v>
      </c>
      <c r="P24" s="227">
        <v>35</v>
      </c>
      <c r="Q24" s="226">
        <v>291</v>
      </c>
      <c r="R24" s="227">
        <v>3495</v>
      </c>
      <c r="S24" s="226">
        <v>36051</v>
      </c>
      <c r="T24" s="227">
        <v>372580</v>
      </c>
      <c r="V24" s="228"/>
      <c r="X24" s="274"/>
    </row>
    <row r="25" spans="1:24" x14ac:dyDescent="0.15">
      <c r="A25" s="178"/>
      <c r="B25" s="179">
        <v>38416</v>
      </c>
      <c r="C25" s="180" t="s">
        <v>363</v>
      </c>
      <c r="D25" s="19">
        <v>8</v>
      </c>
      <c r="E25" s="19">
        <v>5</v>
      </c>
      <c r="F25" s="19">
        <v>9</v>
      </c>
      <c r="G25" s="19">
        <v>2</v>
      </c>
      <c r="H25" s="19">
        <v>6</v>
      </c>
      <c r="I25" s="19">
        <v>0</v>
      </c>
      <c r="J25" s="13">
        <v>2</v>
      </c>
      <c r="K25" s="229">
        <v>15561733.5</v>
      </c>
      <c r="L25" s="230">
        <v>1</v>
      </c>
      <c r="M25" s="229">
        <v>1070000</v>
      </c>
      <c r="N25" s="231">
        <v>10760.7</v>
      </c>
      <c r="O25" s="232">
        <v>9</v>
      </c>
      <c r="P25" s="233">
        <v>74</v>
      </c>
      <c r="Q25" s="232">
        <v>752</v>
      </c>
      <c r="R25" s="233">
        <v>7724</v>
      </c>
      <c r="S25" s="232">
        <v>75092</v>
      </c>
      <c r="T25" s="233">
        <v>847004</v>
      </c>
      <c r="V25" s="228"/>
      <c r="X25" s="274"/>
    </row>
    <row r="26" spans="1:24" x14ac:dyDescent="0.15">
      <c r="A26" s="172">
        <v>10</v>
      </c>
      <c r="B26" s="173">
        <v>38420</v>
      </c>
      <c r="C26" s="174" t="s">
        <v>362</v>
      </c>
      <c r="D26" s="27">
        <v>7</v>
      </c>
      <c r="E26" s="27">
        <v>9</v>
      </c>
      <c r="F26" s="27">
        <v>7</v>
      </c>
      <c r="G26" s="27">
        <v>8</v>
      </c>
      <c r="H26" s="27">
        <v>5</v>
      </c>
      <c r="I26" s="27">
        <v>4</v>
      </c>
      <c r="J26" s="7">
        <v>2</v>
      </c>
      <c r="K26" s="222">
        <v>7306728</v>
      </c>
      <c r="L26" s="223" t="s">
        <v>23</v>
      </c>
      <c r="M26" s="224"/>
      <c r="N26" s="225">
        <v>498119.5</v>
      </c>
      <c r="O26" s="226">
        <v>4</v>
      </c>
      <c r="P26" s="227">
        <v>50</v>
      </c>
      <c r="Q26" s="226">
        <v>376</v>
      </c>
      <c r="R26" s="227">
        <v>4100</v>
      </c>
      <c r="S26" s="226">
        <v>40127</v>
      </c>
      <c r="T26" s="227">
        <v>401113</v>
      </c>
      <c r="V26" s="228"/>
      <c r="X26" s="274"/>
    </row>
    <row r="27" spans="1:24" x14ac:dyDescent="0.15">
      <c r="A27" s="178"/>
      <c r="B27" s="179">
        <v>38423</v>
      </c>
      <c r="C27" s="180" t="s">
        <v>363</v>
      </c>
      <c r="D27" s="19">
        <v>5</v>
      </c>
      <c r="E27" s="19">
        <v>2</v>
      </c>
      <c r="F27" s="19">
        <v>5</v>
      </c>
      <c r="G27" s="19">
        <v>2</v>
      </c>
      <c r="H27" s="19">
        <v>4</v>
      </c>
      <c r="I27" s="19">
        <v>7</v>
      </c>
      <c r="J27" s="13">
        <v>9</v>
      </c>
      <c r="K27" s="229">
        <v>18589344</v>
      </c>
      <c r="L27" s="230">
        <v>2</v>
      </c>
      <c r="M27" s="229">
        <v>770000</v>
      </c>
      <c r="N27" s="231">
        <v>198028.7</v>
      </c>
      <c r="O27" s="232">
        <v>13</v>
      </c>
      <c r="P27" s="233">
        <v>105</v>
      </c>
      <c r="Q27" s="232">
        <v>1045</v>
      </c>
      <c r="R27" s="233">
        <v>11345</v>
      </c>
      <c r="S27" s="232">
        <v>112974</v>
      </c>
      <c r="T27" s="233">
        <v>1126291</v>
      </c>
      <c r="V27" s="228"/>
      <c r="X27" s="274"/>
    </row>
    <row r="28" spans="1:24" x14ac:dyDescent="0.15">
      <c r="A28" s="172">
        <v>11</v>
      </c>
      <c r="B28" s="173">
        <v>38427</v>
      </c>
      <c r="C28" s="174" t="s">
        <v>362</v>
      </c>
      <c r="D28" s="27">
        <v>1</v>
      </c>
      <c r="E28" s="27">
        <v>3</v>
      </c>
      <c r="F28" s="27">
        <v>9</v>
      </c>
      <c r="G28" s="27">
        <v>2</v>
      </c>
      <c r="H28" s="27">
        <v>7</v>
      </c>
      <c r="I28" s="27">
        <v>2</v>
      </c>
      <c r="J28" s="7">
        <v>0</v>
      </c>
      <c r="K28" s="222">
        <v>5293239</v>
      </c>
      <c r="L28" s="223" t="s">
        <v>23</v>
      </c>
      <c r="M28" s="224"/>
      <c r="N28" s="225">
        <v>551087.69999999995</v>
      </c>
      <c r="O28" s="226">
        <v>6</v>
      </c>
      <c r="P28" s="227">
        <v>28</v>
      </c>
      <c r="Q28" s="226">
        <v>218</v>
      </c>
      <c r="R28" s="227">
        <v>2535</v>
      </c>
      <c r="S28" s="226">
        <v>25040</v>
      </c>
      <c r="T28" s="227">
        <v>261779</v>
      </c>
      <c r="V28" s="228"/>
      <c r="X28" s="274"/>
    </row>
    <row r="29" spans="1:24" x14ac:dyDescent="0.15">
      <c r="A29" s="178"/>
      <c r="B29" s="179">
        <v>38430</v>
      </c>
      <c r="C29" s="180" t="s">
        <v>363</v>
      </c>
      <c r="D29" s="19">
        <v>6</v>
      </c>
      <c r="E29" s="19">
        <v>3</v>
      </c>
      <c r="F29" s="19">
        <v>9</v>
      </c>
      <c r="G29" s="19">
        <v>4</v>
      </c>
      <c r="H29" s="19">
        <v>9</v>
      </c>
      <c r="I29" s="19">
        <v>4</v>
      </c>
      <c r="J29" s="13">
        <v>6</v>
      </c>
      <c r="K29" s="229">
        <v>13898536.5</v>
      </c>
      <c r="L29" s="230" t="s">
        <v>23</v>
      </c>
      <c r="M29" s="229"/>
      <c r="N29" s="231">
        <v>1478120.1</v>
      </c>
      <c r="O29" s="232">
        <v>21</v>
      </c>
      <c r="P29" s="233">
        <v>100</v>
      </c>
      <c r="Q29" s="232">
        <v>939</v>
      </c>
      <c r="R29" s="233">
        <v>9339</v>
      </c>
      <c r="S29" s="232">
        <v>91272</v>
      </c>
      <c r="T29" s="233">
        <v>874521</v>
      </c>
      <c r="V29" s="228"/>
      <c r="X29" s="274"/>
    </row>
    <row r="30" spans="1:24" x14ac:dyDescent="0.15">
      <c r="A30" s="172">
        <v>12</v>
      </c>
      <c r="B30" s="173">
        <v>38434</v>
      </c>
      <c r="C30" s="174" t="s">
        <v>362</v>
      </c>
      <c r="D30" s="27">
        <v>9</v>
      </c>
      <c r="E30" s="27">
        <v>5</v>
      </c>
      <c r="F30" s="27">
        <v>7</v>
      </c>
      <c r="G30" s="27">
        <v>2</v>
      </c>
      <c r="H30" s="27">
        <v>4</v>
      </c>
      <c r="I30" s="27">
        <v>1</v>
      </c>
      <c r="J30" s="7">
        <v>3</v>
      </c>
      <c r="K30" s="222">
        <v>4927278</v>
      </c>
      <c r="L30" s="223">
        <v>1</v>
      </c>
      <c r="M30" s="224">
        <v>1770000</v>
      </c>
      <c r="N30" s="225">
        <v>36769.5</v>
      </c>
      <c r="O30" s="226">
        <v>6</v>
      </c>
      <c r="P30" s="227">
        <v>35</v>
      </c>
      <c r="Q30" s="226">
        <v>347</v>
      </c>
      <c r="R30" s="227">
        <v>3638</v>
      </c>
      <c r="S30" s="226">
        <v>35921</v>
      </c>
      <c r="T30" s="227">
        <v>295346</v>
      </c>
      <c r="V30" s="228"/>
      <c r="X30" s="274"/>
    </row>
    <row r="31" spans="1:24" x14ac:dyDescent="0.15">
      <c r="A31" s="178"/>
      <c r="B31" s="179">
        <v>38437</v>
      </c>
      <c r="C31" s="180" t="s">
        <v>363</v>
      </c>
      <c r="D31" s="19">
        <v>9</v>
      </c>
      <c r="E31" s="19">
        <v>6</v>
      </c>
      <c r="F31" s="19">
        <v>6</v>
      </c>
      <c r="G31" s="19">
        <v>5</v>
      </c>
      <c r="H31" s="19">
        <v>4</v>
      </c>
      <c r="I31" s="19">
        <v>1</v>
      </c>
      <c r="J31" s="13">
        <v>5</v>
      </c>
      <c r="K31" s="229">
        <v>13624947</v>
      </c>
      <c r="L31" s="230" t="s">
        <v>23</v>
      </c>
      <c r="M31" s="229"/>
      <c r="N31" s="231">
        <v>945553.5</v>
      </c>
      <c r="O31" s="232">
        <v>8</v>
      </c>
      <c r="P31" s="233">
        <v>115</v>
      </c>
      <c r="Q31" s="232">
        <v>860</v>
      </c>
      <c r="R31" s="233">
        <v>9078</v>
      </c>
      <c r="S31" s="232">
        <v>88367</v>
      </c>
      <c r="T31" s="233">
        <v>919433</v>
      </c>
      <c r="V31" s="228"/>
      <c r="X31" s="274"/>
    </row>
    <row r="32" spans="1:24" x14ac:dyDescent="0.15">
      <c r="A32" s="172">
        <v>13</v>
      </c>
      <c r="B32" s="173">
        <v>38441</v>
      </c>
      <c r="C32" s="174" t="s">
        <v>362</v>
      </c>
      <c r="D32" s="27">
        <v>8</v>
      </c>
      <c r="E32" s="27">
        <v>5</v>
      </c>
      <c r="F32" s="27">
        <v>8</v>
      </c>
      <c r="G32" s="27">
        <v>8</v>
      </c>
      <c r="H32" s="27">
        <v>1</v>
      </c>
      <c r="I32" s="27">
        <v>6</v>
      </c>
      <c r="J32" s="7">
        <v>5</v>
      </c>
      <c r="K32" s="222">
        <v>4583299.5</v>
      </c>
      <c r="L32" s="223" t="s">
        <v>23</v>
      </c>
      <c r="M32" s="224"/>
      <c r="N32" s="225">
        <v>1251259.6000000001</v>
      </c>
      <c r="O32" s="226">
        <v>2</v>
      </c>
      <c r="P32" s="227">
        <v>14</v>
      </c>
      <c r="Q32" s="226">
        <v>306</v>
      </c>
      <c r="R32" s="227">
        <v>3098</v>
      </c>
      <c r="S32" s="226">
        <v>30359</v>
      </c>
      <c r="T32" s="227">
        <v>306672</v>
      </c>
      <c r="V32" s="228"/>
      <c r="X32" s="274"/>
    </row>
    <row r="33" spans="1:24" x14ac:dyDescent="0.15">
      <c r="A33" s="178"/>
      <c r="B33" s="179">
        <v>38444</v>
      </c>
      <c r="C33" s="180" t="s">
        <v>363</v>
      </c>
      <c r="D33" s="19">
        <v>1</v>
      </c>
      <c r="E33" s="19">
        <v>7</v>
      </c>
      <c r="F33" s="19">
        <v>8</v>
      </c>
      <c r="G33" s="19">
        <v>7</v>
      </c>
      <c r="H33" s="19">
        <v>7</v>
      </c>
      <c r="I33" s="19">
        <v>3</v>
      </c>
      <c r="J33" s="13">
        <v>1</v>
      </c>
      <c r="K33" s="229">
        <v>13344226.5</v>
      </c>
      <c r="L33" s="230" t="s">
        <v>23</v>
      </c>
      <c r="M33" s="229"/>
      <c r="N33" s="231">
        <v>2141319.5</v>
      </c>
      <c r="O33" s="232">
        <v>5</v>
      </c>
      <c r="P33" s="233">
        <v>91</v>
      </c>
      <c r="Q33" s="232">
        <v>747</v>
      </c>
      <c r="R33" s="233">
        <v>7571</v>
      </c>
      <c r="S33" s="232">
        <v>72899</v>
      </c>
      <c r="T33" s="233">
        <v>715475</v>
      </c>
      <c r="V33" s="228"/>
      <c r="X33" s="274"/>
    </row>
    <row r="34" spans="1:24" x14ac:dyDescent="0.15">
      <c r="A34" s="172">
        <v>14</v>
      </c>
      <c r="B34" s="173">
        <v>38448</v>
      </c>
      <c r="C34" s="174" t="s">
        <v>362</v>
      </c>
      <c r="D34" s="27">
        <v>6</v>
      </c>
      <c r="E34" s="27">
        <v>9</v>
      </c>
      <c r="F34" s="27">
        <v>0</v>
      </c>
      <c r="G34" s="27">
        <v>0</v>
      </c>
      <c r="H34" s="27">
        <v>0</v>
      </c>
      <c r="I34" s="27">
        <v>1</v>
      </c>
      <c r="J34" s="7">
        <v>8</v>
      </c>
      <c r="K34" s="222">
        <v>4873963.5</v>
      </c>
      <c r="L34" s="223" t="s">
        <v>23</v>
      </c>
      <c r="M34" s="224"/>
      <c r="N34" s="225">
        <v>2466412.9</v>
      </c>
      <c r="O34" s="226">
        <v>2</v>
      </c>
      <c r="P34" s="227">
        <v>20</v>
      </c>
      <c r="Q34" s="226">
        <v>246</v>
      </c>
      <c r="R34" s="227">
        <v>3013</v>
      </c>
      <c r="S34" s="226">
        <v>31699</v>
      </c>
      <c r="T34" s="227">
        <v>323674</v>
      </c>
      <c r="V34" s="228"/>
      <c r="X34" s="274"/>
    </row>
    <row r="35" spans="1:24" x14ac:dyDescent="0.15">
      <c r="A35" s="178"/>
      <c r="B35" s="179">
        <v>38451</v>
      </c>
      <c r="C35" s="180" t="s">
        <v>363</v>
      </c>
      <c r="D35" s="19">
        <v>4</v>
      </c>
      <c r="E35" s="19">
        <v>9</v>
      </c>
      <c r="F35" s="19">
        <v>4</v>
      </c>
      <c r="G35" s="19">
        <v>9</v>
      </c>
      <c r="H35" s="19">
        <v>3</v>
      </c>
      <c r="I35" s="19">
        <v>8</v>
      </c>
      <c r="J35" s="13">
        <v>0</v>
      </c>
      <c r="K35" s="229">
        <v>13834288.5</v>
      </c>
      <c r="L35" s="230">
        <v>3</v>
      </c>
      <c r="M35" s="229">
        <v>1070000</v>
      </c>
      <c r="N35" s="231">
        <v>179159.9</v>
      </c>
      <c r="O35" s="232">
        <v>7</v>
      </c>
      <c r="P35" s="233">
        <v>64</v>
      </c>
      <c r="Q35" s="232">
        <v>669</v>
      </c>
      <c r="R35" s="233">
        <v>6960</v>
      </c>
      <c r="S35" s="232">
        <v>66055</v>
      </c>
      <c r="T35" s="233">
        <v>657665</v>
      </c>
      <c r="V35" s="228"/>
      <c r="X35" s="274"/>
    </row>
    <row r="36" spans="1:24" x14ac:dyDescent="0.15">
      <c r="A36" s="172">
        <v>15</v>
      </c>
      <c r="B36" s="173">
        <v>38455</v>
      </c>
      <c r="C36" s="174" t="s">
        <v>362</v>
      </c>
      <c r="D36" s="27">
        <v>2</v>
      </c>
      <c r="E36" s="27">
        <v>9</v>
      </c>
      <c r="F36" s="27">
        <v>5</v>
      </c>
      <c r="G36" s="27">
        <v>3</v>
      </c>
      <c r="H36" s="27">
        <v>8</v>
      </c>
      <c r="I36" s="27">
        <v>0</v>
      </c>
      <c r="J36" s="7">
        <v>1</v>
      </c>
      <c r="K36" s="222">
        <v>4673343</v>
      </c>
      <c r="L36" s="223">
        <v>1</v>
      </c>
      <c r="M36" s="224">
        <v>470000</v>
      </c>
      <c r="N36" s="225">
        <v>20871.900000000001</v>
      </c>
      <c r="O36" s="226">
        <v>1</v>
      </c>
      <c r="P36" s="227">
        <v>25</v>
      </c>
      <c r="Q36" s="226">
        <v>237</v>
      </c>
      <c r="R36" s="227">
        <v>2370</v>
      </c>
      <c r="S36" s="226">
        <v>23404</v>
      </c>
      <c r="T36" s="227">
        <v>257258</v>
      </c>
      <c r="V36" s="228"/>
      <c r="X36" s="274"/>
    </row>
    <row r="37" spans="1:24" x14ac:dyDescent="0.15">
      <c r="A37" s="178"/>
      <c r="B37" s="179">
        <v>38458</v>
      </c>
      <c r="C37" s="180" t="s">
        <v>363</v>
      </c>
      <c r="D37" s="19">
        <v>3</v>
      </c>
      <c r="E37" s="19">
        <v>5</v>
      </c>
      <c r="F37" s="19">
        <v>9</v>
      </c>
      <c r="G37" s="19">
        <v>8</v>
      </c>
      <c r="H37" s="19">
        <v>4</v>
      </c>
      <c r="I37" s="19">
        <v>6</v>
      </c>
      <c r="J37" s="13">
        <v>0</v>
      </c>
      <c r="K37" s="229">
        <v>13271472</v>
      </c>
      <c r="L37" s="230">
        <v>1</v>
      </c>
      <c r="M37" s="229">
        <v>870000</v>
      </c>
      <c r="N37" s="231">
        <v>36079.1</v>
      </c>
      <c r="O37" s="232">
        <v>4</v>
      </c>
      <c r="P37" s="233">
        <v>58</v>
      </c>
      <c r="Q37" s="232">
        <v>626</v>
      </c>
      <c r="R37" s="233">
        <v>6130</v>
      </c>
      <c r="S37" s="232">
        <v>63229</v>
      </c>
      <c r="T37" s="233">
        <v>631058</v>
      </c>
      <c r="V37" s="228"/>
      <c r="X37" s="274"/>
    </row>
    <row r="38" spans="1:24" x14ac:dyDescent="0.15">
      <c r="A38" s="172">
        <v>16</v>
      </c>
      <c r="B38" s="173">
        <v>38462</v>
      </c>
      <c r="C38" s="174" t="s">
        <v>362</v>
      </c>
      <c r="D38" s="27">
        <v>9</v>
      </c>
      <c r="E38" s="27">
        <v>6</v>
      </c>
      <c r="F38" s="27">
        <v>5</v>
      </c>
      <c r="G38" s="27">
        <v>8</v>
      </c>
      <c r="H38" s="27">
        <v>6</v>
      </c>
      <c r="I38" s="27">
        <v>0</v>
      </c>
      <c r="J38" s="7">
        <v>6</v>
      </c>
      <c r="K38" s="222">
        <v>4697296.5</v>
      </c>
      <c r="L38" s="223">
        <v>1</v>
      </c>
      <c r="M38" s="224">
        <v>270000</v>
      </c>
      <c r="N38" s="225">
        <v>79388.800000000003</v>
      </c>
      <c r="O38" s="226">
        <v>2</v>
      </c>
      <c r="P38" s="227">
        <v>22</v>
      </c>
      <c r="Q38" s="226">
        <v>246</v>
      </c>
      <c r="R38" s="227">
        <v>2760</v>
      </c>
      <c r="S38" s="226">
        <v>25841</v>
      </c>
      <c r="T38" s="227">
        <v>302560</v>
      </c>
      <c r="V38" s="228"/>
      <c r="X38" s="274"/>
    </row>
    <row r="39" spans="1:24" x14ac:dyDescent="0.15">
      <c r="A39" s="178"/>
      <c r="B39" s="179">
        <v>38465</v>
      </c>
      <c r="C39" s="180" t="s">
        <v>363</v>
      </c>
      <c r="D39" s="19">
        <v>2</v>
      </c>
      <c r="E39" s="19">
        <v>7</v>
      </c>
      <c r="F39" s="19">
        <v>2</v>
      </c>
      <c r="G39" s="19">
        <v>9</v>
      </c>
      <c r="H39" s="19">
        <v>9</v>
      </c>
      <c r="I39" s="19">
        <v>6</v>
      </c>
      <c r="J39" s="13">
        <v>5</v>
      </c>
      <c r="K39" s="229">
        <v>13309786.5</v>
      </c>
      <c r="L39" s="230">
        <v>1</v>
      </c>
      <c r="M39" s="229">
        <v>870000</v>
      </c>
      <c r="N39" s="231">
        <v>97151.6</v>
      </c>
      <c r="O39" s="232">
        <v>5</v>
      </c>
      <c r="P39" s="233">
        <v>84</v>
      </c>
      <c r="Q39" s="232">
        <v>900</v>
      </c>
      <c r="R39" s="233">
        <v>9082</v>
      </c>
      <c r="S39" s="232">
        <v>91570</v>
      </c>
      <c r="T39" s="233">
        <v>890266</v>
      </c>
      <c r="V39" s="228"/>
      <c r="X39" s="274"/>
    </row>
    <row r="40" spans="1:24" x14ac:dyDescent="0.15">
      <c r="A40" s="172">
        <v>17</v>
      </c>
      <c r="B40" s="173">
        <v>38469</v>
      </c>
      <c r="C40" s="174" t="s">
        <v>362</v>
      </c>
      <c r="D40" s="27">
        <v>0</v>
      </c>
      <c r="E40" s="27">
        <v>6</v>
      </c>
      <c r="F40" s="27">
        <v>7</v>
      </c>
      <c r="G40" s="27">
        <v>6</v>
      </c>
      <c r="H40" s="27">
        <v>7</v>
      </c>
      <c r="I40" s="27">
        <v>3</v>
      </c>
      <c r="J40" s="7">
        <v>5</v>
      </c>
      <c r="K40" s="222">
        <v>4522378.5</v>
      </c>
      <c r="L40" s="223" t="s">
        <v>23</v>
      </c>
      <c r="M40" s="224"/>
      <c r="N40" s="225">
        <v>398794.2</v>
      </c>
      <c r="O40" s="226">
        <v>2</v>
      </c>
      <c r="P40" s="227">
        <v>44</v>
      </c>
      <c r="Q40" s="226">
        <v>356</v>
      </c>
      <c r="R40" s="227">
        <v>3335</v>
      </c>
      <c r="S40" s="226">
        <v>31928</v>
      </c>
      <c r="T40" s="227">
        <v>300581</v>
      </c>
      <c r="V40" s="228"/>
      <c r="X40" s="274"/>
    </row>
    <row r="41" spans="1:24" x14ac:dyDescent="0.15">
      <c r="A41" s="178"/>
      <c r="B41" s="179">
        <v>38472</v>
      </c>
      <c r="C41" s="180" t="s">
        <v>363</v>
      </c>
      <c r="D41" s="19">
        <v>9</v>
      </c>
      <c r="E41" s="19">
        <v>7</v>
      </c>
      <c r="F41" s="19">
        <v>0</v>
      </c>
      <c r="G41" s="19">
        <v>6</v>
      </c>
      <c r="H41" s="19">
        <v>0</v>
      </c>
      <c r="I41" s="19">
        <v>2</v>
      </c>
      <c r="J41" s="13">
        <v>2</v>
      </c>
      <c r="K41" s="229">
        <v>13243539</v>
      </c>
      <c r="L41" s="230" t="s">
        <v>23</v>
      </c>
      <c r="M41" s="229"/>
      <c r="N41" s="231">
        <v>1282138.3</v>
      </c>
      <c r="O41" s="232">
        <v>6</v>
      </c>
      <c r="P41" s="233">
        <v>49</v>
      </c>
      <c r="Q41" s="232">
        <v>675</v>
      </c>
      <c r="R41" s="233">
        <v>7125</v>
      </c>
      <c r="S41" s="232">
        <v>71775</v>
      </c>
      <c r="T41" s="233">
        <v>710895</v>
      </c>
      <c r="V41" s="228"/>
      <c r="X41" s="274"/>
    </row>
    <row r="42" spans="1:24" x14ac:dyDescent="0.15">
      <c r="A42" s="172">
        <v>18</v>
      </c>
      <c r="B42" s="173">
        <v>38476</v>
      </c>
      <c r="C42" s="174" t="s">
        <v>362</v>
      </c>
      <c r="D42" s="27">
        <v>1</v>
      </c>
      <c r="E42" s="27">
        <v>2</v>
      </c>
      <c r="F42" s="27">
        <v>0</v>
      </c>
      <c r="G42" s="27">
        <v>1</v>
      </c>
      <c r="H42" s="27">
        <v>7</v>
      </c>
      <c r="I42" s="27">
        <v>8</v>
      </c>
      <c r="J42" s="7">
        <v>4</v>
      </c>
      <c r="K42" s="222">
        <v>4981603.5</v>
      </c>
      <c r="L42" s="234" t="s">
        <v>23</v>
      </c>
      <c r="M42" s="224"/>
      <c r="N42" s="225">
        <v>1614411.3</v>
      </c>
      <c r="O42" s="226" t="s">
        <v>17</v>
      </c>
      <c r="P42" s="227">
        <v>17</v>
      </c>
      <c r="Q42" s="226">
        <v>276</v>
      </c>
      <c r="R42" s="227">
        <v>2833</v>
      </c>
      <c r="S42" s="226">
        <v>27732</v>
      </c>
      <c r="T42" s="227">
        <v>286380</v>
      </c>
      <c r="V42" s="228"/>
      <c r="X42" s="274"/>
    </row>
    <row r="43" spans="1:24" x14ac:dyDescent="0.15">
      <c r="A43" s="178"/>
      <c r="B43" s="179">
        <v>38479</v>
      </c>
      <c r="C43" s="180" t="s">
        <v>363</v>
      </c>
      <c r="D43" s="19">
        <v>0</v>
      </c>
      <c r="E43" s="19">
        <v>6</v>
      </c>
      <c r="F43" s="19">
        <v>1</v>
      </c>
      <c r="G43" s="19">
        <v>2</v>
      </c>
      <c r="H43" s="19">
        <v>0</v>
      </c>
      <c r="I43" s="19">
        <v>4</v>
      </c>
      <c r="J43" s="13">
        <v>7</v>
      </c>
      <c r="K43" s="229">
        <v>13574241</v>
      </c>
      <c r="L43" s="237" t="s">
        <v>23</v>
      </c>
      <c r="M43" s="229"/>
      <c r="N43" s="231">
        <v>2519813.2000000002</v>
      </c>
      <c r="O43" s="232">
        <v>9</v>
      </c>
      <c r="P43" s="233">
        <v>88</v>
      </c>
      <c r="Q43" s="232">
        <v>955</v>
      </c>
      <c r="R43" s="233">
        <v>9078</v>
      </c>
      <c r="S43" s="232">
        <v>98898</v>
      </c>
      <c r="T43" s="233">
        <v>928980</v>
      </c>
      <c r="V43" s="228"/>
      <c r="X43" s="274"/>
    </row>
    <row r="44" spans="1:24" x14ac:dyDescent="0.15">
      <c r="A44" s="172">
        <v>19</v>
      </c>
      <c r="B44" s="173">
        <v>38483</v>
      </c>
      <c r="C44" s="174" t="s">
        <v>362</v>
      </c>
      <c r="D44" s="27">
        <v>7</v>
      </c>
      <c r="E44" s="27">
        <v>0</v>
      </c>
      <c r="F44" s="27">
        <v>3</v>
      </c>
      <c r="G44" s="27">
        <v>8</v>
      </c>
      <c r="H44" s="27">
        <v>2</v>
      </c>
      <c r="I44" s="27">
        <v>8</v>
      </c>
      <c r="J44" s="7">
        <v>0</v>
      </c>
      <c r="K44" s="222">
        <v>5947741.5</v>
      </c>
      <c r="L44" s="234" t="s">
        <v>23</v>
      </c>
      <c r="M44" s="224"/>
      <c r="N44" s="225">
        <v>2916527.6</v>
      </c>
      <c r="O44" s="226">
        <v>2</v>
      </c>
      <c r="P44" s="227">
        <v>23</v>
      </c>
      <c r="Q44" s="226">
        <v>305</v>
      </c>
      <c r="R44" s="227">
        <v>2948</v>
      </c>
      <c r="S44" s="226">
        <v>29462</v>
      </c>
      <c r="T44" s="227">
        <v>296258</v>
      </c>
      <c r="V44" s="228"/>
      <c r="X44" s="274"/>
    </row>
    <row r="45" spans="1:24" x14ac:dyDescent="0.15">
      <c r="A45" s="178"/>
      <c r="B45" s="179">
        <v>38486</v>
      </c>
      <c r="C45" s="180" t="s">
        <v>363</v>
      </c>
      <c r="D45" s="19">
        <v>1</v>
      </c>
      <c r="E45" s="19">
        <v>6</v>
      </c>
      <c r="F45" s="19">
        <v>7</v>
      </c>
      <c r="G45" s="19">
        <v>4</v>
      </c>
      <c r="H45" s="19">
        <v>6</v>
      </c>
      <c r="I45" s="19">
        <v>2</v>
      </c>
      <c r="J45" s="13">
        <v>2</v>
      </c>
      <c r="K45" s="229">
        <v>15783295.5</v>
      </c>
      <c r="L45" s="230" t="s">
        <v>23</v>
      </c>
      <c r="M45" s="229"/>
      <c r="N45" s="231">
        <v>3969273.4</v>
      </c>
      <c r="O45" s="232">
        <v>10</v>
      </c>
      <c r="P45" s="233">
        <v>83</v>
      </c>
      <c r="Q45" s="232">
        <v>851</v>
      </c>
      <c r="R45" s="233">
        <v>8598</v>
      </c>
      <c r="S45" s="232">
        <v>86901</v>
      </c>
      <c r="T45" s="233">
        <v>859463</v>
      </c>
      <c r="V45" s="228"/>
      <c r="X45" s="274"/>
    </row>
    <row r="46" spans="1:24" x14ac:dyDescent="0.15">
      <c r="A46" s="172">
        <v>20</v>
      </c>
      <c r="B46" s="173">
        <v>38490</v>
      </c>
      <c r="C46" s="174" t="s">
        <v>362</v>
      </c>
      <c r="D46" s="27">
        <v>4</v>
      </c>
      <c r="E46" s="27">
        <v>7</v>
      </c>
      <c r="F46" s="27">
        <v>3</v>
      </c>
      <c r="G46" s="27">
        <v>1</v>
      </c>
      <c r="H46" s="27">
        <v>0</v>
      </c>
      <c r="I46" s="27">
        <v>6</v>
      </c>
      <c r="J46" s="7">
        <v>5</v>
      </c>
      <c r="K46" s="222">
        <v>7047331.5</v>
      </c>
      <c r="L46" s="223" t="s">
        <v>23</v>
      </c>
      <c r="M46" s="224"/>
      <c r="N46" s="225">
        <v>4439330.4000000004</v>
      </c>
      <c r="O46" s="226">
        <v>4</v>
      </c>
      <c r="P46" s="227">
        <v>46</v>
      </c>
      <c r="Q46" s="226">
        <v>472</v>
      </c>
      <c r="R46" s="227">
        <v>4455</v>
      </c>
      <c r="S46" s="226">
        <v>47418</v>
      </c>
      <c r="T46" s="227">
        <v>465375</v>
      </c>
      <c r="V46" s="228"/>
      <c r="X46" s="274"/>
    </row>
    <row r="47" spans="1:24" x14ac:dyDescent="0.15">
      <c r="A47" s="178"/>
      <c r="B47" s="179">
        <v>38493</v>
      </c>
      <c r="C47" s="180" t="s">
        <v>363</v>
      </c>
      <c r="D47" s="19">
        <v>7</v>
      </c>
      <c r="E47" s="19">
        <v>4</v>
      </c>
      <c r="F47" s="19">
        <v>6</v>
      </c>
      <c r="G47" s="19">
        <v>1</v>
      </c>
      <c r="H47" s="19">
        <v>3</v>
      </c>
      <c r="I47" s="19">
        <v>3</v>
      </c>
      <c r="J47" s="13">
        <v>4</v>
      </c>
      <c r="K47" s="229">
        <v>18941184</v>
      </c>
      <c r="L47" s="230">
        <v>1</v>
      </c>
      <c r="M47" s="229">
        <v>5670000</v>
      </c>
      <c r="N47" s="231">
        <v>32707.4</v>
      </c>
      <c r="O47" s="232">
        <v>7</v>
      </c>
      <c r="P47" s="233">
        <v>104</v>
      </c>
      <c r="Q47" s="232">
        <v>1052</v>
      </c>
      <c r="R47" s="233">
        <v>10444</v>
      </c>
      <c r="S47" s="232">
        <v>110992</v>
      </c>
      <c r="T47" s="233">
        <v>1086220</v>
      </c>
      <c r="V47" s="228"/>
      <c r="X47" s="274"/>
    </row>
    <row r="48" spans="1:24" x14ac:dyDescent="0.15">
      <c r="A48" s="172">
        <v>21</v>
      </c>
      <c r="B48" s="173">
        <v>38497</v>
      </c>
      <c r="C48" s="174" t="s">
        <v>362</v>
      </c>
      <c r="D48" s="27">
        <v>5</v>
      </c>
      <c r="E48" s="27">
        <v>4</v>
      </c>
      <c r="F48" s="27">
        <v>7</v>
      </c>
      <c r="G48" s="27">
        <v>5</v>
      </c>
      <c r="H48" s="27">
        <v>0</v>
      </c>
      <c r="I48" s="27">
        <v>3</v>
      </c>
      <c r="J48" s="7">
        <v>5</v>
      </c>
      <c r="K48" s="222">
        <v>11102253</v>
      </c>
      <c r="L48" s="223" t="s">
        <v>23</v>
      </c>
      <c r="M48" s="224"/>
      <c r="N48" s="225">
        <v>773227.7</v>
      </c>
      <c r="O48" s="226">
        <v>6</v>
      </c>
      <c r="P48" s="227">
        <v>78</v>
      </c>
      <c r="Q48" s="226">
        <v>676</v>
      </c>
      <c r="R48" s="227">
        <v>6967</v>
      </c>
      <c r="S48" s="226">
        <v>75587</v>
      </c>
      <c r="T48" s="227">
        <v>718232</v>
      </c>
      <c r="V48" s="228"/>
      <c r="X48" s="274"/>
    </row>
    <row r="49" spans="1:24" x14ac:dyDescent="0.15">
      <c r="A49" s="178"/>
      <c r="B49" s="179">
        <v>38500</v>
      </c>
      <c r="C49" s="180" t="s">
        <v>363</v>
      </c>
      <c r="D49" s="19">
        <v>5</v>
      </c>
      <c r="E49" s="19">
        <v>4</v>
      </c>
      <c r="F49" s="19">
        <v>8</v>
      </c>
      <c r="G49" s="19">
        <v>1</v>
      </c>
      <c r="H49" s="19">
        <v>2</v>
      </c>
      <c r="I49" s="19">
        <v>8</v>
      </c>
      <c r="J49" s="13">
        <v>6</v>
      </c>
      <c r="K49" s="229">
        <v>14054578.5</v>
      </c>
      <c r="L49" s="230">
        <v>1</v>
      </c>
      <c r="M49" s="229">
        <v>1670000</v>
      </c>
      <c r="N49" s="231">
        <v>40668.1</v>
      </c>
      <c r="O49" s="232">
        <v>9</v>
      </c>
      <c r="P49" s="233">
        <v>72</v>
      </c>
      <c r="Q49" s="232">
        <v>879</v>
      </c>
      <c r="R49" s="233">
        <v>8638</v>
      </c>
      <c r="S49" s="232">
        <v>86786</v>
      </c>
      <c r="T49" s="233">
        <v>885416</v>
      </c>
      <c r="V49" s="228"/>
      <c r="X49" s="274"/>
    </row>
    <row r="50" spans="1:24" x14ac:dyDescent="0.15">
      <c r="A50" s="172">
        <v>22</v>
      </c>
      <c r="B50" s="173">
        <v>38504</v>
      </c>
      <c r="C50" s="174" t="s">
        <v>362</v>
      </c>
      <c r="D50" s="27">
        <v>5</v>
      </c>
      <c r="E50" s="27">
        <v>4</v>
      </c>
      <c r="F50" s="27">
        <v>1</v>
      </c>
      <c r="G50" s="27">
        <v>9</v>
      </c>
      <c r="H50" s="27">
        <v>6</v>
      </c>
      <c r="I50" s="27">
        <v>5</v>
      </c>
      <c r="J50" s="7">
        <v>6</v>
      </c>
      <c r="K50" s="222">
        <v>5237163</v>
      </c>
      <c r="L50" s="223" t="s">
        <v>23</v>
      </c>
      <c r="M50" s="224"/>
      <c r="N50" s="225">
        <v>389986.9</v>
      </c>
      <c r="O50" s="226">
        <v>4</v>
      </c>
      <c r="P50" s="227">
        <v>39</v>
      </c>
      <c r="Q50" s="226">
        <v>374</v>
      </c>
      <c r="R50" s="227">
        <v>3394</v>
      </c>
      <c r="S50" s="226">
        <v>34322</v>
      </c>
      <c r="T50" s="227">
        <v>330766</v>
      </c>
      <c r="V50" s="228"/>
      <c r="X50" s="274"/>
    </row>
    <row r="51" spans="1:24" x14ac:dyDescent="0.15">
      <c r="A51" s="178"/>
      <c r="B51" s="179">
        <v>38507</v>
      </c>
      <c r="C51" s="180" t="s">
        <v>363</v>
      </c>
      <c r="D51" s="19">
        <v>7</v>
      </c>
      <c r="E51" s="19">
        <v>2</v>
      </c>
      <c r="F51" s="19">
        <v>5</v>
      </c>
      <c r="G51" s="19">
        <v>8</v>
      </c>
      <c r="H51" s="19">
        <v>8</v>
      </c>
      <c r="I51" s="19">
        <v>4</v>
      </c>
      <c r="J51" s="13">
        <v>5</v>
      </c>
      <c r="K51" s="229">
        <v>13897714.5</v>
      </c>
      <c r="L51" s="230">
        <v>1</v>
      </c>
      <c r="M51" s="229">
        <v>1270000</v>
      </c>
      <c r="N51" s="231">
        <v>46964.5</v>
      </c>
      <c r="O51" s="232">
        <v>9</v>
      </c>
      <c r="P51" s="233">
        <v>75</v>
      </c>
      <c r="Q51" s="232">
        <v>935</v>
      </c>
      <c r="R51" s="233">
        <v>9869</v>
      </c>
      <c r="S51" s="232">
        <v>96822</v>
      </c>
      <c r="T51" s="233">
        <v>939322</v>
      </c>
      <c r="V51" s="228"/>
      <c r="X51" s="274"/>
    </row>
    <row r="52" spans="1:24" x14ac:dyDescent="0.15">
      <c r="A52" s="172">
        <v>23</v>
      </c>
      <c r="B52" s="173">
        <v>38511</v>
      </c>
      <c r="C52" s="174" t="s">
        <v>362</v>
      </c>
      <c r="D52" s="27">
        <v>8</v>
      </c>
      <c r="E52" s="27">
        <v>6</v>
      </c>
      <c r="F52" s="27">
        <v>7</v>
      </c>
      <c r="G52" s="27">
        <v>6</v>
      </c>
      <c r="H52" s="27">
        <v>3</v>
      </c>
      <c r="I52" s="27">
        <v>1</v>
      </c>
      <c r="J52" s="7">
        <v>6</v>
      </c>
      <c r="K52" s="222">
        <v>4883539.5</v>
      </c>
      <c r="L52" s="223">
        <v>1</v>
      </c>
      <c r="M52" s="224">
        <v>370000</v>
      </c>
      <c r="N52" s="225">
        <v>2696.6</v>
      </c>
      <c r="O52" s="226">
        <v>4</v>
      </c>
      <c r="P52" s="227">
        <v>31</v>
      </c>
      <c r="Q52" s="226">
        <v>312</v>
      </c>
      <c r="R52" s="227">
        <v>2969</v>
      </c>
      <c r="S52" s="226">
        <v>30112</v>
      </c>
      <c r="T52" s="227">
        <v>313754</v>
      </c>
      <c r="V52" s="228"/>
      <c r="X52" s="274"/>
    </row>
    <row r="53" spans="1:24" x14ac:dyDescent="0.15">
      <c r="A53" s="178"/>
      <c r="B53" s="179">
        <v>38514</v>
      </c>
      <c r="C53" s="180" t="s">
        <v>363</v>
      </c>
      <c r="D53" s="19">
        <v>3</v>
      </c>
      <c r="E53" s="19">
        <v>3</v>
      </c>
      <c r="F53" s="19">
        <v>3</v>
      </c>
      <c r="G53" s="19">
        <v>2</v>
      </c>
      <c r="H53" s="19">
        <v>8</v>
      </c>
      <c r="I53" s="19">
        <v>5</v>
      </c>
      <c r="J53" s="13">
        <v>2</v>
      </c>
      <c r="K53" s="229">
        <v>13311217.5</v>
      </c>
      <c r="L53" s="230">
        <v>1</v>
      </c>
      <c r="M53" s="229">
        <v>870000</v>
      </c>
      <c r="N53" s="231">
        <v>20554.8</v>
      </c>
      <c r="O53" s="232">
        <v>13</v>
      </c>
      <c r="P53" s="233">
        <v>66</v>
      </c>
      <c r="Q53" s="232">
        <v>772</v>
      </c>
      <c r="R53" s="233">
        <v>7512</v>
      </c>
      <c r="S53" s="232">
        <v>74005</v>
      </c>
      <c r="T53" s="233">
        <v>714220</v>
      </c>
      <c r="V53" s="228"/>
      <c r="X53" s="274"/>
    </row>
    <row r="54" spans="1:24" x14ac:dyDescent="0.15">
      <c r="A54" s="172">
        <v>24</v>
      </c>
      <c r="B54" s="173">
        <v>38518</v>
      </c>
      <c r="C54" s="174" t="s">
        <v>362</v>
      </c>
      <c r="D54" s="27">
        <v>5</v>
      </c>
      <c r="E54" s="27">
        <v>8</v>
      </c>
      <c r="F54" s="27">
        <v>4</v>
      </c>
      <c r="G54" s="27">
        <v>1</v>
      </c>
      <c r="H54" s="27">
        <v>7</v>
      </c>
      <c r="I54" s="27">
        <v>0</v>
      </c>
      <c r="J54" s="7">
        <v>3</v>
      </c>
      <c r="K54" s="222">
        <v>4835478</v>
      </c>
      <c r="L54" s="223" t="s">
        <v>23</v>
      </c>
      <c r="M54" s="224"/>
      <c r="N54" s="225">
        <v>343081.2</v>
      </c>
      <c r="O54" s="226">
        <v>3</v>
      </c>
      <c r="P54" s="227">
        <v>25</v>
      </c>
      <c r="Q54" s="226">
        <v>260</v>
      </c>
      <c r="R54" s="227">
        <v>2476</v>
      </c>
      <c r="S54" s="226">
        <v>25120</v>
      </c>
      <c r="T54" s="227">
        <v>298301</v>
      </c>
      <c r="V54" s="228"/>
      <c r="X54" s="274"/>
    </row>
    <row r="55" spans="1:24" x14ac:dyDescent="0.15">
      <c r="A55" s="178"/>
      <c r="B55" s="179">
        <v>38521</v>
      </c>
      <c r="C55" s="180" t="s">
        <v>363</v>
      </c>
      <c r="D55" s="19">
        <v>0</v>
      </c>
      <c r="E55" s="19">
        <v>8</v>
      </c>
      <c r="F55" s="19">
        <v>3</v>
      </c>
      <c r="G55" s="19">
        <v>1</v>
      </c>
      <c r="H55" s="19">
        <v>9</v>
      </c>
      <c r="I55" s="19">
        <v>6</v>
      </c>
      <c r="J55" s="13">
        <v>8</v>
      </c>
      <c r="K55" s="229">
        <v>13186974</v>
      </c>
      <c r="L55" s="230" t="s">
        <v>23</v>
      </c>
      <c r="M55" s="229"/>
      <c r="N55" s="231">
        <v>1222652.3999999999</v>
      </c>
      <c r="O55" s="232">
        <v>8</v>
      </c>
      <c r="P55" s="233">
        <v>84</v>
      </c>
      <c r="Q55" s="232">
        <v>966</v>
      </c>
      <c r="R55" s="233">
        <v>8901</v>
      </c>
      <c r="S55" s="232">
        <v>89569</v>
      </c>
      <c r="T55" s="233">
        <v>881232</v>
      </c>
      <c r="V55" s="228"/>
      <c r="X55" s="274"/>
    </row>
    <row r="56" spans="1:24" x14ac:dyDescent="0.15">
      <c r="A56" s="172">
        <v>25</v>
      </c>
      <c r="B56" s="173">
        <v>38525</v>
      </c>
      <c r="C56" s="174" t="s">
        <v>362</v>
      </c>
      <c r="D56" s="27">
        <v>9</v>
      </c>
      <c r="E56" s="27">
        <v>0</v>
      </c>
      <c r="F56" s="27">
        <v>4</v>
      </c>
      <c r="G56" s="27">
        <v>6</v>
      </c>
      <c r="H56" s="27">
        <v>9</v>
      </c>
      <c r="I56" s="27">
        <v>7</v>
      </c>
      <c r="J56" s="7">
        <v>4</v>
      </c>
      <c r="K56" s="222">
        <v>4643913</v>
      </c>
      <c r="L56" s="234">
        <v>1</v>
      </c>
      <c r="M56" s="224">
        <v>1470000</v>
      </c>
      <c r="N56" s="225">
        <v>62401.4</v>
      </c>
      <c r="O56" s="226">
        <v>3</v>
      </c>
      <c r="P56" s="227">
        <v>20</v>
      </c>
      <c r="Q56" s="226">
        <v>306</v>
      </c>
      <c r="R56" s="227">
        <v>2754</v>
      </c>
      <c r="S56" s="226">
        <v>26326</v>
      </c>
      <c r="T56" s="227">
        <v>265010</v>
      </c>
      <c r="U56" s="240"/>
      <c r="V56" s="275"/>
      <c r="X56" s="274"/>
    </row>
    <row r="57" spans="1:24" x14ac:dyDescent="0.15">
      <c r="A57" s="178"/>
      <c r="B57" s="179">
        <v>38528</v>
      </c>
      <c r="C57" s="180" t="s">
        <v>363</v>
      </c>
      <c r="D57" s="19">
        <v>5</v>
      </c>
      <c r="E57" s="19">
        <v>7</v>
      </c>
      <c r="F57" s="19">
        <v>0</v>
      </c>
      <c r="G57" s="19">
        <v>1</v>
      </c>
      <c r="H57" s="19">
        <v>8</v>
      </c>
      <c r="I57" s="19">
        <v>5</v>
      </c>
      <c r="J57" s="13">
        <v>6</v>
      </c>
      <c r="K57" s="229">
        <v>12847419</v>
      </c>
      <c r="L57" s="230">
        <v>2</v>
      </c>
      <c r="M57" s="229">
        <v>370000</v>
      </c>
      <c r="N57" s="231">
        <v>179324.2</v>
      </c>
      <c r="O57" s="232">
        <v>8</v>
      </c>
      <c r="P57" s="233">
        <v>86</v>
      </c>
      <c r="Q57" s="232">
        <v>872</v>
      </c>
      <c r="R57" s="233">
        <v>8707</v>
      </c>
      <c r="S57" s="232">
        <v>86006</v>
      </c>
      <c r="T57" s="233">
        <v>811117</v>
      </c>
      <c r="V57" s="228"/>
      <c r="X57" s="274"/>
    </row>
    <row r="58" spans="1:24" x14ac:dyDescent="0.15">
      <c r="A58" s="172">
        <v>26</v>
      </c>
      <c r="B58" s="173">
        <v>38532</v>
      </c>
      <c r="C58" s="174" t="s">
        <v>362</v>
      </c>
      <c r="D58" s="27">
        <v>6</v>
      </c>
      <c r="E58" s="27">
        <v>6</v>
      </c>
      <c r="F58" s="27">
        <v>6</v>
      </c>
      <c r="G58" s="27">
        <v>3</v>
      </c>
      <c r="H58" s="27">
        <v>2</v>
      </c>
      <c r="I58" s="27">
        <v>4</v>
      </c>
      <c r="J58" s="7">
        <v>3</v>
      </c>
      <c r="K58" s="222">
        <v>4804044</v>
      </c>
      <c r="L58" s="223" t="s">
        <v>23</v>
      </c>
      <c r="M58" s="224"/>
      <c r="N58" s="225">
        <v>499753.9</v>
      </c>
      <c r="O58" s="226">
        <v>5</v>
      </c>
      <c r="P58" s="227">
        <v>29</v>
      </c>
      <c r="Q58" s="226">
        <v>277</v>
      </c>
      <c r="R58" s="227">
        <v>3008</v>
      </c>
      <c r="S58" s="226">
        <v>29408</v>
      </c>
      <c r="T58" s="227">
        <v>293409</v>
      </c>
      <c r="V58" s="228"/>
      <c r="X58" s="274"/>
    </row>
    <row r="59" spans="1:24" x14ac:dyDescent="0.15">
      <c r="A59" s="178"/>
      <c r="B59" s="179">
        <v>38535</v>
      </c>
      <c r="C59" s="180" t="s">
        <v>363</v>
      </c>
      <c r="D59" s="38">
        <v>0</v>
      </c>
      <c r="E59" s="38">
        <v>4</v>
      </c>
      <c r="F59" s="38">
        <v>5</v>
      </c>
      <c r="G59" s="38">
        <v>5</v>
      </c>
      <c r="H59" s="38">
        <v>0</v>
      </c>
      <c r="I59" s="38">
        <v>5</v>
      </c>
      <c r="J59" s="39">
        <v>1</v>
      </c>
      <c r="K59" s="229">
        <v>13763737.5</v>
      </c>
      <c r="L59" s="230" t="s">
        <v>23</v>
      </c>
      <c r="M59" s="229"/>
      <c r="N59" s="231">
        <v>1417795.2</v>
      </c>
      <c r="O59" s="232">
        <v>10</v>
      </c>
      <c r="P59" s="233">
        <v>81</v>
      </c>
      <c r="Q59" s="232">
        <v>710</v>
      </c>
      <c r="R59" s="233">
        <v>7305</v>
      </c>
      <c r="S59" s="232">
        <v>76853</v>
      </c>
      <c r="T59" s="233">
        <v>730829</v>
      </c>
      <c r="V59" s="228"/>
      <c r="X59" s="274"/>
    </row>
    <row r="60" spans="1:24" x14ac:dyDescent="0.15">
      <c r="A60" s="45"/>
      <c r="B60" s="46"/>
      <c r="C60" s="46"/>
      <c r="D60" s="276"/>
      <c r="E60" s="276"/>
      <c r="F60" s="276"/>
      <c r="G60" s="276"/>
      <c r="H60" s="276"/>
      <c r="I60" s="276" t="s">
        <v>24</v>
      </c>
      <c r="J60" s="276"/>
      <c r="K60" s="277"/>
      <c r="L60" s="278">
        <f>SUM(L8:L59)</f>
        <v>29</v>
      </c>
      <c r="M60" s="229"/>
      <c r="N60" s="278"/>
      <c r="O60" s="278">
        <f t="shared" ref="O60:T60" si="0">SUM(O8:O59)</f>
        <v>298</v>
      </c>
      <c r="P60" s="278">
        <f t="shared" si="0"/>
        <v>2975</v>
      </c>
      <c r="Q60" s="278">
        <f t="shared" si="0"/>
        <v>29875</v>
      </c>
      <c r="R60" s="278">
        <f t="shared" si="0"/>
        <v>302872</v>
      </c>
      <c r="S60" s="278">
        <f t="shared" si="0"/>
        <v>3031987</v>
      </c>
      <c r="T60" s="272">
        <f t="shared" si="0"/>
        <v>30374323</v>
      </c>
      <c r="V60" s="228"/>
      <c r="X60" s="274"/>
    </row>
    <row r="63" spans="1:24" x14ac:dyDescent="0.15">
      <c r="K63" s="254"/>
    </row>
    <row r="64" spans="1:24" ht="12.75" x14ac:dyDescent="0.2">
      <c r="A64" s="1" t="s">
        <v>364</v>
      </c>
      <c r="T64" s="3" t="s">
        <v>418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2005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366</v>
      </c>
      <c r="M68" s="18"/>
      <c r="N68" s="13" t="s">
        <v>367</v>
      </c>
      <c r="O68" s="239">
        <v>70000</v>
      </c>
      <c r="P68" s="239">
        <v>7000</v>
      </c>
      <c r="Q68" s="239">
        <v>700</v>
      </c>
      <c r="R68" s="239">
        <v>70</v>
      </c>
      <c r="S68" s="239">
        <v>7</v>
      </c>
      <c r="T68" s="239">
        <v>2.5</v>
      </c>
    </row>
    <row r="69" spans="1:24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38539</v>
      </c>
      <c r="C70" s="174" t="s">
        <v>362</v>
      </c>
      <c r="D70" s="27">
        <v>8</v>
      </c>
      <c r="E70" s="27">
        <v>4</v>
      </c>
      <c r="F70" s="27">
        <v>2</v>
      </c>
      <c r="G70" s="27">
        <v>7</v>
      </c>
      <c r="H70" s="27">
        <v>0</v>
      </c>
      <c r="I70" s="27">
        <v>7</v>
      </c>
      <c r="J70" s="7">
        <v>5</v>
      </c>
      <c r="K70" s="222">
        <v>4740012</v>
      </c>
      <c r="L70" s="223" t="s">
        <v>23</v>
      </c>
      <c r="M70" s="224"/>
      <c r="N70" s="225">
        <v>1733954</v>
      </c>
      <c r="O70" s="226">
        <v>2</v>
      </c>
      <c r="P70" s="227">
        <v>37</v>
      </c>
      <c r="Q70" s="226">
        <v>323</v>
      </c>
      <c r="R70" s="227">
        <v>2865</v>
      </c>
      <c r="S70" s="226">
        <v>32816</v>
      </c>
      <c r="T70" s="227">
        <v>327748</v>
      </c>
      <c r="U70" s="240"/>
      <c r="V70" s="275"/>
      <c r="X70" s="274"/>
    </row>
    <row r="71" spans="1:24" x14ac:dyDescent="0.15">
      <c r="A71" s="178"/>
      <c r="B71" s="179">
        <v>38542</v>
      </c>
      <c r="C71" s="180" t="s">
        <v>363</v>
      </c>
      <c r="D71" s="19">
        <v>3</v>
      </c>
      <c r="E71" s="19">
        <v>9</v>
      </c>
      <c r="F71" s="19">
        <v>0</v>
      </c>
      <c r="G71" s="19">
        <v>2</v>
      </c>
      <c r="H71" s="19">
        <v>4</v>
      </c>
      <c r="I71" s="19">
        <v>8</v>
      </c>
      <c r="J71" s="13">
        <v>8</v>
      </c>
      <c r="K71" s="229">
        <v>13041895.5</v>
      </c>
      <c r="L71" s="230">
        <v>1</v>
      </c>
      <c r="M71" s="229">
        <v>2570000</v>
      </c>
      <c r="N71" s="231">
        <v>33848.400000000001</v>
      </c>
      <c r="O71" s="232">
        <v>8</v>
      </c>
      <c r="P71" s="233">
        <v>95</v>
      </c>
      <c r="Q71" s="232">
        <v>826</v>
      </c>
      <c r="R71" s="233">
        <v>8702</v>
      </c>
      <c r="S71" s="232">
        <v>88714</v>
      </c>
      <c r="T71" s="233">
        <v>875560</v>
      </c>
      <c r="V71" s="228"/>
      <c r="X71" s="274"/>
    </row>
    <row r="72" spans="1:24" x14ac:dyDescent="0.15">
      <c r="A72" s="172">
        <v>28</v>
      </c>
      <c r="B72" s="173">
        <v>38546</v>
      </c>
      <c r="C72" s="174" t="s">
        <v>362</v>
      </c>
      <c r="D72" s="27">
        <v>8</v>
      </c>
      <c r="E72" s="27">
        <v>6</v>
      </c>
      <c r="F72" s="27">
        <v>1</v>
      </c>
      <c r="G72" s="27">
        <v>0</v>
      </c>
      <c r="H72" s="27">
        <v>1</v>
      </c>
      <c r="I72" s="27">
        <v>0</v>
      </c>
      <c r="J72" s="7">
        <v>5</v>
      </c>
      <c r="K72" s="222">
        <v>4555480.5</v>
      </c>
      <c r="L72" s="223" t="s">
        <v>23</v>
      </c>
      <c r="M72" s="224"/>
      <c r="N72" s="225">
        <v>337698.9</v>
      </c>
      <c r="O72" s="226">
        <v>2</v>
      </c>
      <c r="P72" s="227">
        <v>26</v>
      </c>
      <c r="Q72" s="226">
        <v>248</v>
      </c>
      <c r="R72" s="227">
        <v>2742</v>
      </c>
      <c r="S72" s="226">
        <v>26967</v>
      </c>
      <c r="T72" s="227">
        <v>325258</v>
      </c>
      <c r="V72" s="228"/>
      <c r="X72" s="274"/>
    </row>
    <row r="73" spans="1:24" x14ac:dyDescent="0.15">
      <c r="A73" s="178"/>
      <c r="B73" s="179">
        <v>38549</v>
      </c>
      <c r="C73" s="180" t="s">
        <v>363</v>
      </c>
      <c r="D73" s="19">
        <v>9</v>
      </c>
      <c r="E73" s="19">
        <v>1</v>
      </c>
      <c r="F73" s="19">
        <v>1</v>
      </c>
      <c r="G73" s="19">
        <v>7</v>
      </c>
      <c r="H73" s="19">
        <v>2</v>
      </c>
      <c r="I73" s="19">
        <v>7</v>
      </c>
      <c r="J73" s="13">
        <v>9</v>
      </c>
      <c r="K73" s="229">
        <v>12757807.5</v>
      </c>
      <c r="L73" s="230">
        <v>1</v>
      </c>
      <c r="M73" s="229">
        <v>1170000</v>
      </c>
      <c r="N73" s="231">
        <v>18644.7</v>
      </c>
      <c r="O73" s="232">
        <v>15</v>
      </c>
      <c r="P73" s="233">
        <v>71</v>
      </c>
      <c r="Q73" s="232">
        <v>757</v>
      </c>
      <c r="R73" s="233">
        <v>7804</v>
      </c>
      <c r="S73" s="232">
        <v>76935</v>
      </c>
      <c r="T73" s="233">
        <v>766434</v>
      </c>
      <c r="V73" s="228"/>
      <c r="X73" s="274"/>
    </row>
    <row r="74" spans="1:24" x14ac:dyDescent="0.15">
      <c r="A74" s="172">
        <v>29</v>
      </c>
      <c r="B74" s="173">
        <v>38553</v>
      </c>
      <c r="C74" s="174" t="s">
        <v>362</v>
      </c>
      <c r="D74" s="27">
        <v>3</v>
      </c>
      <c r="E74" s="27">
        <v>0</v>
      </c>
      <c r="F74" s="27">
        <v>0</v>
      </c>
      <c r="G74" s="27">
        <v>9</v>
      </c>
      <c r="H74" s="27">
        <v>8</v>
      </c>
      <c r="I74" s="27">
        <v>2</v>
      </c>
      <c r="J74" s="7">
        <v>8</v>
      </c>
      <c r="K74" s="222">
        <v>4566861</v>
      </c>
      <c r="L74" s="223" t="s">
        <v>23</v>
      </c>
      <c r="M74" s="224"/>
      <c r="N74" s="225">
        <v>323254.3</v>
      </c>
      <c r="O74" s="226">
        <v>4</v>
      </c>
      <c r="P74" s="227">
        <v>42</v>
      </c>
      <c r="Q74" s="226">
        <v>297</v>
      </c>
      <c r="R74" s="227">
        <v>3148</v>
      </c>
      <c r="S74" s="226">
        <v>30249</v>
      </c>
      <c r="T74" s="227">
        <v>302438</v>
      </c>
      <c r="V74" s="228"/>
      <c r="X74" s="274"/>
    </row>
    <row r="75" spans="1:24" x14ac:dyDescent="0.15">
      <c r="A75" s="178"/>
      <c r="B75" s="179">
        <v>38556</v>
      </c>
      <c r="C75" s="180" t="s">
        <v>363</v>
      </c>
      <c r="D75" s="19">
        <v>3</v>
      </c>
      <c r="E75" s="19">
        <v>1</v>
      </c>
      <c r="F75" s="19">
        <v>7</v>
      </c>
      <c r="G75" s="19">
        <v>9</v>
      </c>
      <c r="H75" s="19">
        <v>0</v>
      </c>
      <c r="I75" s="19">
        <v>3</v>
      </c>
      <c r="J75" s="13">
        <v>9</v>
      </c>
      <c r="K75" s="229">
        <v>12927523.5</v>
      </c>
      <c r="L75" s="230">
        <v>1</v>
      </c>
      <c r="M75" s="229">
        <v>1170000</v>
      </c>
      <c r="N75" s="231">
        <v>15520.1</v>
      </c>
      <c r="O75" s="232">
        <v>9</v>
      </c>
      <c r="P75" s="233">
        <v>62</v>
      </c>
      <c r="Q75" s="232">
        <v>768</v>
      </c>
      <c r="R75" s="233">
        <v>7360</v>
      </c>
      <c r="S75" s="232">
        <v>80055</v>
      </c>
      <c r="T75" s="233">
        <v>775296</v>
      </c>
      <c r="V75" s="228"/>
      <c r="X75" s="274"/>
    </row>
    <row r="76" spans="1:24" x14ac:dyDescent="0.15">
      <c r="A76" s="172">
        <v>30</v>
      </c>
      <c r="B76" s="173">
        <v>38560</v>
      </c>
      <c r="C76" s="174" t="s">
        <v>362</v>
      </c>
      <c r="D76" s="27">
        <v>5</v>
      </c>
      <c r="E76" s="27">
        <v>0</v>
      </c>
      <c r="F76" s="27">
        <v>3</v>
      </c>
      <c r="G76" s="27">
        <v>5</v>
      </c>
      <c r="H76" s="27">
        <v>5</v>
      </c>
      <c r="I76" s="27">
        <v>3</v>
      </c>
      <c r="J76" s="7">
        <v>4</v>
      </c>
      <c r="K76" s="222">
        <v>4754350.5</v>
      </c>
      <c r="L76" s="223">
        <v>1</v>
      </c>
      <c r="M76" s="224">
        <v>270000</v>
      </c>
      <c r="N76" s="225">
        <v>62635.3</v>
      </c>
      <c r="O76" s="226">
        <v>3</v>
      </c>
      <c r="P76" s="227">
        <v>39</v>
      </c>
      <c r="Q76" s="226">
        <v>287</v>
      </c>
      <c r="R76" s="227">
        <v>2857</v>
      </c>
      <c r="S76" s="226">
        <v>27686</v>
      </c>
      <c r="T76" s="227">
        <v>269757</v>
      </c>
      <c r="V76" s="228"/>
      <c r="X76" s="274"/>
    </row>
    <row r="77" spans="1:24" x14ac:dyDescent="0.15">
      <c r="A77" s="178"/>
      <c r="B77" s="179">
        <v>38563</v>
      </c>
      <c r="C77" s="180" t="s">
        <v>363</v>
      </c>
      <c r="D77" s="19">
        <v>8</v>
      </c>
      <c r="E77" s="19">
        <v>2</v>
      </c>
      <c r="F77" s="19">
        <v>0</v>
      </c>
      <c r="G77" s="19">
        <v>6</v>
      </c>
      <c r="H77" s="19">
        <v>9</v>
      </c>
      <c r="I77" s="19">
        <v>1</v>
      </c>
      <c r="J77" s="13">
        <v>4</v>
      </c>
      <c r="K77" s="229">
        <v>13519335</v>
      </c>
      <c r="L77" s="230" t="s">
        <v>23</v>
      </c>
      <c r="M77" s="229"/>
      <c r="N77" s="231">
        <v>964374.9</v>
      </c>
      <c r="O77" s="232">
        <v>7</v>
      </c>
      <c r="P77" s="233">
        <v>72</v>
      </c>
      <c r="Q77" s="232">
        <v>733</v>
      </c>
      <c r="R77" s="233">
        <v>7491</v>
      </c>
      <c r="S77" s="232">
        <v>74431</v>
      </c>
      <c r="T77" s="233">
        <v>766847</v>
      </c>
      <c r="V77" s="228"/>
      <c r="X77" s="274"/>
    </row>
    <row r="78" spans="1:24" x14ac:dyDescent="0.15">
      <c r="A78" s="172">
        <v>31</v>
      </c>
      <c r="B78" s="173">
        <v>38567</v>
      </c>
      <c r="C78" s="174" t="s">
        <v>362</v>
      </c>
      <c r="D78" s="27">
        <v>5</v>
      </c>
      <c r="E78" s="27">
        <v>7</v>
      </c>
      <c r="F78" s="27">
        <v>1</v>
      </c>
      <c r="G78" s="27">
        <v>0</v>
      </c>
      <c r="H78" s="27">
        <v>6</v>
      </c>
      <c r="I78" s="27">
        <v>0</v>
      </c>
      <c r="J78" s="7">
        <v>3</v>
      </c>
      <c r="K78" s="222">
        <v>5929731</v>
      </c>
      <c r="L78" s="223" t="s">
        <v>23</v>
      </c>
      <c r="M78" s="224"/>
      <c r="N78" s="225">
        <v>1359888</v>
      </c>
      <c r="O78" s="226">
        <v>5</v>
      </c>
      <c r="P78" s="227">
        <v>42</v>
      </c>
      <c r="Q78" s="226">
        <v>337</v>
      </c>
      <c r="R78" s="227">
        <v>3014</v>
      </c>
      <c r="S78" s="226">
        <v>32169</v>
      </c>
      <c r="T78" s="227">
        <v>370032</v>
      </c>
      <c r="V78" s="228"/>
      <c r="X78" s="274"/>
    </row>
    <row r="79" spans="1:24" x14ac:dyDescent="0.15">
      <c r="A79" s="178"/>
      <c r="B79" s="179">
        <v>38570</v>
      </c>
      <c r="C79" s="180" t="s">
        <v>363</v>
      </c>
      <c r="D79" s="19">
        <v>1</v>
      </c>
      <c r="E79" s="19">
        <v>6</v>
      </c>
      <c r="F79" s="19">
        <v>7</v>
      </c>
      <c r="G79" s="19">
        <v>8</v>
      </c>
      <c r="H79" s="19">
        <v>5</v>
      </c>
      <c r="I79" s="19">
        <v>0</v>
      </c>
      <c r="J79" s="13">
        <v>5</v>
      </c>
      <c r="K79" s="229">
        <v>13121011.5</v>
      </c>
      <c r="L79" s="230" t="s">
        <v>23</v>
      </c>
      <c r="M79" s="229"/>
      <c r="N79" s="229">
        <v>2235059.5</v>
      </c>
      <c r="O79" s="232">
        <v>6</v>
      </c>
      <c r="P79" s="233">
        <v>98</v>
      </c>
      <c r="Q79" s="232">
        <v>804</v>
      </c>
      <c r="R79" s="233">
        <v>8128</v>
      </c>
      <c r="S79" s="232">
        <v>77002</v>
      </c>
      <c r="T79" s="233">
        <v>921914</v>
      </c>
      <c r="V79" s="228"/>
      <c r="X79" s="274"/>
    </row>
    <row r="80" spans="1:24" x14ac:dyDescent="0.15">
      <c r="A80" s="172">
        <v>32</v>
      </c>
      <c r="B80" s="173">
        <v>38574</v>
      </c>
      <c r="C80" s="174" t="s">
        <v>362</v>
      </c>
      <c r="D80" s="27">
        <v>5</v>
      </c>
      <c r="E80" s="27">
        <v>3</v>
      </c>
      <c r="F80" s="27">
        <v>8</v>
      </c>
      <c r="G80" s="27">
        <v>5</v>
      </c>
      <c r="H80" s="27">
        <v>7</v>
      </c>
      <c r="I80" s="27">
        <v>6</v>
      </c>
      <c r="J80" s="7">
        <v>5</v>
      </c>
      <c r="K80" s="222">
        <v>4896654</v>
      </c>
      <c r="L80" s="234" t="s">
        <v>23</v>
      </c>
      <c r="M80" s="224"/>
      <c r="N80" s="225">
        <v>2561666.2999999998</v>
      </c>
      <c r="O80" s="236">
        <v>5</v>
      </c>
      <c r="P80" s="227">
        <v>49</v>
      </c>
      <c r="Q80" s="226">
        <v>371</v>
      </c>
      <c r="R80" s="227">
        <v>3656</v>
      </c>
      <c r="S80" s="226">
        <v>34931</v>
      </c>
      <c r="T80" s="227">
        <v>342812</v>
      </c>
      <c r="V80" s="228"/>
      <c r="X80" s="274"/>
    </row>
    <row r="81" spans="1:24" x14ac:dyDescent="0.15">
      <c r="A81" s="178"/>
      <c r="B81" s="179">
        <v>38577</v>
      </c>
      <c r="C81" s="180" t="s">
        <v>363</v>
      </c>
      <c r="D81" s="19">
        <v>5</v>
      </c>
      <c r="E81" s="19">
        <v>8</v>
      </c>
      <c r="F81" s="19">
        <v>0</v>
      </c>
      <c r="G81" s="19">
        <v>7</v>
      </c>
      <c r="H81" s="19">
        <v>3</v>
      </c>
      <c r="I81" s="19">
        <v>8</v>
      </c>
      <c r="J81" s="13">
        <v>4</v>
      </c>
      <c r="K81" s="229">
        <v>13466041.5</v>
      </c>
      <c r="L81" s="230">
        <v>1</v>
      </c>
      <c r="M81" s="229">
        <v>3370000</v>
      </c>
      <c r="N81" s="231">
        <v>89851.3</v>
      </c>
      <c r="O81" s="232">
        <v>10</v>
      </c>
      <c r="P81" s="233">
        <v>71</v>
      </c>
      <c r="Q81" s="232">
        <v>804</v>
      </c>
      <c r="R81" s="233">
        <v>7725</v>
      </c>
      <c r="S81" s="232">
        <v>75893</v>
      </c>
      <c r="T81" s="233">
        <v>765222</v>
      </c>
      <c r="V81" s="228"/>
      <c r="X81" s="274"/>
    </row>
    <row r="82" spans="1:24" x14ac:dyDescent="0.15">
      <c r="A82" s="172">
        <v>33</v>
      </c>
      <c r="B82" s="173">
        <v>38581</v>
      </c>
      <c r="C82" s="174" t="s">
        <v>362</v>
      </c>
      <c r="D82" s="27">
        <v>8</v>
      </c>
      <c r="E82" s="27">
        <v>1</v>
      </c>
      <c r="F82" s="27">
        <v>2</v>
      </c>
      <c r="G82" s="27">
        <v>6</v>
      </c>
      <c r="H82" s="27">
        <v>6</v>
      </c>
      <c r="I82" s="27">
        <v>5</v>
      </c>
      <c r="J82" s="7">
        <v>1</v>
      </c>
      <c r="K82" s="222">
        <v>5504455.5</v>
      </c>
      <c r="L82" s="223">
        <v>1</v>
      </c>
      <c r="M82" s="279">
        <v>370000</v>
      </c>
      <c r="N82" s="225">
        <v>86998.5</v>
      </c>
      <c r="O82" s="226">
        <v>4</v>
      </c>
      <c r="P82" s="227">
        <v>22</v>
      </c>
      <c r="Q82" s="226">
        <v>303</v>
      </c>
      <c r="R82" s="227">
        <v>3082</v>
      </c>
      <c r="S82" s="226">
        <v>30667</v>
      </c>
      <c r="T82" s="227">
        <v>295423</v>
      </c>
      <c r="V82" s="228"/>
      <c r="X82" s="274"/>
    </row>
    <row r="83" spans="1:24" x14ac:dyDescent="0.15">
      <c r="A83" s="178"/>
      <c r="B83" s="179">
        <v>38584</v>
      </c>
      <c r="C83" s="180" t="s">
        <v>363</v>
      </c>
      <c r="D83" s="19">
        <v>3</v>
      </c>
      <c r="E83" s="19">
        <v>7</v>
      </c>
      <c r="F83" s="19">
        <v>3</v>
      </c>
      <c r="G83" s="19">
        <v>0</v>
      </c>
      <c r="H83" s="19">
        <v>9</v>
      </c>
      <c r="I83" s="19">
        <v>5</v>
      </c>
      <c r="J83" s="13">
        <v>5</v>
      </c>
      <c r="K83" s="229">
        <v>14445456</v>
      </c>
      <c r="L83" s="230" t="s">
        <v>23</v>
      </c>
      <c r="M83" s="229"/>
      <c r="N83" s="231">
        <v>1050510.3999999999</v>
      </c>
      <c r="O83" s="232">
        <v>7</v>
      </c>
      <c r="P83" s="233">
        <v>103</v>
      </c>
      <c r="Q83" s="232">
        <v>1035</v>
      </c>
      <c r="R83" s="233">
        <v>10600</v>
      </c>
      <c r="S83" s="232">
        <v>105652</v>
      </c>
      <c r="T83" s="233">
        <v>988226</v>
      </c>
      <c r="V83" s="228"/>
      <c r="X83" s="274"/>
    </row>
    <row r="84" spans="1:24" x14ac:dyDescent="0.15">
      <c r="A84" s="172">
        <v>34</v>
      </c>
      <c r="B84" s="173">
        <v>38588</v>
      </c>
      <c r="C84" s="174" t="s">
        <v>362</v>
      </c>
      <c r="D84" s="27">
        <v>7</v>
      </c>
      <c r="E84" s="27">
        <v>6</v>
      </c>
      <c r="F84" s="27">
        <v>3</v>
      </c>
      <c r="G84" s="27">
        <v>8</v>
      </c>
      <c r="H84" s="27">
        <v>4</v>
      </c>
      <c r="I84" s="27">
        <v>4</v>
      </c>
      <c r="J84" s="7">
        <v>2</v>
      </c>
      <c r="K84" s="222">
        <v>4740036</v>
      </c>
      <c r="L84" s="223" t="s">
        <v>23</v>
      </c>
      <c r="M84" s="224"/>
      <c r="N84" s="225">
        <v>1366670.8</v>
      </c>
      <c r="O84" s="226">
        <v>1</v>
      </c>
      <c r="P84" s="227">
        <v>14</v>
      </c>
      <c r="Q84" s="226">
        <v>264</v>
      </c>
      <c r="R84" s="227">
        <v>2547</v>
      </c>
      <c r="S84" s="226">
        <v>25934</v>
      </c>
      <c r="T84" s="227">
        <v>253310</v>
      </c>
      <c r="V84" s="228"/>
      <c r="X84" s="274"/>
    </row>
    <row r="85" spans="1:24" x14ac:dyDescent="0.15">
      <c r="A85" s="178"/>
      <c r="B85" s="179">
        <v>38591</v>
      </c>
      <c r="C85" s="180" t="s">
        <v>363</v>
      </c>
      <c r="D85" s="19">
        <v>7</v>
      </c>
      <c r="E85" s="19">
        <v>2</v>
      </c>
      <c r="F85" s="19">
        <v>0</v>
      </c>
      <c r="G85" s="19">
        <v>7</v>
      </c>
      <c r="H85" s="19">
        <v>5</v>
      </c>
      <c r="I85" s="19">
        <v>8</v>
      </c>
      <c r="J85" s="13">
        <v>8</v>
      </c>
      <c r="K85" s="229">
        <v>12886006.5</v>
      </c>
      <c r="L85" s="230">
        <v>1</v>
      </c>
      <c r="M85" s="229">
        <v>2170000</v>
      </c>
      <c r="N85" s="231">
        <v>56167.4</v>
      </c>
      <c r="O85" s="232">
        <v>8</v>
      </c>
      <c r="P85" s="233">
        <v>96</v>
      </c>
      <c r="Q85" s="232">
        <v>889</v>
      </c>
      <c r="R85" s="233">
        <v>8504</v>
      </c>
      <c r="S85" s="232">
        <v>88987</v>
      </c>
      <c r="T85" s="233">
        <v>870553</v>
      </c>
      <c r="V85" s="228"/>
      <c r="X85" s="274"/>
    </row>
    <row r="86" spans="1:24" x14ac:dyDescent="0.15">
      <c r="A86" s="172">
        <v>35</v>
      </c>
      <c r="B86" s="173">
        <v>38595</v>
      </c>
      <c r="C86" s="174" t="s">
        <v>362</v>
      </c>
      <c r="D86" s="27">
        <v>6</v>
      </c>
      <c r="E86" s="27">
        <v>7</v>
      </c>
      <c r="F86" s="27">
        <v>8</v>
      </c>
      <c r="G86" s="27">
        <v>8</v>
      </c>
      <c r="H86" s="27">
        <v>5</v>
      </c>
      <c r="I86" s="27">
        <v>4</v>
      </c>
      <c r="J86" s="7">
        <v>6</v>
      </c>
      <c r="K86" s="222">
        <v>4917249</v>
      </c>
      <c r="L86" s="223">
        <v>1</v>
      </c>
      <c r="M86" s="224">
        <v>370000</v>
      </c>
      <c r="N86" s="225">
        <v>14147.9</v>
      </c>
      <c r="O86" s="226">
        <v>5</v>
      </c>
      <c r="P86" s="227">
        <v>32</v>
      </c>
      <c r="Q86" s="226">
        <v>323</v>
      </c>
      <c r="R86" s="227">
        <v>3405</v>
      </c>
      <c r="S86" s="226">
        <v>33341</v>
      </c>
      <c r="T86" s="227">
        <v>311554</v>
      </c>
      <c r="V86" s="228"/>
      <c r="X86" s="274"/>
    </row>
    <row r="87" spans="1:24" x14ac:dyDescent="0.15">
      <c r="A87" s="178"/>
      <c r="B87" s="179">
        <v>38598</v>
      </c>
      <c r="C87" s="180" t="s">
        <v>363</v>
      </c>
      <c r="D87" s="19">
        <v>1</v>
      </c>
      <c r="E87" s="19">
        <v>4</v>
      </c>
      <c r="F87" s="19">
        <v>3</v>
      </c>
      <c r="G87" s="19">
        <v>5</v>
      </c>
      <c r="H87" s="19">
        <v>8</v>
      </c>
      <c r="I87" s="19">
        <v>0</v>
      </c>
      <c r="J87" s="13">
        <v>2</v>
      </c>
      <c r="K87" s="229">
        <v>13660639.5</v>
      </c>
      <c r="L87" s="230" t="s">
        <v>23</v>
      </c>
      <c r="M87" s="229"/>
      <c r="N87" s="231">
        <v>925312.6</v>
      </c>
      <c r="O87" s="232">
        <v>5</v>
      </c>
      <c r="P87" s="233">
        <v>60</v>
      </c>
      <c r="Q87" s="232">
        <v>654</v>
      </c>
      <c r="R87" s="233">
        <v>6592</v>
      </c>
      <c r="S87" s="232">
        <v>65338</v>
      </c>
      <c r="T87" s="233">
        <v>740462</v>
      </c>
      <c r="V87" s="228"/>
      <c r="X87" s="274"/>
    </row>
    <row r="88" spans="1:24" x14ac:dyDescent="0.15">
      <c r="A88" s="172">
        <v>36</v>
      </c>
      <c r="B88" s="173">
        <v>38602</v>
      </c>
      <c r="C88" s="174" t="s">
        <v>362</v>
      </c>
      <c r="D88" s="27">
        <v>1</v>
      </c>
      <c r="E88" s="27">
        <v>0</v>
      </c>
      <c r="F88" s="27">
        <v>5</v>
      </c>
      <c r="G88" s="27">
        <v>2</v>
      </c>
      <c r="H88" s="27">
        <v>4</v>
      </c>
      <c r="I88" s="27">
        <v>2</v>
      </c>
      <c r="J88" s="7">
        <v>5</v>
      </c>
      <c r="K88" s="222">
        <v>4638778.5</v>
      </c>
      <c r="L88" s="223" t="s">
        <v>23</v>
      </c>
      <c r="M88" s="224"/>
      <c r="N88" s="225">
        <v>1234719.1000000001</v>
      </c>
      <c r="O88" s="226">
        <v>2</v>
      </c>
      <c r="P88" s="227">
        <v>37</v>
      </c>
      <c r="Q88" s="226">
        <v>363</v>
      </c>
      <c r="R88" s="227">
        <v>3403</v>
      </c>
      <c r="S88" s="226">
        <v>33423</v>
      </c>
      <c r="T88" s="227">
        <v>331928</v>
      </c>
      <c r="V88" s="228"/>
      <c r="X88" s="274"/>
    </row>
    <row r="89" spans="1:24" x14ac:dyDescent="0.15">
      <c r="A89" s="178"/>
      <c r="B89" s="179">
        <v>38605</v>
      </c>
      <c r="C89" s="180" t="s">
        <v>363</v>
      </c>
      <c r="D89" s="19">
        <v>3</v>
      </c>
      <c r="E89" s="19">
        <v>8</v>
      </c>
      <c r="F89" s="19">
        <v>5</v>
      </c>
      <c r="G89" s="19">
        <v>5</v>
      </c>
      <c r="H89" s="19">
        <v>6</v>
      </c>
      <c r="I89" s="19">
        <v>5</v>
      </c>
      <c r="J89" s="13">
        <v>3</v>
      </c>
      <c r="K89" s="229">
        <v>12890220</v>
      </c>
      <c r="L89" s="230" t="s">
        <v>23</v>
      </c>
      <c r="M89" s="229"/>
      <c r="N89" s="231">
        <v>2094496.8</v>
      </c>
      <c r="O89" s="232">
        <v>11</v>
      </c>
      <c r="P89" s="233">
        <v>70</v>
      </c>
      <c r="Q89" s="232">
        <v>847</v>
      </c>
      <c r="R89" s="233">
        <v>8025</v>
      </c>
      <c r="S89" s="232">
        <v>79207</v>
      </c>
      <c r="T89" s="233">
        <v>768735</v>
      </c>
      <c r="V89" s="228"/>
      <c r="X89" s="274"/>
    </row>
    <row r="90" spans="1:24" x14ac:dyDescent="0.15">
      <c r="A90" s="172">
        <v>37</v>
      </c>
      <c r="B90" s="173">
        <v>38609</v>
      </c>
      <c r="C90" s="174" t="s">
        <v>362</v>
      </c>
      <c r="D90" s="27">
        <v>4</v>
      </c>
      <c r="E90" s="27">
        <v>0</v>
      </c>
      <c r="F90" s="27">
        <v>0</v>
      </c>
      <c r="G90" s="27">
        <v>3</v>
      </c>
      <c r="H90" s="27">
        <v>5</v>
      </c>
      <c r="I90" s="27">
        <v>1</v>
      </c>
      <c r="J90" s="7">
        <v>6</v>
      </c>
      <c r="K90" s="222">
        <v>4991502</v>
      </c>
      <c r="L90" s="223" t="s">
        <v>23</v>
      </c>
      <c r="M90" s="224"/>
      <c r="N90" s="225">
        <v>2427430</v>
      </c>
      <c r="O90" s="226">
        <v>3</v>
      </c>
      <c r="P90" s="227">
        <v>30</v>
      </c>
      <c r="Q90" s="226">
        <v>345</v>
      </c>
      <c r="R90" s="227">
        <v>3184</v>
      </c>
      <c r="S90" s="226">
        <v>30830</v>
      </c>
      <c r="T90" s="227">
        <v>321527</v>
      </c>
      <c r="V90" s="228"/>
      <c r="X90" s="274"/>
    </row>
    <row r="91" spans="1:24" x14ac:dyDescent="0.15">
      <c r="A91" s="178"/>
      <c r="B91" s="179">
        <v>38612</v>
      </c>
      <c r="C91" s="180" t="s">
        <v>363</v>
      </c>
      <c r="D91" s="19">
        <v>0</v>
      </c>
      <c r="E91" s="19">
        <v>0</v>
      </c>
      <c r="F91" s="19">
        <v>6</v>
      </c>
      <c r="G91" s="19">
        <v>9</v>
      </c>
      <c r="H91" s="19">
        <v>3</v>
      </c>
      <c r="I91" s="19">
        <v>5</v>
      </c>
      <c r="J91" s="13">
        <v>2</v>
      </c>
      <c r="K91" s="229">
        <v>13649301</v>
      </c>
      <c r="L91" s="230">
        <v>2</v>
      </c>
      <c r="M91" s="229">
        <v>1570000</v>
      </c>
      <c r="N91" s="231">
        <v>197838.4</v>
      </c>
      <c r="O91" s="232">
        <v>8</v>
      </c>
      <c r="P91" s="233">
        <v>89</v>
      </c>
      <c r="Q91" s="232">
        <v>766</v>
      </c>
      <c r="R91" s="233">
        <v>7794</v>
      </c>
      <c r="S91" s="232">
        <v>77314</v>
      </c>
      <c r="T91" s="233">
        <v>733308</v>
      </c>
      <c r="V91" s="228"/>
      <c r="X91" s="274"/>
    </row>
    <row r="92" spans="1:24" x14ac:dyDescent="0.15">
      <c r="A92" s="172">
        <v>38</v>
      </c>
      <c r="B92" s="173">
        <v>38616</v>
      </c>
      <c r="C92" s="174" t="s">
        <v>362</v>
      </c>
      <c r="D92" s="27">
        <v>8</v>
      </c>
      <c r="E92" s="27">
        <v>3</v>
      </c>
      <c r="F92" s="27">
        <v>2</v>
      </c>
      <c r="G92" s="27">
        <v>4</v>
      </c>
      <c r="H92" s="27">
        <v>0</v>
      </c>
      <c r="I92" s="27">
        <v>5</v>
      </c>
      <c r="J92" s="7">
        <v>3</v>
      </c>
      <c r="K92" s="222">
        <v>5788903.5</v>
      </c>
      <c r="L92" s="223">
        <v>1</v>
      </c>
      <c r="M92" s="224">
        <v>570000</v>
      </c>
      <c r="N92" s="225">
        <v>13958.3</v>
      </c>
      <c r="O92" s="226">
        <v>5</v>
      </c>
      <c r="P92" s="227">
        <v>33</v>
      </c>
      <c r="Q92" s="226">
        <v>316</v>
      </c>
      <c r="R92" s="227">
        <v>3316</v>
      </c>
      <c r="S92" s="226">
        <v>36694</v>
      </c>
      <c r="T92" s="227">
        <v>356943</v>
      </c>
      <c r="V92" s="228"/>
      <c r="X92" s="274"/>
    </row>
    <row r="93" spans="1:24" x14ac:dyDescent="0.15">
      <c r="A93" s="178"/>
      <c r="B93" s="179">
        <v>38619</v>
      </c>
      <c r="C93" s="180" t="s">
        <v>363</v>
      </c>
      <c r="D93" s="19">
        <v>9</v>
      </c>
      <c r="E93" s="19">
        <v>7</v>
      </c>
      <c r="F93" s="19">
        <v>0</v>
      </c>
      <c r="G93" s="19">
        <v>1</v>
      </c>
      <c r="H93" s="19">
        <v>2</v>
      </c>
      <c r="I93" s="19">
        <v>8</v>
      </c>
      <c r="J93" s="13">
        <v>3</v>
      </c>
      <c r="K93" s="229">
        <v>14795124</v>
      </c>
      <c r="L93" s="230" t="s">
        <v>23</v>
      </c>
      <c r="M93" s="229"/>
      <c r="N93" s="231">
        <v>1000793.1</v>
      </c>
      <c r="O93" s="232">
        <v>14</v>
      </c>
      <c r="P93" s="233">
        <v>84</v>
      </c>
      <c r="Q93" s="232">
        <v>830</v>
      </c>
      <c r="R93" s="233">
        <v>8618</v>
      </c>
      <c r="S93" s="232">
        <v>85852</v>
      </c>
      <c r="T93" s="233">
        <v>893844</v>
      </c>
      <c r="V93" s="228"/>
      <c r="X93" s="274"/>
    </row>
    <row r="94" spans="1:24" x14ac:dyDescent="0.15">
      <c r="A94" s="172">
        <v>39</v>
      </c>
      <c r="B94" s="173">
        <v>38623</v>
      </c>
      <c r="C94" s="174" t="s">
        <v>362</v>
      </c>
      <c r="D94" s="27">
        <v>8</v>
      </c>
      <c r="E94" s="27">
        <v>8</v>
      </c>
      <c r="F94" s="27">
        <v>0</v>
      </c>
      <c r="G94" s="27">
        <v>6</v>
      </c>
      <c r="H94" s="27">
        <v>2</v>
      </c>
      <c r="I94" s="27">
        <v>2</v>
      </c>
      <c r="J94" s="7">
        <v>4</v>
      </c>
      <c r="K94" s="222">
        <v>4746445.5</v>
      </c>
      <c r="L94" s="223">
        <v>1</v>
      </c>
      <c r="M94" s="224">
        <v>1270000</v>
      </c>
      <c r="N94" s="224">
        <v>47381</v>
      </c>
      <c r="O94" s="226">
        <v>2</v>
      </c>
      <c r="P94" s="227">
        <v>32</v>
      </c>
      <c r="Q94" s="226">
        <v>289</v>
      </c>
      <c r="R94" s="227">
        <v>2614</v>
      </c>
      <c r="S94" s="226">
        <v>27990</v>
      </c>
      <c r="T94" s="227">
        <v>270794</v>
      </c>
      <c r="V94" s="228"/>
      <c r="X94" s="274"/>
    </row>
    <row r="95" spans="1:24" x14ac:dyDescent="0.15">
      <c r="A95" s="178"/>
      <c r="B95" s="179">
        <v>38626</v>
      </c>
      <c r="C95" s="180" t="s">
        <v>363</v>
      </c>
      <c r="D95" s="19">
        <v>2</v>
      </c>
      <c r="E95" s="19">
        <v>9</v>
      </c>
      <c r="F95" s="19">
        <v>0</v>
      </c>
      <c r="G95" s="19">
        <v>9</v>
      </c>
      <c r="H95" s="19">
        <v>7</v>
      </c>
      <c r="I95" s="19">
        <v>3</v>
      </c>
      <c r="J95" s="13">
        <v>2</v>
      </c>
      <c r="K95" s="229">
        <v>13171125</v>
      </c>
      <c r="L95" s="230">
        <v>1</v>
      </c>
      <c r="M95" s="229">
        <v>870000</v>
      </c>
      <c r="N95" s="231">
        <v>55895</v>
      </c>
      <c r="O95" s="232">
        <v>7</v>
      </c>
      <c r="P95" s="233">
        <v>68</v>
      </c>
      <c r="Q95" s="232">
        <v>751</v>
      </c>
      <c r="R95" s="233">
        <v>7124</v>
      </c>
      <c r="S95" s="232">
        <v>71110</v>
      </c>
      <c r="T95" s="233">
        <v>713398</v>
      </c>
      <c r="V95" s="228"/>
      <c r="X95" s="274"/>
    </row>
    <row r="96" spans="1:24" x14ac:dyDescent="0.15">
      <c r="A96" s="172">
        <v>40</v>
      </c>
      <c r="B96" s="173">
        <v>38630</v>
      </c>
      <c r="C96" s="174" t="s">
        <v>362</v>
      </c>
      <c r="D96" s="27">
        <v>3</v>
      </c>
      <c r="E96" s="27">
        <v>3</v>
      </c>
      <c r="F96" s="27">
        <v>9</v>
      </c>
      <c r="G96" s="27">
        <v>1</v>
      </c>
      <c r="H96" s="27">
        <v>1</v>
      </c>
      <c r="I96" s="27">
        <v>2</v>
      </c>
      <c r="J96" s="7">
        <v>1</v>
      </c>
      <c r="K96" s="222">
        <v>4780071</v>
      </c>
      <c r="L96" s="223" t="s">
        <v>23</v>
      </c>
      <c r="M96" s="224"/>
      <c r="N96" s="225">
        <v>374725.7</v>
      </c>
      <c r="O96" s="226">
        <v>2</v>
      </c>
      <c r="P96" s="227">
        <v>23</v>
      </c>
      <c r="Q96" s="226">
        <v>253</v>
      </c>
      <c r="R96" s="227">
        <v>2585</v>
      </c>
      <c r="S96" s="226">
        <v>26233</v>
      </c>
      <c r="T96" s="227">
        <v>252899</v>
      </c>
      <c r="V96" s="228"/>
      <c r="X96" s="274"/>
    </row>
    <row r="97" spans="1:24" x14ac:dyDescent="0.15">
      <c r="A97" s="178"/>
      <c r="B97" s="179">
        <v>38633</v>
      </c>
      <c r="C97" s="180" t="s">
        <v>363</v>
      </c>
      <c r="D97" s="19">
        <v>2</v>
      </c>
      <c r="E97" s="19">
        <v>0</v>
      </c>
      <c r="F97" s="19">
        <v>7</v>
      </c>
      <c r="G97" s="19">
        <v>4</v>
      </c>
      <c r="H97" s="19">
        <v>0</v>
      </c>
      <c r="I97" s="19">
        <v>3</v>
      </c>
      <c r="J97" s="13">
        <v>1</v>
      </c>
      <c r="K97" s="229">
        <v>12797976</v>
      </c>
      <c r="L97" s="230" t="s">
        <v>23</v>
      </c>
      <c r="M97" s="229"/>
      <c r="N97" s="231">
        <v>1228350.7</v>
      </c>
      <c r="O97" s="232">
        <v>12</v>
      </c>
      <c r="P97" s="233">
        <v>56</v>
      </c>
      <c r="Q97" s="232">
        <v>659</v>
      </c>
      <c r="R97" s="233">
        <v>6589</v>
      </c>
      <c r="S97" s="232">
        <v>69027</v>
      </c>
      <c r="T97" s="233">
        <v>674982</v>
      </c>
      <c r="V97" s="228"/>
      <c r="X97" s="274"/>
    </row>
    <row r="98" spans="1:24" x14ac:dyDescent="0.15">
      <c r="A98" s="172">
        <v>41</v>
      </c>
      <c r="B98" s="173">
        <v>38637</v>
      </c>
      <c r="C98" s="174" t="s">
        <v>362</v>
      </c>
      <c r="D98" s="27">
        <v>2</v>
      </c>
      <c r="E98" s="27">
        <v>9</v>
      </c>
      <c r="F98" s="27">
        <v>7</v>
      </c>
      <c r="G98" s="27">
        <v>1</v>
      </c>
      <c r="H98" s="27">
        <v>1</v>
      </c>
      <c r="I98" s="27">
        <v>9</v>
      </c>
      <c r="J98" s="7">
        <v>5</v>
      </c>
      <c r="K98" s="222">
        <v>4578384</v>
      </c>
      <c r="L98" s="223" t="s">
        <v>23</v>
      </c>
      <c r="M98" s="224"/>
      <c r="N98" s="225">
        <v>1533728.9</v>
      </c>
      <c r="O98" s="226">
        <v>5</v>
      </c>
      <c r="P98" s="227">
        <v>38</v>
      </c>
      <c r="Q98" s="226">
        <v>324</v>
      </c>
      <c r="R98" s="227">
        <v>3075</v>
      </c>
      <c r="S98" s="226">
        <v>30101</v>
      </c>
      <c r="T98" s="227">
        <v>328971</v>
      </c>
      <c r="V98" s="228"/>
      <c r="X98" s="274"/>
    </row>
    <row r="99" spans="1:24" x14ac:dyDescent="0.15">
      <c r="A99" s="178"/>
      <c r="B99" s="179">
        <v>38640</v>
      </c>
      <c r="C99" s="180" t="s">
        <v>363</v>
      </c>
      <c r="D99" s="19">
        <v>2</v>
      </c>
      <c r="E99" s="19">
        <v>3</v>
      </c>
      <c r="F99" s="19">
        <v>5</v>
      </c>
      <c r="G99" s="19">
        <v>5</v>
      </c>
      <c r="H99" s="19">
        <v>4</v>
      </c>
      <c r="I99" s="19">
        <v>6</v>
      </c>
      <c r="J99" s="13">
        <v>1</v>
      </c>
      <c r="K99" s="229">
        <v>12846690</v>
      </c>
      <c r="L99" s="230">
        <v>1</v>
      </c>
      <c r="M99" s="229">
        <v>2370000</v>
      </c>
      <c r="N99" s="231">
        <v>20603.099999999999</v>
      </c>
      <c r="O99" s="232">
        <v>5</v>
      </c>
      <c r="P99" s="233">
        <v>66</v>
      </c>
      <c r="Q99" s="232">
        <v>680</v>
      </c>
      <c r="R99" s="233">
        <v>6926</v>
      </c>
      <c r="S99" s="232">
        <v>68161</v>
      </c>
      <c r="T99" s="233">
        <v>681124</v>
      </c>
      <c r="V99" s="228"/>
      <c r="X99" s="274"/>
    </row>
    <row r="100" spans="1:24" x14ac:dyDescent="0.15">
      <c r="A100" s="172">
        <v>42</v>
      </c>
      <c r="B100" s="173">
        <v>38644</v>
      </c>
      <c r="C100" s="174" t="s">
        <v>362</v>
      </c>
      <c r="D100" s="27">
        <v>9</v>
      </c>
      <c r="E100" s="27">
        <v>5</v>
      </c>
      <c r="F100" s="27">
        <v>6</v>
      </c>
      <c r="G100" s="27">
        <v>2</v>
      </c>
      <c r="H100" s="27">
        <v>8</v>
      </c>
      <c r="I100" s="27">
        <v>8</v>
      </c>
      <c r="J100" s="7">
        <v>6</v>
      </c>
      <c r="K100" s="222">
        <v>4747719</v>
      </c>
      <c r="L100" s="234" t="s">
        <v>23</v>
      </c>
      <c r="M100" s="224"/>
      <c r="N100" s="224">
        <v>337276</v>
      </c>
      <c r="O100" s="226">
        <v>2</v>
      </c>
      <c r="P100" s="227">
        <v>27</v>
      </c>
      <c r="Q100" s="226">
        <v>296</v>
      </c>
      <c r="R100" s="227">
        <v>2747</v>
      </c>
      <c r="S100" s="226">
        <v>29808</v>
      </c>
      <c r="T100" s="227">
        <v>306741</v>
      </c>
      <c r="V100" s="228"/>
      <c r="X100" s="274"/>
    </row>
    <row r="101" spans="1:24" x14ac:dyDescent="0.15">
      <c r="A101" s="178"/>
      <c r="B101" s="179">
        <v>38647</v>
      </c>
      <c r="C101" s="180" t="s">
        <v>363</v>
      </c>
      <c r="D101" s="19">
        <v>9</v>
      </c>
      <c r="E101" s="19">
        <v>9</v>
      </c>
      <c r="F101" s="19">
        <v>7</v>
      </c>
      <c r="G101" s="19">
        <v>0</v>
      </c>
      <c r="H101" s="19">
        <v>5</v>
      </c>
      <c r="I101" s="19">
        <v>2</v>
      </c>
      <c r="J101" s="13">
        <v>2</v>
      </c>
      <c r="K101" s="229">
        <v>13474257</v>
      </c>
      <c r="L101" s="237" t="s">
        <v>23</v>
      </c>
      <c r="M101" s="229"/>
      <c r="N101" s="231">
        <v>1236008.8999999999</v>
      </c>
      <c r="O101" s="232">
        <v>8</v>
      </c>
      <c r="P101" s="233">
        <v>98</v>
      </c>
      <c r="Q101" s="232">
        <v>727</v>
      </c>
      <c r="R101" s="233">
        <v>7585</v>
      </c>
      <c r="S101" s="232">
        <v>75394</v>
      </c>
      <c r="T101" s="233">
        <v>738667</v>
      </c>
      <c r="U101" s="228"/>
      <c r="V101" s="228"/>
      <c r="X101" s="274"/>
    </row>
    <row r="102" spans="1:24" x14ac:dyDescent="0.15">
      <c r="A102" s="172">
        <v>43</v>
      </c>
      <c r="B102" s="173">
        <v>38651</v>
      </c>
      <c r="C102" s="174" t="s">
        <v>362</v>
      </c>
      <c r="D102" s="27">
        <v>6</v>
      </c>
      <c r="E102" s="27">
        <v>0</v>
      </c>
      <c r="F102" s="27">
        <v>7</v>
      </c>
      <c r="G102" s="27">
        <v>0</v>
      </c>
      <c r="H102" s="27">
        <v>5</v>
      </c>
      <c r="I102" s="27">
        <v>0</v>
      </c>
      <c r="J102" s="7">
        <v>6</v>
      </c>
      <c r="K102" s="222">
        <v>4579383</v>
      </c>
      <c r="L102" s="223" t="s">
        <v>23</v>
      </c>
      <c r="M102" s="224"/>
      <c r="N102" s="225">
        <v>1541453.7</v>
      </c>
      <c r="O102" s="226">
        <v>3</v>
      </c>
      <c r="P102" s="227">
        <v>20</v>
      </c>
      <c r="Q102" s="226">
        <v>269</v>
      </c>
      <c r="R102" s="227">
        <v>2516</v>
      </c>
      <c r="S102" s="226">
        <v>25790</v>
      </c>
      <c r="T102" s="227">
        <v>301781</v>
      </c>
      <c r="V102" s="228"/>
      <c r="X102" s="274"/>
    </row>
    <row r="103" spans="1:24" x14ac:dyDescent="0.15">
      <c r="A103" s="178"/>
      <c r="B103" s="179">
        <v>38654</v>
      </c>
      <c r="C103" s="180" t="s">
        <v>363</v>
      </c>
      <c r="D103" s="19">
        <v>0</v>
      </c>
      <c r="E103" s="19">
        <v>0</v>
      </c>
      <c r="F103" s="19">
        <v>0</v>
      </c>
      <c r="G103" s="19">
        <v>8</v>
      </c>
      <c r="H103" s="19">
        <v>3</v>
      </c>
      <c r="I103" s="19">
        <v>1</v>
      </c>
      <c r="J103" s="13">
        <v>8</v>
      </c>
      <c r="K103" s="229">
        <v>12975351</v>
      </c>
      <c r="L103" s="237">
        <v>2</v>
      </c>
      <c r="M103" s="229">
        <v>1170000</v>
      </c>
      <c r="N103" s="231">
        <v>66909.600000000006</v>
      </c>
      <c r="O103" s="232">
        <v>11</v>
      </c>
      <c r="P103" s="233">
        <v>87</v>
      </c>
      <c r="Q103" s="232">
        <v>848</v>
      </c>
      <c r="R103" s="233">
        <v>8508</v>
      </c>
      <c r="S103" s="232">
        <v>83783</v>
      </c>
      <c r="T103" s="233">
        <v>875133</v>
      </c>
      <c r="V103" s="228"/>
      <c r="X103" s="274"/>
    </row>
    <row r="104" spans="1:24" x14ac:dyDescent="0.15">
      <c r="A104" s="172">
        <v>44</v>
      </c>
      <c r="B104" s="173">
        <v>38658</v>
      </c>
      <c r="C104" s="174" t="s">
        <v>362</v>
      </c>
      <c r="D104" s="27">
        <v>2</v>
      </c>
      <c r="E104" s="27">
        <v>5</v>
      </c>
      <c r="F104" s="27">
        <v>0</v>
      </c>
      <c r="G104" s="27">
        <v>6</v>
      </c>
      <c r="H104" s="27">
        <v>1</v>
      </c>
      <c r="I104" s="27">
        <v>8</v>
      </c>
      <c r="J104" s="7">
        <v>1</v>
      </c>
      <c r="K104" s="222">
        <v>4809109.5</v>
      </c>
      <c r="L104" s="223" t="s">
        <v>23</v>
      </c>
      <c r="M104" s="224"/>
      <c r="N104" s="225">
        <v>387677.2</v>
      </c>
      <c r="O104" s="226">
        <v>1</v>
      </c>
      <c r="P104" s="227">
        <v>30</v>
      </c>
      <c r="Q104" s="226">
        <v>233</v>
      </c>
      <c r="R104" s="227">
        <v>2497</v>
      </c>
      <c r="S104" s="226">
        <v>25316</v>
      </c>
      <c r="T104" s="227">
        <v>262367</v>
      </c>
      <c r="V104" s="228"/>
      <c r="X104" s="274"/>
    </row>
    <row r="105" spans="1:24" x14ac:dyDescent="0.15">
      <c r="A105" s="178"/>
      <c r="B105" s="179">
        <v>38661</v>
      </c>
      <c r="C105" s="180" t="s">
        <v>363</v>
      </c>
      <c r="D105" s="19">
        <v>3</v>
      </c>
      <c r="E105" s="19">
        <v>7</v>
      </c>
      <c r="F105" s="19">
        <v>7</v>
      </c>
      <c r="G105" s="19">
        <v>7</v>
      </c>
      <c r="H105" s="19">
        <v>9</v>
      </c>
      <c r="I105" s="19">
        <v>9</v>
      </c>
      <c r="J105" s="13">
        <v>2</v>
      </c>
      <c r="K105" s="229">
        <v>13733158.5</v>
      </c>
      <c r="L105" s="230">
        <v>2</v>
      </c>
      <c r="M105" s="229">
        <v>570000</v>
      </c>
      <c r="N105" s="231">
        <v>163678.9</v>
      </c>
      <c r="O105" s="232">
        <v>6</v>
      </c>
      <c r="P105" s="233">
        <v>71</v>
      </c>
      <c r="Q105" s="232">
        <v>719</v>
      </c>
      <c r="R105" s="233">
        <v>7391</v>
      </c>
      <c r="S105" s="232">
        <v>73413</v>
      </c>
      <c r="T105" s="233">
        <v>760369</v>
      </c>
      <c r="V105" s="228"/>
      <c r="X105" s="274"/>
    </row>
    <row r="106" spans="1:24" x14ac:dyDescent="0.15">
      <c r="A106" s="172">
        <v>45</v>
      </c>
      <c r="B106" s="173">
        <v>38665</v>
      </c>
      <c r="C106" s="174" t="s">
        <v>362</v>
      </c>
      <c r="D106" s="27">
        <v>6</v>
      </c>
      <c r="E106" s="27">
        <v>0</v>
      </c>
      <c r="F106" s="27">
        <v>8</v>
      </c>
      <c r="G106" s="27">
        <v>0</v>
      </c>
      <c r="H106" s="27">
        <v>8</v>
      </c>
      <c r="I106" s="27">
        <v>0</v>
      </c>
      <c r="J106" s="7">
        <v>3</v>
      </c>
      <c r="K106" s="222">
        <v>5833294.5</v>
      </c>
      <c r="L106" s="223" t="s">
        <v>23</v>
      </c>
      <c r="M106" s="224"/>
      <c r="N106" s="225">
        <v>552759.6</v>
      </c>
      <c r="O106" s="226">
        <v>4</v>
      </c>
      <c r="P106" s="227">
        <v>34</v>
      </c>
      <c r="Q106" s="226">
        <v>340</v>
      </c>
      <c r="R106" s="227">
        <v>3138</v>
      </c>
      <c r="S106" s="226">
        <v>31858</v>
      </c>
      <c r="T106" s="227">
        <v>368682</v>
      </c>
      <c r="V106" s="228"/>
      <c r="X106" s="274"/>
    </row>
    <row r="107" spans="1:24" x14ac:dyDescent="0.15">
      <c r="A107" s="178"/>
      <c r="B107" s="179">
        <v>38668</v>
      </c>
      <c r="C107" s="180" t="s">
        <v>363</v>
      </c>
      <c r="D107" s="19">
        <v>3</v>
      </c>
      <c r="E107" s="19">
        <v>0</v>
      </c>
      <c r="F107" s="19">
        <v>3</v>
      </c>
      <c r="G107" s="19">
        <v>9</v>
      </c>
      <c r="H107" s="19">
        <v>1</v>
      </c>
      <c r="I107" s="19">
        <v>3</v>
      </c>
      <c r="J107" s="13">
        <v>0</v>
      </c>
      <c r="K107" s="229">
        <v>13481838</v>
      </c>
      <c r="L107" s="230">
        <v>2</v>
      </c>
      <c r="M107" s="229">
        <v>670000</v>
      </c>
      <c r="N107" s="229">
        <v>111998.2</v>
      </c>
      <c r="O107" s="232">
        <v>8</v>
      </c>
      <c r="P107" s="233">
        <v>56</v>
      </c>
      <c r="Q107" s="232">
        <v>566</v>
      </c>
      <c r="R107" s="233">
        <v>6284</v>
      </c>
      <c r="S107" s="232">
        <v>62779</v>
      </c>
      <c r="T107" s="233">
        <v>629831</v>
      </c>
      <c r="V107" s="228"/>
      <c r="X107" s="274"/>
    </row>
    <row r="108" spans="1:24" x14ac:dyDescent="0.15">
      <c r="A108" s="172">
        <v>46</v>
      </c>
      <c r="B108" s="173">
        <v>38672</v>
      </c>
      <c r="C108" s="174" t="s">
        <v>362</v>
      </c>
      <c r="D108" s="27">
        <v>2</v>
      </c>
      <c r="E108" s="27">
        <v>4</v>
      </c>
      <c r="F108" s="27">
        <v>1</v>
      </c>
      <c r="G108" s="27">
        <v>4</v>
      </c>
      <c r="H108" s="27">
        <v>5</v>
      </c>
      <c r="I108" s="27">
        <v>1</v>
      </c>
      <c r="J108" s="7">
        <v>8</v>
      </c>
      <c r="K108" s="222">
        <v>4773087</v>
      </c>
      <c r="L108" s="223" t="s">
        <v>23</v>
      </c>
      <c r="M108" s="224"/>
      <c r="N108" s="225">
        <v>430363.1</v>
      </c>
      <c r="O108" s="226">
        <v>5</v>
      </c>
      <c r="P108" s="227">
        <v>30</v>
      </c>
      <c r="Q108" s="226">
        <v>307</v>
      </c>
      <c r="R108" s="227">
        <v>3055</v>
      </c>
      <c r="S108" s="226">
        <v>30611</v>
      </c>
      <c r="T108" s="227">
        <v>310318</v>
      </c>
      <c r="V108" s="228"/>
      <c r="X108" s="274"/>
    </row>
    <row r="109" spans="1:24" x14ac:dyDescent="0.15">
      <c r="A109" s="178"/>
      <c r="B109" s="179">
        <v>38675</v>
      </c>
      <c r="C109" s="180" t="s">
        <v>363</v>
      </c>
      <c r="D109" s="19">
        <v>4</v>
      </c>
      <c r="E109" s="19">
        <v>0</v>
      </c>
      <c r="F109" s="19">
        <v>6</v>
      </c>
      <c r="G109" s="19">
        <v>2</v>
      </c>
      <c r="H109" s="19">
        <v>9</v>
      </c>
      <c r="I109" s="19">
        <v>5</v>
      </c>
      <c r="J109" s="13">
        <v>4</v>
      </c>
      <c r="K109" s="229">
        <v>13555351.5</v>
      </c>
      <c r="L109" s="230">
        <v>4</v>
      </c>
      <c r="M109" s="229">
        <v>270000</v>
      </c>
      <c r="N109" s="231">
        <v>254505</v>
      </c>
      <c r="O109" s="232">
        <v>15</v>
      </c>
      <c r="P109" s="233">
        <v>69</v>
      </c>
      <c r="Q109" s="232">
        <v>872</v>
      </c>
      <c r="R109" s="233">
        <v>8316</v>
      </c>
      <c r="S109" s="232">
        <v>82095</v>
      </c>
      <c r="T109" s="233">
        <v>774755</v>
      </c>
      <c r="V109" s="228"/>
      <c r="X109" s="274"/>
    </row>
    <row r="110" spans="1:24" x14ac:dyDescent="0.15">
      <c r="A110" s="172">
        <v>47</v>
      </c>
      <c r="B110" s="173">
        <v>38679</v>
      </c>
      <c r="C110" s="174" t="s">
        <v>362</v>
      </c>
      <c r="D110" s="27">
        <v>6</v>
      </c>
      <c r="E110" s="27">
        <v>4</v>
      </c>
      <c r="F110" s="27">
        <v>0</v>
      </c>
      <c r="G110" s="27">
        <v>1</v>
      </c>
      <c r="H110" s="27">
        <v>8</v>
      </c>
      <c r="I110" s="27">
        <v>8</v>
      </c>
      <c r="J110" s="7">
        <v>8</v>
      </c>
      <c r="K110" s="222">
        <v>4515520.5</v>
      </c>
      <c r="L110" s="223">
        <v>1</v>
      </c>
      <c r="M110" s="224">
        <v>470000</v>
      </c>
      <c r="N110" s="225">
        <v>85690.2</v>
      </c>
      <c r="O110" s="226">
        <v>7</v>
      </c>
      <c r="P110" s="227">
        <v>43</v>
      </c>
      <c r="Q110" s="226">
        <v>384</v>
      </c>
      <c r="R110" s="227">
        <v>4101</v>
      </c>
      <c r="S110" s="226">
        <v>30315</v>
      </c>
      <c r="T110" s="227">
        <v>292665</v>
      </c>
      <c r="V110" s="228"/>
      <c r="X110" s="274"/>
    </row>
    <row r="111" spans="1:24" x14ac:dyDescent="0.15">
      <c r="A111" s="178"/>
      <c r="B111" s="179">
        <v>38682</v>
      </c>
      <c r="C111" s="180" t="s">
        <v>363</v>
      </c>
      <c r="D111" s="19">
        <v>7</v>
      </c>
      <c r="E111" s="19">
        <v>9</v>
      </c>
      <c r="F111" s="19">
        <v>9</v>
      </c>
      <c r="G111" s="19">
        <v>8</v>
      </c>
      <c r="H111" s="19">
        <v>4</v>
      </c>
      <c r="I111" s="19">
        <v>0</v>
      </c>
      <c r="J111" s="13">
        <v>0</v>
      </c>
      <c r="K111" s="229">
        <v>12626311.5</v>
      </c>
      <c r="L111" s="230">
        <v>1</v>
      </c>
      <c r="M111" s="229">
        <v>870000</v>
      </c>
      <c r="N111" s="231">
        <v>57865.2</v>
      </c>
      <c r="O111" s="232">
        <v>6</v>
      </c>
      <c r="P111" s="233">
        <v>55</v>
      </c>
      <c r="Q111" s="232">
        <v>627</v>
      </c>
      <c r="R111" s="233">
        <v>5990</v>
      </c>
      <c r="S111" s="232">
        <v>62035</v>
      </c>
      <c r="T111" s="233">
        <v>584522</v>
      </c>
      <c r="V111" s="228"/>
      <c r="X111" s="274"/>
    </row>
    <row r="112" spans="1:24" x14ac:dyDescent="0.15">
      <c r="A112" s="172">
        <v>48</v>
      </c>
      <c r="B112" s="173">
        <v>38686</v>
      </c>
      <c r="C112" s="174" t="s">
        <v>362</v>
      </c>
      <c r="D112" s="27">
        <v>2</v>
      </c>
      <c r="E112" s="27">
        <v>4</v>
      </c>
      <c r="F112" s="27">
        <v>8</v>
      </c>
      <c r="G112" s="27">
        <v>4</v>
      </c>
      <c r="H112" s="27">
        <v>6</v>
      </c>
      <c r="I112" s="27">
        <v>4</v>
      </c>
      <c r="J112" s="7">
        <v>7</v>
      </c>
      <c r="K112" s="222">
        <v>5248176</v>
      </c>
      <c r="L112" s="223" t="s">
        <v>23</v>
      </c>
      <c r="M112" s="224"/>
      <c r="N112" s="225">
        <v>407918.5</v>
      </c>
      <c r="O112" s="226">
        <v>5</v>
      </c>
      <c r="P112" s="227">
        <v>41</v>
      </c>
      <c r="Q112" s="226">
        <v>348</v>
      </c>
      <c r="R112" s="227">
        <v>3535</v>
      </c>
      <c r="S112" s="226">
        <v>36211</v>
      </c>
      <c r="T112" s="227">
        <v>342901</v>
      </c>
      <c r="V112" s="228"/>
      <c r="X112" s="274"/>
    </row>
    <row r="113" spans="1:24" x14ac:dyDescent="0.15">
      <c r="A113" s="178"/>
      <c r="B113" s="179">
        <v>38689</v>
      </c>
      <c r="C113" s="180" t="s">
        <v>363</v>
      </c>
      <c r="D113" s="19">
        <v>6</v>
      </c>
      <c r="E113" s="19">
        <v>2</v>
      </c>
      <c r="F113" s="19">
        <v>3</v>
      </c>
      <c r="G113" s="19">
        <v>5</v>
      </c>
      <c r="H113" s="19">
        <v>5</v>
      </c>
      <c r="I113" s="19">
        <v>7</v>
      </c>
      <c r="J113" s="13">
        <v>8</v>
      </c>
      <c r="K113" s="229">
        <v>13986013.5</v>
      </c>
      <c r="L113" s="230">
        <v>2</v>
      </c>
      <c r="M113" s="229">
        <v>670000</v>
      </c>
      <c r="N113" s="231">
        <v>785.6</v>
      </c>
      <c r="O113" s="232">
        <v>11</v>
      </c>
      <c r="P113" s="233">
        <v>95</v>
      </c>
      <c r="Q113" s="232">
        <v>964</v>
      </c>
      <c r="R113" s="233">
        <v>9698</v>
      </c>
      <c r="S113" s="232">
        <v>95482</v>
      </c>
      <c r="T113" s="233">
        <v>932703</v>
      </c>
      <c r="V113" s="228"/>
      <c r="X113" s="274"/>
    </row>
    <row r="114" spans="1:24" x14ac:dyDescent="0.15">
      <c r="A114" s="172">
        <v>49</v>
      </c>
      <c r="B114" s="173">
        <v>38693</v>
      </c>
      <c r="C114" s="174" t="s">
        <v>362</v>
      </c>
      <c r="D114" s="27">
        <v>6</v>
      </c>
      <c r="E114" s="27">
        <v>6</v>
      </c>
      <c r="F114" s="27">
        <v>8</v>
      </c>
      <c r="G114" s="27">
        <v>1</v>
      </c>
      <c r="H114" s="27">
        <v>7</v>
      </c>
      <c r="I114" s="27">
        <v>4</v>
      </c>
      <c r="J114" s="7">
        <v>8</v>
      </c>
      <c r="K114" s="222">
        <v>4946259</v>
      </c>
      <c r="L114" s="223">
        <v>1</v>
      </c>
      <c r="M114" s="224">
        <v>270000</v>
      </c>
      <c r="N114" s="225">
        <v>60701.1</v>
      </c>
      <c r="O114" s="226" t="s">
        <v>17</v>
      </c>
      <c r="P114" s="227">
        <v>36</v>
      </c>
      <c r="Q114" s="226">
        <v>354</v>
      </c>
      <c r="R114" s="227">
        <v>3326</v>
      </c>
      <c r="S114" s="226">
        <v>33797</v>
      </c>
      <c r="T114" s="227">
        <v>322217</v>
      </c>
      <c r="V114" s="228"/>
      <c r="X114" s="274"/>
    </row>
    <row r="115" spans="1:24" x14ac:dyDescent="0.15">
      <c r="A115" s="178"/>
      <c r="B115" s="179">
        <v>38696</v>
      </c>
      <c r="C115" s="180" t="s">
        <v>363</v>
      </c>
      <c r="D115" s="19">
        <v>7</v>
      </c>
      <c r="E115" s="19">
        <v>9</v>
      </c>
      <c r="F115" s="19">
        <v>4</v>
      </c>
      <c r="G115" s="19">
        <v>4</v>
      </c>
      <c r="H115" s="19">
        <v>3</v>
      </c>
      <c r="I115" s="19">
        <v>3</v>
      </c>
      <c r="J115" s="13">
        <v>2</v>
      </c>
      <c r="K115" s="229">
        <v>13673043</v>
      </c>
      <c r="L115" s="230">
        <v>1</v>
      </c>
      <c r="M115" s="229">
        <v>970000</v>
      </c>
      <c r="N115" s="231">
        <v>2693.1</v>
      </c>
      <c r="O115" s="232">
        <v>5</v>
      </c>
      <c r="P115" s="233">
        <v>70</v>
      </c>
      <c r="Q115" s="232">
        <v>684</v>
      </c>
      <c r="R115" s="233">
        <v>7187</v>
      </c>
      <c r="S115" s="232">
        <v>75757</v>
      </c>
      <c r="T115" s="233">
        <v>754703</v>
      </c>
      <c r="V115" s="228"/>
      <c r="X115" s="274"/>
    </row>
    <row r="116" spans="1:24" x14ac:dyDescent="0.15">
      <c r="A116" s="172">
        <v>50</v>
      </c>
      <c r="B116" s="173">
        <v>38700</v>
      </c>
      <c r="C116" s="174" t="s">
        <v>362</v>
      </c>
      <c r="D116" s="27">
        <v>7</v>
      </c>
      <c r="E116" s="27">
        <v>7</v>
      </c>
      <c r="F116" s="27">
        <v>9</v>
      </c>
      <c r="G116" s="27">
        <v>1</v>
      </c>
      <c r="H116" s="27">
        <v>5</v>
      </c>
      <c r="I116" s="27">
        <v>7</v>
      </c>
      <c r="J116" s="7">
        <v>4</v>
      </c>
      <c r="K116" s="222">
        <v>5495814</v>
      </c>
      <c r="L116" s="223" t="s">
        <v>23</v>
      </c>
      <c r="M116" s="224"/>
      <c r="N116" s="225">
        <v>369263.9</v>
      </c>
      <c r="O116" s="226">
        <v>5</v>
      </c>
      <c r="P116" s="227">
        <v>30</v>
      </c>
      <c r="Q116" s="226">
        <v>314</v>
      </c>
      <c r="R116" s="227">
        <v>3212</v>
      </c>
      <c r="S116" s="226">
        <v>32660</v>
      </c>
      <c r="T116" s="227">
        <v>325314</v>
      </c>
      <c r="V116" s="228"/>
      <c r="X116" s="274"/>
    </row>
    <row r="117" spans="1:24" x14ac:dyDescent="0.15">
      <c r="A117" s="178"/>
      <c r="B117" s="179">
        <v>38703</v>
      </c>
      <c r="C117" s="180" t="s">
        <v>363</v>
      </c>
      <c r="D117" s="19">
        <v>1</v>
      </c>
      <c r="E117" s="19">
        <v>7</v>
      </c>
      <c r="F117" s="19">
        <v>4</v>
      </c>
      <c r="G117" s="19">
        <v>0</v>
      </c>
      <c r="H117" s="19">
        <v>1</v>
      </c>
      <c r="I117" s="19">
        <v>3</v>
      </c>
      <c r="J117" s="13">
        <v>5</v>
      </c>
      <c r="K117" s="229">
        <v>13230970.5</v>
      </c>
      <c r="L117" s="230">
        <v>1</v>
      </c>
      <c r="M117" s="229">
        <v>1170000</v>
      </c>
      <c r="N117" s="231">
        <v>81769.600000000006</v>
      </c>
      <c r="O117" s="232">
        <v>11</v>
      </c>
      <c r="P117" s="233">
        <v>81</v>
      </c>
      <c r="Q117" s="232">
        <v>962</v>
      </c>
      <c r="R117" s="233">
        <v>9598</v>
      </c>
      <c r="S117" s="232">
        <v>94669</v>
      </c>
      <c r="T117" s="233">
        <v>905449</v>
      </c>
      <c r="V117" s="228"/>
      <c r="X117" s="274"/>
    </row>
    <row r="118" spans="1:24" x14ac:dyDescent="0.15">
      <c r="A118" s="172">
        <v>51</v>
      </c>
      <c r="B118" s="173">
        <v>38707</v>
      </c>
      <c r="C118" s="174" t="s">
        <v>362</v>
      </c>
      <c r="D118" s="27">
        <v>6</v>
      </c>
      <c r="E118" s="27">
        <v>1</v>
      </c>
      <c r="F118" s="27">
        <v>6</v>
      </c>
      <c r="G118" s="27">
        <v>3</v>
      </c>
      <c r="H118" s="27">
        <v>4</v>
      </c>
      <c r="I118" s="27">
        <v>5</v>
      </c>
      <c r="J118" s="7">
        <v>8</v>
      </c>
      <c r="K118" s="222">
        <v>4812166.5</v>
      </c>
      <c r="L118" s="223">
        <v>1</v>
      </c>
      <c r="M118" s="224">
        <v>370000</v>
      </c>
      <c r="N118" s="225">
        <v>32741.1</v>
      </c>
      <c r="O118" s="226">
        <v>1</v>
      </c>
      <c r="P118" s="227">
        <v>34</v>
      </c>
      <c r="Q118" s="226">
        <v>323</v>
      </c>
      <c r="R118" s="227">
        <v>3331</v>
      </c>
      <c r="S118" s="226">
        <v>32699</v>
      </c>
      <c r="T118" s="227">
        <v>318959</v>
      </c>
      <c r="V118" s="228"/>
      <c r="X118" s="274"/>
    </row>
    <row r="119" spans="1:24" x14ac:dyDescent="0.15">
      <c r="A119" s="178"/>
      <c r="B119" s="179">
        <v>38710</v>
      </c>
      <c r="C119" s="180" t="s">
        <v>363</v>
      </c>
      <c r="D119" s="19">
        <v>4</v>
      </c>
      <c r="E119" s="19">
        <v>1</v>
      </c>
      <c r="F119" s="19">
        <v>1</v>
      </c>
      <c r="G119" s="19">
        <v>5</v>
      </c>
      <c r="H119" s="19">
        <v>2</v>
      </c>
      <c r="I119" s="19">
        <v>2</v>
      </c>
      <c r="J119" s="13">
        <v>7</v>
      </c>
      <c r="K119" s="229">
        <v>14154502.5</v>
      </c>
      <c r="L119" s="230">
        <v>3</v>
      </c>
      <c r="M119" s="229">
        <v>270000</v>
      </c>
      <c r="N119" s="231">
        <v>166846.39999999999</v>
      </c>
      <c r="O119" s="232">
        <v>5</v>
      </c>
      <c r="P119" s="233">
        <v>83</v>
      </c>
      <c r="Q119" s="232">
        <v>879</v>
      </c>
      <c r="R119" s="233">
        <v>8827</v>
      </c>
      <c r="S119" s="232">
        <v>95575</v>
      </c>
      <c r="T119" s="233">
        <v>945397</v>
      </c>
      <c r="V119" s="228"/>
      <c r="X119" s="274"/>
    </row>
    <row r="120" spans="1:24" x14ac:dyDescent="0.15">
      <c r="A120" s="172">
        <v>52</v>
      </c>
      <c r="B120" s="173">
        <v>38714</v>
      </c>
      <c r="C120" s="174" t="s">
        <v>362</v>
      </c>
      <c r="D120" s="27">
        <v>5</v>
      </c>
      <c r="E120" s="27">
        <v>0</v>
      </c>
      <c r="F120" s="27">
        <v>3</v>
      </c>
      <c r="G120" s="27">
        <v>3</v>
      </c>
      <c r="H120" s="27">
        <v>4</v>
      </c>
      <c r="I120" s="27">
        <v>9</v>
      </c>
      <c r="J120" s="7">
        <v>1</v>
      </c>
      <c r="K120" s="222">
        <v>4890022.5</v>
      </c>
      <c r="L120" s="223" t="s">
        <v>23</v>
      </c>
      <c r="M120" s="224"/>
      <c r="N120" s="225">
        <v>493010.9</v>
      </c>
      <c r="O120" s="226">
        <v>2</v>
      </c>
      <c r="P120" s="227">
        <v>26</v>
      </c>
      <c r="Q120" s="226">
        <v>234</v>
      </c>
      <c r="R120" s="227">
        <v>2516</v>
      </c>
      <c r="S120" s="226">
        <v>24927</v>
      </c>
      <c r="T120" s="227">
        <v>266745</v>
      </c>
      <c r="V120" s="228"/>
      <c r="X120" s="274"/>
    </row>
    <row r="121" spans="1:24" x14ac:dyDescent="0.15">
      <c r="A121" s="178"/>
      <c r="B121" s="179">
        <v>38717</v>
      </c>
      <c r="C121" s="180" t="s">
        <v>363</v>
      </c>
      <c r="D121" s="38">
        <v>0</v>
      </c>
      <c r="E121" s="38">
        <v>1</v>
      </c>
      <c r="F121" s="38">
        <v>0</v>
      </c>
      <c r="G121" s="38">
        <v>1</v>
      </c>
      <c r="H121" s="38">
        <v>7</v>
      </c>
      <c r="I121" s="38">
        <v>0</v>
      </c>
      <c r="J121" s="39">
        <v>9</v>
      </c>
      <c r="K121" s="229">
        <v>14923803</v>
      </c>
      <c r="L121" s="230" t="s">
        <v>23</v>
      </c>
      <c r="M121" s="229"/>
      <c r="N121" s="231">
        <v>1488428.6</v>
      </c>
      <c r="O121" s="232">
        <v>5</v>
      </c>
      <c r="P121" s="233">
        <v>71</v>
      </c>
      <c r="Q121" s="232">
        <v>795</v>
      </c>
      <c r="R121" s="233">
        <v>7873</v>
      </c>
      <c r="S121" s="232">
        <v>76952</v>
      </c>
      <c r="T121" s="233">
        <v>899189</v>
      </c>
      <c r="V121" s="228"/>
      <c r="X121" s="274"/>
    </row>
    <row r="122" spans="1:24" hidden="1" x14ac:dyDescent="0.15">
      <c r="A122" s="172">
        <v>53</v>
      </c>
      <c r="B122" s="173"/>
      <c r="C122" s="174"/>
      <c r="D122" s="27"/>
      <c r="E122" s="27"/>
      <c r="F122" s="27"/>
      <c r="G122" s="27"/>
      <c r="H122" s="27"/>
      <c r="I122" s="27"/>
      <c r="J122" s="7"/>
      <c r="K122" s="222"/>
      <c r="L122" s="223"/>
      <c r="M122" s="224"/>
      <c r="N122" s="225"/>
      <c r="O122" s="226"/>
      <c r="P122" s="227"/>
      <c r="Q122" s="226"/>
      <c r="R122" s="227"/>
      <c r="S122" s="226"/>
      <c r="T122" s="227"/>
      <c r="V122" s="228"/>
      <c r="X122" s="274"/>
    </row>
    <row r="123" spans="1:24" hidden="1" x14ac:dyDescent="0.15">
      <c r="A123" s="178"/>
      <c r="B123" s="179"/>
      <c r="C123" s="180"/>
      <c r="D123" s="38"/>
      <c r="E123" s="38"/>
      <c r="F123" s="38"/>
      <c r="G123" s="38"/>
      <c r="H123" s="38"/>
      <c r="I123" s="38"/>
      <c r="J123" s="39"/>
      <c r="K123" s="229"/>
      <c r="L123" s="230"/>
      <c r="M123" s="229"/>
      <c r="N123" s="231"/>
      <c r="O123" s="232"/>
      <c r="P123" s="233"/>
      <c r="Q123" s="232"/>
      <c r="R123" s="233"/>
      <c r="S123" s="232"/>
      <c r="T123" s="233"/>
      <c r="V123" s="228"/>
      <c r="X123" s="274"/>
    </row>
    <row r="124" spans="1:24" x14ac:dyDescent="0.15">
      <c r="A124" s="45"/>
      <c r="B124" s="46"/>
      <c r="C124" s="46"/>
      <c r="D124" s="276"/>
      <c r="E124" s="276"/>
      <c r="F124" s="276"/>
      <c r="G124" s="276"/>
      <c r="H124" s="276"/>
      <c r="I124" s="276" t="s">
        <v>24</v>
      </c>
      <c r="J124" s="276"/>
      <c r="K124" s="277"/>
      <c r="L124" s="278">
        <f>SUM(L70:L123)</f>
        <v>35</v>
      </c>
      <c r="M124" s="229"/>
      <c r="N124" s="278"/>
      <c r="O124" s="278">
        <f t="shared" ref="O124:T124" si="1">SUM(O70:O123)</f>
        <v>308</v>
      </c>
      <c r="P124" s="278">
        <f t="shared" si="1"/>
        <v>2844</v>
      </c>
      <c r="Q124" s="278">
        <f t="shared" si="1"/>
        <v>28491</v>
      </c>
      <c r="R124" s="278">
        <f t="shared" si="1"/>
        <v>284706</v>
      </c>
      <c r="S124" s="278">
        <f t="shared" si="1"/>
        <v>2855635</v>
      </c>
      <c r="T124" s="272">
        <f t="shared" si="1"/>
        <v>28816707</v>
      </c>
      <c r="V124" s="228"/>
      <c r="X124" s="274"/>
    </row>
    <row r="125" spans="1:24" x14ac:dyDescent="0.15">
      <c r="K125" s="222"/>
      <c r="V125" s="280"/>
      <c r="X125" s="274"/>
    </row>
    <row r="126" spans="1:24" x14ac:dyDescent="0.15">
      <c r="M126" s="281"/>
      <c r="N126" s="281"/>
    </row>
    <row r="129" spans="12:24" x14ac:dyDescent="0.15">
      <c r="L129" s="282"/>
      <c r="N129" s="282"/>
      <c r="O129" s="282"/>
      <c r="P129" s="282"/>
      <c r="Q129" s="282"/>
      <c r="R129" s="282"/>
      <c r="S129" s="282"/>
      <c r="T129" s="282"/>
      <c r="V129" s="282"/>
      <c r="W129" s="283"/>
      <c r="X129" s="283"/>
    </row>
    <row r="130" spans="12:24" x14ac:dyDescent="0.15">
      <c r="L130" s="282"/>
      <c r="N130" s="282"/>
      <c r="O130" s="282"/>
      <c r="P130" s="282"/>
      <c r="Q130" s="282"/>
      <c r="R130" s="282"/>
      <c r="S130" s="282"/>
      <c r="T130" s="282"/>
      <c r="V130" s="282"/>
      <c r="W130" s="283"/>
      <c r="X130" s="283"/>
    </row>
    <row r="131" spans="12:24" x14ac:dyDescent="0.15">
      <c r="L131" s="282"/>
      <c r="N131" s="282"/>
      <c r="O131" s="282"/>
      <c r="P131" s="282"/>
      <c r="Q131" s="282"/>
      <c r="R131" s="282"/>
      <c r="S131" s="282"/>
      <c r="T131" s="282"/>
      <c r="V131" s="282"/>
      <c r="W131" s="283"/>
      <c r="X131" s="283"/>
    </row>
    <row r="132" spans="12:24" x14ac:dyDescent="0.15">
      <c r="L132" s="282"/>
      <c r="N132" s="282"/>
      <c r="O132" s="282"/>
      <c r="P132" s="282"/>
      <c r="Q132" s="282"/>
      <c r="R132" s="282"/>
      <c r="S132" s="282"/>
      <c r="T132" s="282"/>
      <c r="V132" s="282"/>
      <c r="W132" s="283"/>
      <c r="X132" s="283"/>
    </row>
    <row r="133" spans="12:24" x14ac:dyDescent="0.15">
      <c r="L133" s="282"/>
      <c r="N133" s="282"/>
      <c r="O133" s="282"/>
      <c r="P133" s="282"/>
      <c r="Q133" s="282"/>
      <c r="R133" s="282"/>
      <c r="S133" s="282"/>
      <c r="T133" s="282"/>
      <c r="V133" s="282"/>
      <c r="W133" s="282"/>
    </row>
    <row r="134" spans="12:24" x14ac:dyDescent="0.15">
      <c r="L134" s="282"/>
      <c r="N134" s="282"/>
      <c r="O134" s="282"/>
      <c r="P134" s="282"/>
      <c r="Q134" s="282"/>
      <c r="R134" s="282"/>
      <c r="S134" s="282"/>
      <c r="T134" s="282"/>
      <c r="V134" s="282"/>
      <c r="W134" s="283"/>
      <c r="X134" s="283"/>
    </row>
    <row r="135" spans="12:24" x14ac:dyDescent="0.15">
      <c r="L135" s="282"/>
      <c r="N135" s="282"/>
      <c r="O135" s="282"/>
      <c r="P135" s="282"/>
      <c r="Q135" s="282"/>
      <c r="R135" s="282"/>
      <c r="S135" s="282"/>
      <c r="T135" s="282"/>
      <c r="V135" s="282"/>
      <c r="W135" s="283"/>
      <c r="X135" s="283"/>
    </row>
    <row r="136" spans="12:24" x14ac:dyDescent="0.15">
      <c r="L136" s="282"/>
      <c r="N136" s="282"/>
      <c r="O136" s="282"/>
      <c r="P136" s="282"/>
      <c r="Q136" s="282"/>
      <c r="R136" s="282"/>
      <c r="S136" s="282"/>
      <c r="T136" s="282"/>
      <c r="V136" s="282"/>
      <c r="W136" s="282"/>
    </row>
    <row r="137" spans="12:24" x14ac:dyDescent="0.15">
      <c r="L137" s="282"/>
      <c r="N137" s="282"/>
      <c r="O137" s="282"/>
      <c r="P137" s="282"/>
      <c r="Q137" s="282"/>
      <c r="R137" s="282"/>
      <c r="S137" s="282"/>
      <c r="T137" s="282"/>
      <c r="V137" s="282"/>
      <c r="W137" s="283"/>
      <c r="X137" s="283"/>
    </row>
  </sheetData>
  <phoneticPr fontId="0" type="noConversion"/>
  <printOptions horizontalCentered="1" verticalCentered="1"/>
  <pageMargins left="0" right="0" top="0" bottom="0" header="0.51181102300000003" footer="0.51181102300000003"/>
  <pageSetup paperSize="9" scale="85" orientation="landscape" horizontalDpi="4294967292" verticalDpi="4294967292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37"/>
  <sheetViews>
    <sheetView zoomScaleNormal="100" workbookViewId="0">
      <pane xSplit="3" ySplit="7" topLeftCell="D40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2.5" customWidth="1"/>
    <col min="22" max="22" width="13.5" customWidth="1"/>
    <col min="24" max="24" width="13" customWidth="1"/>
  </cols>
  <sheetData>
    <row r="2" spans="1:24" ht="14.1" customHeight="1" x14ac:dyDescent="0.2">
      <c r="A2" s="1" t="s">
        <v>364</v>
      </c>
      <c r="T2" s="3" t="s">
        <v>417</v>
      </c>
    </row>
    <row r="3" spans="1:24" ht="11.1" customHeight="1" x14ac:dyDescent="0.15">
      <c r="A3" s="6" t="s">
        <v>2</v>
      </c>
    </row>
    <row r="4" spans="1:24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4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4" ht="11.1" customHeight="1" x14ac:dyDescent="0.15">
      <c r="A6" s="13" t="s">
        <v>428</v>
      </c>
      <c r="B6" s="14">
        <v>2006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366</v>
      </c>
      <c r="M6" s="18"/>
      <c r="N6" s="13" t="s">
        <v>367</v>
      </c>
      <c r="O6" s="239">
        <v>70000</v>
      </c>
      <c r="P6" s="239">
        <v>7000</v>
      </c>
      <c r="Q6" s="239">
        <v>700</v>
      </c>
      <c r="R6" s="239">
        <v>70</v>
      </c>
      <c r="S6" s="239">
        <v>7</v>
      </c>
      <c r="T6" s="239">
        <v>2.5</v>
      </c>
    </row>
    <row r="7" spans="1:24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4" x14ac:dyDescent="0.15">
      <c r="A8" s="172">
        <v>1</v>
      </c>
      <c r="B8" s="173">
        <v>38721</v>
      </c>
      <c r="C8" s="174" t="s">
        <v>362</v>
      </c>
      <c r="D8" s="27">
        <v>3</v>
      </c>
      <c r="E8" s="27">
        <v>5</v>
      </c>
      <c r="F8" s="27">
        <v>7</v>
      </c>
      <c r="G8" s="27">
        <v>4</v>
      </c>
      <c r="H8" s="27">
        <v>0</v>
      </c>
      <c r="I8" s="27">
        <v>1</v>
      </c>
      <c r="J8" s="7">
        <v>6</v>
      </c>
      <c r="K8" s="222">
        <v>4942366.5</v>
      </c>
      <c r="L8" s="223">
        <v>1</v>
      </c>
      <c r="M8" s="224">
        <v>1770000</v>
      </c>
      <c r="N8" s="225">
        <v>48084.4</v>
      </c>
      <c r="O8" s="226">
        <v>2</v>
      </c>
      <c r="P8" s="227">
        <v>30</v>
      </c>
      <c r="Q8" s="226">
        <v>277</v>
      </c>
      <c r="R8" s="227">
        <v>2893</v>
      </c>
      <c r="S8" s="226">
        <v>31423</v>
      </c>
      <c r="T8" s="227">
        <v>320417</v>
      </c>
      <c r="V8" s="228"/>
      <c r="X8" s="274"/>
    </row>
    <row r="9" spans="1:24" x14ac:dyDescent="0.15">
      <c r="A9" s="178"/>
      <c r="B9" s="179">
        <v>38724</v>
      </c>
      <c r="C9" s="180" t="s">
        <v>363</v>
      </c>
      <c r="D9" s="19">
        <v>3</v>
      </c>
      <c r="E9" s="19">
        <v>7</v>
      </c>
      <c r="F9" s="19">
        <v>8</v>
      </c>
      <c r="G9" s="19">
        <v>7</v>
      </c>
      <c r="H9" s="19">
        <v>0</v>
      </c>
      <c r="I9" s="19">
        <v>2</v>
      </c>
      <c r="J9" s="13">
        <v>1</v>
      </c>
      <c r="K9" s="229">
        <v>13337593.5</v>
      </c>
      <c r="L9" s="230">
        <v>2</v>
      </c>
      <c r="M9" s="229">
        <v>370000</v>
      </c>
      <c r="N9" s="231">
        <v>197701.9</v>
      </c>
      <c r="O9" s="232">
        <v>5</v>
      </c>
      <c r="P9" s="233">
        <v>78</v>
      </c>
      <c r="Q9" s="232">
        <v>699</v>
      </c>
      <c r="R9" s="233">
        <v>7148</v>
      </c>
      <c r="S9" s="232">
        <v>75358</v>
      </c>
      <c r="T9" s="233">
        <v>718294</v>
      </c>
      <c r="V9" s="228"/>
      <c r="X9" s="274"/>
    </row>
    <row r="10" spans="1:24" x14ac:dyDescent="0.15">
      <c r="A10" s="172">
        <v>2</v>
      </c>
      <c r="B10" s="173">
        <v>38728</v>
      </c>
      <c r="C10" s="174" t="s">
        <v>362</v>
      </c>
      <c r="D10" s="238">
        <v>3</v>
      </c>
      <c r="E10" s="27">
        <v>4</v>
      </c>
      <c r="F10" s="27">
        <v>4</v>
      </c>
      <c r="G10" s="27">
        <v>7</v>
      </c>
      <c r="H10" s="27">
        <v>2</v>
      </c>
      <c r="I10" s="27">
        <v>6</v>
      </c>
      <c r="J10" s="7">
        <v>1</v>
      </c>
      <c r="K10" s="222">
        <v>4592977.5</v>
      </c>
      <c r="L10" s="234" t="s">
        <v>23</v>
      </c>
      <c r="M10" s="224"/>
      <c r="N10" s="225">
        <v>504053.5</v>
      </c>
      <c r="O10" s="226">
        <v>2</v>
      </c>
      <c r="P10" s="227">
        <v>25</v>
      </c>
      <c r="Q10" s="226">
        <v>233</v>
      </c>
      <c r="R10" s="227">
        <v>2551</v>
      </c>
      <c r="S10" s="226">
        <v>24868</v>
      </c>
      <c r="T10" s="227">
        <v>250015</v>
      </c>
      <c r="V10" s="228"/>
      <c r="X10" s="274"/>
    </row>
    <row r="11" spans="1:24" x14ac:dyDescent="0.15">
      <c r="A11" s="178"/>
      <c r="B11" s="179">
        <v>38731</v>
      </c>
      <c r="C11" s="180" t="s">
        <v>363</v>
      </c>
      <c r="D11" s="76">
        <v>8</v>
      </c>
      <c r="E11" s="76">
        <v>1</v>
      </c>
      <c r="F11" s="76">
        <v>3</v>
      </c>
      <c r="G11" s="76">
        <v>7</v>
      </c>
      <c r="H11" s="76">
        <v>0</v>
      </c>
      <c r="I11" s="76">
        <v>8</v>
      </c>
      <c r="J11" s="13">
        <v>2</v>
      </c>
      <c r="K11" s="229">
        <v>13416784.5</v>
      </c>
      <c r="L11" s="237">
        <v>3</v>
      </c>
      <c r="M11" s="229">
        <v>370000</v>
      </c>
      <c r="N11" s="229">
        <v>288953</v>
      </c>
      <c r="O11" s="232">
        <v>10</v>
      </c>
      <c r="P11" s="233">
        <v>57</v>
      </c>
      <c r="Q11" s="232">
        <v>741</v>
      </c>
      <c r="R11" s="233">
        <v>7199</v>
      </c>
      <c r="S11" s="232">
        <v>74521</v>
      </c>
      <c r="T11" s="233">
        <v>744063</v>
      </c>
      <c r="V11" s="228"/>
      <c r="X11" s="274"/>
    </row>
    <row r="12" spans="1:24" x14ac:dyDescent="0.15">
      <c r="A12" s="172">
        <v>3</v>
      </c>
      <c r="B12" s="173">
        <v>38735</v>
      </c>
      <c r="C12" s="174" t="s">
        <v>362</v>
      </c>
      <c r="D12" s="27">
        <v>0</v>
      </c>
      <c r="E12" s="27">
        <v>8</v>
      </c>
      <c r="F12" s="27">
        <v>6</v>
      </c>
      <c r="G12" s="27">
        <v>3</v>
      </c>
      <c r="H12" s="27">
        <v>6</v>
      </c>
      <c r="I12" s="27">
        <v>6</v>
      </c>
      <c r="J12" s="7">
        <v>8</v>
      </c>
      <c r="K12" s="222">
        <v>4532842.5</v>
      </c>
      <c r="L12" s="223" t="s">
        <v>23</v>
      </c>
      <c r="M12" s="224"/>
      <c r="N12" s="225">
        <v>591293.6</v>
      </c>
      <c r="O12" s="226">
        <v>3</v>
      </c>
      <c r="P12" s="227">
        <v>24</v>
      </c>
      <c r="Q12" s="226">
        <v>294</v>
      </c>
      <c r="R12" s="227">
        <v>2880</v>
      </c>
      <c r="S12" s="226">
        <v>30494</v>
      </c>
      <c r="T12" s="227">
        <v>305724</v>
      </c>
      <c r="V12" s="228"/>
      <c r="X12" s="274"/>
    </row>
    <row r="13" spans="1:24" x14ac:dyDescent="0.15">
      <c r="A13" s="178"/>
      <c r="B13" s="179">
        <v>38738</v>
      </c>
      <c r="C13" s="180" t="s">
        <v>363</v>
      </c>
      <c r="D13" s="19">
        <v>3</v>
      </c>
      <c r="E13" s="19">
        <v>0</v>
      </c>
      <c r="F13" s="19">
        <v>5</v>
      </c>
      <c r="G13" s="19">
        <v>5</v>
      </c>
      <c r="H13" s="19">
        <v>7</v>
      </c>
      <c r="I13" s="19">
        <v>2</v>
      </c>
      <c r="J13" s="13">
        <v>5</v>
      </c>
      <c r="K13" s="229">
        <v>12856477.5</v>
      </c>
      <c r="L13" s="230">
        <v>1</v>
      </c>
      <c r="M13" s="229">
        <v>1370000</v>
      </c>
      <c r="N13" s="231">
        <v>78820.600000000006</v>
      </c>
      <c r="O13" s="232">
        <v>10</v>
      </c>
      <c r="P13" s="233">
        <v>82</v>
      </c>
      <c r="Q13" s="232">
        <v>891</v>
      </c>
      <c r="R13" s="233">
        <v>9222</v>
      </c>
      <c r="S13" s="232">
        <v>89860</v>
      </c>
      <c r="T13" s="233">
        <v>880640</v>
      </c>
      <c r="V13" s="228"/>
      <c r="X13" s="274"/>
    </row>
    <row r="14" spans="1:24" x14ac:dyDescent="0.15">
      <c r="A14" s="172">
        <v>4</v>
      </c>
      <c r="B14" s="173">
        <v>38742</v>
      </c>
      <c r="C14" s="174" t="s">
        <v>362</v>
      </c>
      <c r="D14" s="27">
        <v>1</v>
      </c>
      <c r="E14" s="27">
        <v>5</v>
      </c>
      <c r="F14" s="27">
        <v>3</v>
      </c>
      <c r="G14" s="27">
        <v>7</v>
      </c>
      <c r="H14" s="27">
        <v>4</v>
      </c>
      <c r="I14" s="27">
        <v>7</v>
      </c>
      <c r="J14" s="7">
        <v>3</v>
      </c>
      <c r="K14" s="222">
        <v>4753903.5</v>
      </c>
      <c r="L14" s="234">
        <v>1</v>
      </c>
      <c r="M14" s="224">
        <v>370000</v>
      </c>
      <c r="N14" s="225">
        <v>25906</v>
      </c>
      <c r="O14" s="226">
        <v>1</v>
      </c>
      <c r="P14" s="227">
        <v>41</v>
      </c>
      <c r="Q14" s="226">
        <v>300</v>
      </c>
      <c r="R14" s="227">
        <v>2933</v>
      </c>
      <c r="S14" s="226">
        <v>28834</v>
      </c>
      <c r="T14" s="227">
        <v>292744</v>
      </c>
      <c r="V14" s="228"/>
      <c r="X14" s="274"/>
    </row>
    <row r="15" spans="1:24" x14ac:dyDescent="0.15">
      <c r="A15" s="178"/>
      <c r="B15" s="179">
        <v>38745</v>
      </c>
      <c r="C15" s="180" t="s">
        <v>363</v>
      </c>
      <c r="D15" s="19">
        <v>1</v>
      </c>
      <c r="E15" s="19">
        <v>5</v>
      </c>
      <c r="F15" s="19">
        <v>9</v>
      </c>
      <c r="G15" s="19">
        <v>5</v>
      </c>
      <c r="H15" s="19">
        <v>9</v>
      </c>
      <c r="I15" s="19">
        <v>9</v>
      </c>
      <c r="J15" s="13">
        <v>6</v>
      </c>
      <c r="K15" s="229">
        <v>13598079</v>
      </c>
      <c r="L15" s="230">
        <v>3</v>
      </c>
      <c r="M15" s="229">
        <v>270000</v>
      </c>
      <c r="N15" s="231">
        <v>122897.9</v>
      </c>
      <c r="O15" s="232">
        <v>14</v>
      </c>
      <c r="P15" s="233">
        <v>69</v>
      </c>
      <c r="Q15" s="232">
        <v>804</v>
      </c>
      <c r="R15" s="233">
        <v>8158</v>
      </c>
      <c r="S15" s="232">
        <v>83425</v>
      </c>
      <c r="T15" s="233">
        <v>858434</v>
      </c>
      <c r="V15" s="228"/>
      <c r="X15" s="274"/>
    </row>
    <row r="16" spans="1:24" x14ac:dyDescent="0.15">
      <c r="A16" s="172">
        <v>5</v>
      </c>
      <c r="B16" s="173">
        <v>38749</v>
      </c>
      <c r="C16" s="174" t="s">
        <v>362</v>
      </c>
      <c r="D16" s="27">
        <v>6</v>
      </c>
      <c r="E16" s="27">
        <v>6</v>
      </c>
      <c r="F16" s="27">
        <v>0</v>
      </c>
      <c r="G16" s="27">
        <v>7</v>
      </c>
      <c r="H16" s="27">
        <v>6</v>
      </c>
      <c r="I16" s="27">
        <v>3</v>
      </c>
      <c r="J16" s="7">
        <v>5</v>
      </c>
      <c r="K16" s="222">
        <v>6051702</v>
      </c>
      <c r="L16" s="223" t="s">
        <v>23</v>
      </c>
      <c r="M16" s="224"/>
      <c r="N16" s="224">
        <v>526546.4</v>
      </c>
      <c r="O16" s="226">
        <v>3</v>
      </c>
      <c r="P16" s="227">
        <v>47</v>
      </c>
      <c r="Q16" s="226">
        <v>451</v>
      </c>
      <c r="R16" s="227">
        <v>4439</v>
      </c>
      <c r="S16" s="226">
        <v>43880</v>
      </c>
      <c r="T16" s="227">
        <v>408892</v>
      </c>
      <c r="V16" s="228"/>
      <c r="X16" s="274"/>
    </row>
    <row r="17" spans="1:24" x14ac:dyDescent="0.15">
      <c r="A17" s="178"/>
      <c r="B17" s="179">
        <v>38752</v>
      </c>
      <c r="C17" s="180" t="s">
        <v>363</v>
      </c>
      <c r="D17" s="19">
        <v>7</v>
      </c>
      <c r="E17" s="19">
        <v>7</v>
      </c>
      <c r="F17" s="19">
        <v>8</v>
      </c>
      <c r="G17" s="19">
        <v>1</v>
      </c>
      <c r="H17" s="19">
        <v>8</v>
      </c>
      <c r="I17" s="19">
        <v>4</v>
      </c>
      <c r="J17" s="13">
        <v>4</v>
      </c>
      <c r="K17" s="229">
        <v>15739057.5</v>
      </c>
      <c r="L17" s="230" t="s">
        <v>23</v>
      </c>
      <c r="M17" s="229"/>
      <c r="N17" s="229">
        <v>1576341.5</v>
      </c>
      <c r="O17" s="232">
        <v>6</v>
      </c>
      <c r="P17" s="233">
        <v>102</v>
      </c>
      <c r="Q17" s="232">
        <v>934</v>
      </c>
      <c r="R17" s="233">
        <v>9240</v>
      </c>
      <c r="S17" s="232">
        <v>92636</v>
      </c>
      <c r="T17" s="233">
        <v>912437</v>
      </c>
      <c r="V17" s="228"/>
      <c r="X17" s="274"/>
    </row>
    <row r="18" spans="1:24" x14ac:dyDescent="0.15">
      <c r="A18" s="172">
        <v>6</v>
      </c>
      <c r="B18" s="173">
        <v>38756</v>
      </c>
      <c r="C18" s="174" t="s">
        <v>362</v>
      </c>
      <c r="D18" s="27">
        <v>7</v>
      </c>
      <c r="E18" s="27">
        <v>5</v>
      </c>
      <c r="F18" s="27">
        <v>5</v>
      </c>
      <c r="G18" s="27">
        <v>7</v>
      </c>
      <c r="H18" s="27">
        <v>6</v>
      </c>
      <c r="I18" s="27">
        <v>3</v>
      </c>
      <c r="J18" s="7">
        <v>3</v>
      </c>
      <c r="K18" s="222">
        <v>7746787.5</v>
      </c>
      <c r="L18" s="223" t="s">
        <v>23</v>
      </c>
      <c r="M18" s="224"/>
      <c r="N18" s="224">
        <v>2093052.2</v>
      </c>
      <c r="O18" s="226">
        <v>7</v>
      </c>
      <c r="P18" s="227">
        <v>49</v>
      </c>
      <c r="Q18" s="226">
        <v>491</v>
      </c>
      <c r="R18" s="227">
        <v>4709</v>
      </c>
      <c r="S18" s="226">
        <v>48403</v>
      </c>
      <c r="T18" s="227">
        <v>475805</v>
      </c>
      <c r="V18" s="228"/>
      <c r="X18" s="274"/>
    </row>
    <row r="19" spans="1:24" x14ac:dyDescent="0.15">
      <c r="A19" s="178"/>
      <c r="B19" s="179">
        <v>38759</v>
      </c>
      <c r="C19" s="180" t="s">
        <v>363</v>
      </c>
      <c r="D19" s="19">
        <v>3</v>
      </c>
      <c r="E19" s="19">
        <v>4</v>
      </c>
      <c r="F19" s="19">
        <v>7</v>
      </c>
      <c r="G19" s="19">
        <v>8</v>
      </c>
      <c r="H19" s="19">
        <v>0</v>
      </c>
      <c r="I19" s="19">
        <v>0</v>
      </c>
      <c r="J19" s="13">
        <v>9</v>
      </c>
      <c r="K19" s="229">
        <v>18482544</v>
      </c>
      <c r="L19" s="230">
        <v>1</v>
      </c>
      <c r="M19" s="229">
        <v>3270000</v>
      </c>
      <c r="N19" s="231">
        <v>55837.9</v>
      </c>
      <c r="O19" s="232">
        <v>8</v>
      </c>
      <c r="P19" s="233">
        <v>118</v>
      </c>
      <c r="Q19" s="232">
        <v>908</v>
      </c>
      <c r="R19" s="233">
        <v>8837</v>
      </c>
      <c r="S19" s="232">
        <v>98822</v>
      </c>
      <c r="T19" s="233">
        <v>1106731</v>
      </c>
      <c r="V19" s="228"/>
      <c r="X19" s="274"/>
    </row>
    <row r="20" spans="1:24" x14ac:dyDescent="0.15">
      <c r="A20" s="172">
        <v>7</v>
      </c>
      <c r="B20" s="173">
        <v>38763</v>
      </c>
      <c r="C20" s="174" t="s">
        <v>362</v>
      </c>
      <c r="D20" s="27">
        <v>0</v>
      </c>
      <c r="E20" s="27">
        <v>5</v>
      </c>
      <c r="F20" s="27">
        <v>4</v>
      </c>
      <c r="G20" s="27">
        <v>4</v>
      </c>
      <c r="H20" s="27">
        <v>1</v>
      </c>
      <c r="I20" s="27">
        <v>0</v>
      </c>
      <c r="J20" s="7">
        <v>1</v>
      </c>
      <c r="K20" s="222">
        <v>11146768.5</v>
      </c>
      <c r="L20" s="223">
        <v>2</v>
      </c>
      <c r="M20" s="224">
        <v>370000</v>
      </c>
      <c r="N20" s="225">
        <v>59327.4</v>
      </c>
      <c r="O20" s="226">
        <v>4</v>
      </c>
      <c r="P20" s="227">
        <v>46</v>
      </c>
      <c r="Q20" s="226">
        <v>608</v>
      </c>
      <c r="R20" s="227">
        <v>5856</v>
      </c>
      <c r="S20" s="226">
        <v>58038</v>
      </c>
      <c r="T20" s="227">
        <v>622384</v>
      </c>
      <c r="V20" s="228"/>
      <c r="X20" s="274"/>
    </row>
    <row r="21" spans="1:24" x14ac:dyDescent="0.15">
      <c r="A21" s="178"/>
      <c r="B21" s="179">
        <v>38766</v>
      </c>
      <c r="C21" s="180" t="s">
        <v>363</v>
      </c>
      <c r="D21" s="19">
        <v>1</v>
      </c>
      <c r="E21" s="19">
        <v>8</v>
      </c>
      <c r="F21" s="19">
        <v>0</v>
      </c>
      <c r="G21" s="19">
        <v>0</v>
      </c>
      <c r="H21" s="19">
        <v>2</v>
      </c>
      <c r="I21" s="19">
        <v>7</v>
      </c>
      <c r="J21" s="13">
        <v>8</v>
      </c>
      <c r="K21" s="229">
        <v>14405898</v>
      </c>
      <c r="L21" s="230">
        <v>4</v>
      </c>
      <c r="M21" s="229">
        <v>170000</v>
      </c>
      <c r="N21" s="231">
        <v>340200.8</v>
      </c>
      <c r="O21" s="232">
        <v>12</v>
      </c>
      <c r="P21" s="233">
        <v>78</v>
      </c>
      <c r="Q21" s="232">
        <v>983</v>
      </c>
      <c r="R21" s="233">
        <v>10208</v>
      </c>
      <c r="S21" s="232">
        <v>100103</v>
      </c>
      <c r="T21" s="233">
        <v>973074</v>
      </c>
      <c r="U21" s="240"/>
      <c r="V21" s="228"/>
      <c r="X21" s="274"/>
    </row>
    <row r="22" spans="1:24" x14ac:dyDescent="0.15">
      <c r="A22" s="172">
        <v>8</v>
      </c>
      <c r="B22" s="173">
        <v>38770</v>
      </c>
      <c r="C22" s="174" t="s">
        <v>362</v>
      </c>
      <c r="D22" s="27">
        <v>1</v>
      </c>
      <c r="E22" s="27">
        <v>3</v>
      </c>
      <c r="F22" s="27">
        <v>9</v>
      </c>
      <c r="G22" s="27">
        <v>0</v>
      </c>
      <c r="H22" s="27">
        <v>8</v>
      </c>
      <c r="I22" s="27">
        <v>1</v>
      </c>
      <c r="J22" s="7">
        <v>8</v>
      </c>
      <c r="K22" s="222">
        <v>5015068.5</v>
      </c>
      <c r="L22" s="223">
        <v>2</v>
      </c>
      <c r="M22" s="224">
        <v>270000</v>
      </c>
      <c r="N22" s="225">
        <v>134705.9</v>
      </c>
      <c r="O22" s="226">
        <v>4</v>
      </c>
      <c r="P22" s="227">
        <v>35</v>
      </c>
      <c r="Q22" s="226">
        <v>307</v>
      </c>
      <c r="R22" s="227">
        <v>3482</v>
      </c>
      <c r="S22" s="226">
        <v>33073</v>
      </c>
      <c r="T22" s="227">
        <v>340813</v>
      </c>
      <c r="V22" s="228"/>
      <c r="X22" s="274"/>
    </row>
    <row r="23" spans="1:24" x14ac:dyDescent="0.15">
      <c r="A23" s="178"/>
      <c r="B23" s="179">
        <v>38773</v>
      </c>
      <c r="C23" s="180" t="s">
        <v>363</v>
      </c>
      <c r="D23" s="19">
        <v>5</v>
      </c>
      <c r="E23" s="19">
        <v>9</v>
      </c>
      <c r="F23" s="19">
        <v>4</v>
      </c>
      <c r="G23" s="19">
        <v>8</v>
      </c>
      <c r="H23" s="19">
        <v>2</v>
      </c>
      <c r="I23" s="19">
        <v>0</v>
      </c>
      <c r="J23" s="13">
        <v>3</v>
      </c>
      <c r="K23" s="229">
        <v>13176517.5</v>
      </c>
      <c r="L23" s="230">
        <v>1</v>
      </c>
      <c r="M23" s="229">
        <v>970000</v>
      </c>
      <c r="N23" s="231">
        <v>43579.6</v>
      </c>
      <c r="O23" s="232">
        <v>4</v>
      </c>
      <c r="P23" s="233">
        <v>62</v>
      </c>
      <c r="Q23" s="232">
        <v>682</v>
      </c>
      <c r="R23" s="233">
        <v>6840</v>
      </c>
      <c r="S23" s="232">
        <v>67224</v>
      </c>
      <c r="T23" s="233">
        <v>803535</v>
      </c>
      <c r="V23" s="228"/>
      <c r="X23" s="274"/>
    </row>
    <row r="24" spans="1:24" x14ac:dyDescent="0.15">
      <c r="A24" s="172">
        <v>9</v>
      </c>
      <c r="B24" s="173">
        <v>38777</v>
      </c>
      <c r="C24" s="174" t="s">
        <v>362</v>
      </c>
      <c r="D24" s="27">
        <v>2</v>
      </c>
      <c r="E24" s="27">
        <v>6</v>
      </c>
      <c r="F24" s="27">
        <v>2</v>
      </c>
      <c r="G24" s="27">
        <v>0</v>
      </c>
      <c r="H24" s="27">
        <v>5</v>
      </c>
      <c r="I24" s="27">
        <v>4</v>
      </c>
      <c r="J24" s="7">
        <v>9</v>
      </c>
      <c r="K24" s="222">
        <v>5206464</v>
      </c>
      <c r="L24" s="223" t="s">
        <v>23</v>
      </c>
      <c r="M24" s="224"/>
      <c r="N24" s="225">
        <v>390850.7</v>
      </c>
      <c r="O24" s="226">
        <v>2</v>
      </c>
      <c r="P24" s="227">
        <v>36</v>
      </c>
      <c r="Q24" s="226">
        <v>300</v>
      </c>
      <c r="R24" s="227">
        <v>3107</v>
      </c>
      <c r="S24" s="226">
        <v>30461</v>
      </c>
      <c r="T24" s="227">
        <v>289414</v>
      </c>
      <c r="V24" s="228"/>
      <c r="X24" s="274"/>
    </row>
    <row r="25" spans="1:24" x14ac:dyDescent="0.15">
      <c r="A25" s="178"/>
      <c r="B25" s="179">
        <v>38780</v>
      </c>
      <c r="C25" s="180" t="s">
        <v>363</v>
      </c>
      <c r="D25" s="19">
        <v>2</v>
      </c>
      <c r="E25" s="19">
        <v>5</v>
      </c>
      <c r="F25" s="19">
        <v>4</v>
      </c>
      <c r="G25" s="19">
        <v>4</v>
      </c>
      <c r="H25" s="19">
        <v>4</v>
      </c>
      <c r="I25" s="19">
        <v>3</v>
      </c>
      <c r="J25" s="13">
        <v>7</v>
      </c>
      <c r="K25" s="229">
        <v>13770814.5</v>
      </c>
      <c r="L25" s="230">
        <v>1</v>
      </c>
      <c r="M25" s="229">
        <v>1270000</v>
      </c>
      <c r="N25" s="231">
        <v>39364</v>
      </c>
      <c r="O25" s="232">
        <v>14</v>
      </c>
      <c r="P25" s="233">
        <v>101</v>
      </c>
      <c r="Q25" s="232">
        <v>900</v>
      </c>
      <c r="R25" s="233">
        <v>9241</v>
      </c>
      <c r="S25" s="232">
        <v>91633</v>
      </c>
      <c r="T25" s="233">
        <v>916455</v>
      </c>
      <c r="V25" s="228"/>
      <c r="X25" s="274"/>
    </row>
    <row r="26" spans="1:24" x14ac:dyDescent="0.15">
      <c r="A26" s="172">
        <v>10</v>
      </c>
      <c r="B26" s="173">
        <v>38784</v>
      </c>
      <c r="C26" s="174" t="s">
        <v>362</v>
      </c>
      <c r="D26" s="27">
        <v>5</v>
      </c>
      <c r="E26" s="27">
        <v>0</v>
      </c>
      <c r="F26" s="27">
        <v>2</v>
      </c>
      <c r="G26" s="27">
        <v>8</v>
      </c>
      <c r="H26" s="27">
        <v>2</v>
      </c>
      <c r="I26" s="27">
        <v>8</v>
      </c>
      <c r="J26" s="7">
        <v>3</v>
      </c>
      <c r="K26" s="222">
        <v>6260685</v>
      </c>
      <c r="L26" s="223" t="s">
        <v>23</v>
      </c>
      <c r="M26" s="224"/>
      <c r="N26" s="225">
        <v>456951.7</v>
      </c>
      <c r="O26" s="226">
        <v>2</v>
      </c>
      <c r="P26" s="227">
        <v>42</v>
      </c>
      <c r="Q26" s="226">
        <v>349</v>
      </c>
      <c r="R26" s="227">
        <v>3940</v>
      </c>
      <c r="S26" s="226">
        <v>37828</v>
      </c>
      <c r="T26" s="227">
        <v>392810</v>
      </c>
      <c r="V26" s="228"/>
      <c r="X26" s="274"/>
    </row>
    <row r="27" spans="1:24" x14ac:dyDescent="0.15">
      <c r="A27" s="178"/>
      <c r="B27" s="179">
        <v>38787</v>
      </c>
      <c r="C27" s="180" t="s">
        <v>363</v>
      </c>
      <c r="D27" s="19">
        <v>1</v>
      </c>
      <c r="E27" s="19">
        <v>9</v>
      </c>
      <c r="F27" s="19">
        <v>1</v>
      </c>
      <c r="G27" s="19">
        <v>4</v>
      </c>
      <c r="H27" s="19">
        <v>2</v>
      </c>
      <c r="I27" s="19">
        <v>2</v>
      </c>
      <c r="J27" s="13">
        <v>3</v>
      </c>
      <c r="K27" s="229">
        <v>15401629.5</v>
      </c>
      <c r="L27" s="230">
        <v>1</v>
      </c>
      <c r="M27" s="229">
        <v>1470000</v>
      </c>
      <c r="N27" s="231">
        <v>14240.4</v>
      </c>
      <c r="O27" s="232">
        <v>8</v>
      </c>
      <c r="P27" s="233">
        <v>78</v>
      </c>
      <c r="Q27" s="232">
        <v>870</v>
      </c>
      <c r="R27" s="233">
        <v>8980</v>
      </c>
      <c r="S27" s="232">
        <v>93680</v>
      </c>
      <c r="T27" s="233">
        <v>931410</v>
      </c>
      <c r="V27" s="228"/>
      <c r="X27" s="274"/>
    </row>
    <row r="28" spans="1:24" x14ac:dyDescent="0.15">
      <c r="A28" s="172">
        <v>11</v>
      </c>
      <c r="B28" s="173">
        <v>38791</v>
      </c>
      <c r="C28" s="174" t="s">
        <v>362</v>
      </c>
      <c r="D28" s="27">
        <v>1</v>
      </c>
      <c r="E28" s="27">
        <v>3</v>
      </c>
      <c r="F28" s="27">
        <v>8</v>
      </c>
      <c r="G28" s="27">
        <v>3</v>
      </c>
      <c r="H28" s="27">
        <v>3</v>
      </c>
      <c r="I28" s="27">
        <v>6</v>
      </c>
      <c r="J28" s="7">
        <v>6</v>
      </c>
      <c r="K28" s="222">
        <v>5049586.5</v>
      </c>
      <c r="L28" s="223" t="s">
        <v>23</v>
      </c>
      <c r="M28" s="224"/>
      <c r="N28" s="225">
        <v>351047.8</v>
      </c>
      <c r="O28" s="226">
        <v>9</v>
      </c>
      <c r="P28" s="227">
        <v>39</v>
      </c>
      <c r="Q28" s="226">
        <v>411</v>
      </c>
      <c r="R28" s="227">
        <v>3262</v>
      </c>
      <c r="S28" s="226">
        <v>35096</v>
      </c>
      <c r="T28" s="227">
        <v>320725</v>
      </c>
      <c r="V28" s="228"/>
      <c r="X28" s="274"/>
    </row>
    <row r="29" spans="1:24" x14ac:dyDescent="0.15">
      <c r="A29" s="178"/>
      <c r="B29" s="179">
        <v>38794</v>
      </c>
      <c r="C29" s="180" t="s">
        <v>363</v>
      </c>
      <c r="D29" s="19">
        <v>0</v>
      </c>
      <c r="E29" s="19">
        <v>7</v>
      </c>
      <c r="F29" s="19">
        <v>5</v>
      </c>
      <c r="G29" s="19">
        <v>4</v>
      </c>
      <c r="H29" s="19">
        <v>7</v>
      </c>
      <c r="I29" s="19">
        <v>3</v>
      </c>
      <c r="J29" s="13">
        <v>1</v>
      </c>
      <c r="K29" s="229">
        <v>13034958</v>
      </c>
      <c r="L29" s="230">
        <v>1</v>
      </c>
      <c r="M29" s="229">
        <v>1170000</v>
      </c>
      <c r="N29" s="231">
        <v>50479.5</v>
      </c>
      <c r="O29" s="232">
        <v>7</v>
      </c>
      <c r="P29" s="233">
        <v>74</v>
      </c>
      <c r="Q29" s="232">
        <v>744</v>
      </c>
      <c r="R29" s="233">
        <v>7643</v>
      </c>
      <c r="S29" s="232">
        <v>71549</v>
      </c>
      <c r="T29" s="233">
        <v>698832</v>
      </c>
      <c r="V29" s="228"/>
      <c r="X29" s="274"/>
    </row>
    <row r="30" spans="1:24" x14ac:dyDescent="0.15">
      <c r="A30" s="172">
        <v>12</v>
      </c>
      <c r="B30" s="173">
        <v>38798</v>
      </c>
      <c r="C30" s="174" t="s">
        <v>362</v>
      </c>
      <c r="D30" s="27">
        <v>4</v>
      </c>
      <c r="E30" s="27">
        <v>1</v>
      </c>
      <c r="F30" s="27">
        <v>7</v>
      </c>
      <c r="G30" s="27">
        <v>3</v>
      </c>
      <c r="H30" s="27">
        <v>3</v>
      </c>
      <c r="I30" s="27">
        <v>7</v>
      </c>
      <c r="J30" s="7">
        <v>2</v>
      </c>
      <c r="K30" s="222">
        <v>4955043</v>
      </c>
      <c r="L30" s="223" t="s">
        <v>23</v>
      </c>
      <c r="M30" s="224"/>
      <c r="N30" s="225">
        <v>380980.9</v>
      </c>
      <c r="O30" s="226">
        <v>4</v>
      </c>
      <c r="P30" s="227">
        <v>31</v>
      </c>
      <c r="Q30" s="226">
        <v>249</v>
      </c>
      <c r="R30" s="227">
        <v>2682</v>
      </c>
      <c r="S30" s="226">
        <v>26205</v>
      </c>
      <c r="T30" s="227">
        <v>266994</v>
      </c>
      <c r="V30" s="228"/>
      <c r="X30" s="274"/>
    </row>
    <row r="31" spans="1:24" x14ac:dyDescent="0.15">
      <c r="A31" s="178"/>
      <c r="B31" s="179">
        <v>38801</v>
      </c>
      <c r="C31" s="180" t="s">
        <v>363</v>
      </c>
      <c r="D31" s="19">
        <v>0</v>
      </c>
      <c r="E31" s="19">
        <v>2</v>
      </c>
      <c r="F31" s="19">
        <v>4</v>
      </c>
      <c r="G31" s="19">
        <v>6</v>
      </c>
      <c r="H31" s="19">
        <v>6</v>
      </c>
      <c r="I31" s="19">
        <v>0</v>
      </c>
      <c r="J31" s="13">
        <v>3</v>
      </c>
      <c r="K31" s="229">
        <v>12783148.5</v>
      </c>
      <c r="L31" s="230">
        <v>1</v>
      </c>
      <c r="M31" s="229">
        <v>1170000</v>
      </c>
      <c r="N31" s="231">
        <v>63616.9</v>
      </c>
      <c r="O31" s="232">
        <v>6</v>
      </c>
      <c r="P31" s="233">
        <v>71</v>
      </c>
      <c r="Q31" s="232">
        <v>611</v>
      </c>
      <c r="R31" s="233">
        <v>6693</v>
      </c>
      <c r="S31" s="232">
        <v>66107</v>
      </c>
      <c r="T31" s="233">
        <v>784833</v>
      </c>
      <c r="V31" s="228"/>
      <c r="X31" s="274"/>
    </row>
    <row r="32" spans="1:24" x14ac:dyDescent="0.15">
      <c r="A32" s="172">
        <v>13</v>
      </c>
      <c r="B32" s="173">
        <v>38805</v>
      </c>
      <c r="C32" s="174" t="s">
        <v>362</v>
      </c>
      <c r="D32" s="27">
        <v>6</v>
      </c>
      <c r="E32" s="27">
        <v>7</v>
      </c>
      <c r="F32" s="27">
        <v>2</v>
      </c>
      <c r="G32" s="27">
        <v>2</v>
      </c>
      <c r="H32" s="27">
        <v>6</v>
      </c>
      <c r="I32" s="27">
        <v>1</v>
      </c>
      <c r="J32" s="7">
        <v>4</v>
      </c>
      <c r="K32" s="222">
        <v>4859484</v>
      </c>
      <c r="L32" s="223" t="s">
        <v>23</v>
      </c>
      <c r="M32" s="224"/>
      <c r="N32" s="225">
        <v>387744.5</v>
      </c>
      <c r="O32" s="226">
        <v>3</v>
      </c>
      <c r="P32" s="227">
        <v>25</v>
      </c>
      <c r="Q32" s="226">
        <v>269</v>
      </c>
      <c r="R32" s="227">
        <v>2808</v>
      </c>
      <c r="S32" s="226">
        <v>27503</v>
      </c>
      <c r="T32" s="227">
        <v>281958</v>
      </c>
      <c r="V32" s="228"/>
      <c r="X32" s="274"/>
    </row>
    <row r="33" spans="1:24" x14ac:dyDescent="0.15">
      <c r="A33" s="178"/>
      <c r="B33" s="179">
        <v>38808</v>
      </c>
      <c r="C33" s="180" t="s">
        <v>363</v>
      </c>
      <c r="D33" s="19">
        <v>3</v>
      </c>
      <c r="E33" s="19">
        <v>8</v>
      </c>
      <c r="F33" s="19">
        <v>6</v>
      </c>
      <c r="G33" s="19">
        <v>7</v>
      </c>
      <c r="H33" s="19">
        <v>9</v>
      </c>
      <c r="I33" s="19">
        <v>0</v>
      </c>
      <c r="J33" s="13">
        <v>7</v>
      </c>
      <c r="K33" s="229">
        <v>13453573.5</v>
      </c>
      <c r="L33" s="230">
        <v>2</v>
      </c>
      <c r="M33" s="229">
        <v>570000</v>
      </c>
      <c r="N33" s="231">
        <v>145097.9</v>
      </c>
      <c r="O33" s="232">
        <v>6</v>
      </c>
      <c r="P33" s="233">
        <v>82</v>
      </c>
      <c r="Q33" s="232">
        <v>795</v>
      </c>
      <c r="R33" s="233">
        <v>7837</v>
      </c>
      <c r="S33" s="232">
        <v>79051</v>
      </c>
      <c r="T33" s="233">
        <v>906978</v>
      </c>
      <c r="V33" s="228"/>
      <c r="X33" s="274"/>
    </row>
    <row r="34" spans="1:24" x14ac:dyDescent="0.15">
      <c r="A34" s="172">
        <v>14</v>
      </c>
      <c r="B34" s="173">
        <v>38812</v>
      </c>
      <c r="C34" s="174" t="s">
        <v>362</v>
      </c>
      <c r="D34" s="27">
        <v>3</v>
      </c>
      <c r="E34" s="27">
        <v>9</v>
      </c>
      <c r="F34" s="27">
        <v>3</v>
      </c>
      <c r="G34" s="27">
        <v>4</v>
      </c>
      <c r="H34" s="27">
        <v>1</v>
      </c>
      <c r="I34" s="27">
        <v>0</v>
      </c>
      <c r="J34" s="7">
        <v>5</v>
      </c>
      <c r="K34" s="222">
        <v>5489856</v>
      </c>
      <c r="L34" s="223" t="s">
        <v>23</v>
      </c>
      <c r="M34" s="224"/>
      <c r="N34" s="225">
        <v>511271.3</v>
      </c>
      <c r="O34" s="226">
        <v>2</v>
      </c>
      <c r="P34" s="227">
        <v>35</v>
      </c>
      <c r="Q34" s="226">
        <v>322</v>
      </c>
      <c r="R34" s="227">
        <v>3355</v>
      </c>
      <c r="S34" s="226">
        <v>32807</v>
      </c>
      <c r="T34" s="227">
        <v>387200</v>
      </c>
      <c r="V34" s="228"/>
      <c r="X34" s="274"/>
    </row>
    <row r="35" spans="1:24" x14ac:dyDescent="0.15">
      <c r="A35" s="178"/>
      <c r="B35" s="179">
        <v>38815</v>
      </c>
      <c r="C35" s="180" t="s">
        <v>363</v>
      </c>
      <c r="D35" s="19">
        <v>7</v>
      </c>
      <c r="E35" s="19">
        <v>4</v>
      </c>
      <c r="F35" s="19">
        <v>7</v>
      </c>
      <c r="G35" s="19">
        <v>5</v>
      </c>
      <c r="H35" s="19">
        <v>6</v>
      </c>
      <c r="I35" s="19">
        <v>4</v>
      </c>
      <c r="J35" s="13">
        <v>6</v>
      </c>
      <c r="K35" s="229">
        <v>14282269.5</v>
      </c>
      <c r="L35" s="230">
        <v>1</v>
      </c>
      <c r="M35" s="229">
        <v>1370000</v>
      </c>
      <c r="N35" s="231">
        <v>93898.7</v>
      </c>
      <c r="O35" s="232">
        <v>10</v>
      </c>
      <c r="P35" s="233">
        <v>101</v>
      </c>
      <c r="Q35" s="232">
        <v>893</v>
      </c>
      <c r="R35" s="233">
        <v>9508</v>
      </c>
      <c r="S35" s="232">
        <v>93263</v>
      </c>
      <c r="T35" s="233">
        <v>883902</v>
      </c>
      <c r="V35" s="228"/>
      <c r="X35" s="274"/>
    </row>
    <row r="36" spans="1:24" x14ac:dyDescent="0.15">
      <c r="A36" s="172">
        <v>15</v>
      </c>
      <c r="B36" s="173">
        <v>38819</v>
      </c>
      <c r="C36" s="174" t="s">
        <v>362</v>
      </c>
      <c r="D36" s="27">
        <v>8</v>
      </c>
      <c r="E36" s="27">
        <v>0</v>
      </c>
      <c r="F36" s="27">
        <v>4</v>
      </c>
      <c r="G36" s="27">
        <v>3</v>
      </c>
      <c r="H36" s="27">
        <v>8</v>
      </c>
      <c r="I36" s="27">
        <v>4</v>
      </c>
      <c r="J36" s="7">
        <v>4</v>
      </c>
      <c r="K36" s="222">
        <v>4863325.5</v>
      </c>
      <c r="L36" s="234" t="s">
        <v>23</v>
      </c>
      <c r="M36" s="224"/>
      <c r="N36" s="225">
        <v>418282.5</v>
      </c>
      <c r="O36" s="226">
        <v>6</v>
      </c>
      <c r="P36" s="227">
        <v>31</v>
      </c>
      <c r="Q36" s="226">
        <v>285</v>
      </c>
      <c r="R36" s="227">
        <v>2828</v>
      </c>
      <c r="S36" s="226">
        <v>29817</v>
      </c>
      <c r="T36" s="227">
        <v>280170</v>
      </c>
      <c r="V36" s="228"/>
      <c r="X36" s="274"/>
    </row>
    <row r="37" spans="1:24" x14ac:dyDescent="0.15">
      <c r="A37" s="178"/>
      <c r="B37" s="179">
        <v>38822</v>
      </c>
      <c r="C37" s="180" t="s">
        <v>363</v>
      </c>
      <c r="D37" s="19">
        <v>3</v>
      </c>
      <c r="E37" s="19">
        <v>7</v>
      </c>
      <c r="F37" s="19">
        <v>9</v>
      </c>
      <c r="G37" s="19">
        <v>8</v>
      </c>
      <c r="H37" s="19">
        <v>8</v>
      </c>
      <c r="I37" s="19">
        <v>2</v>
      </c>
      <c r="J37" s="13">
        <v>4</v>
      </c>
      <c r="K37" s="229">
        <v>12956166</v>
      </c>
      <c r="L37" s="230">
        <v>2</v>
      </c>
      <c r="M37" s="229">
        <v>570000</v>
      </c>
      <c r="N37" s="231">
        <v>142458.79999999999</v>
      </c>
      <c r="O37" s="232">
        <v>6</v>
      </c>
      <c r="P37" s="233">
        <v>78</v>
      </c>
      <c r="Q37" s="232">
        <v>774</v>
      </c>
      <c r="R37" s="233">
        <v>8029</v>
      </c>
      <c r="S37" s="232">
        <v>77353</v>
      </c>
      <c r="T37" s="233">
        <v>742042</v>
      </c>
      <c r="V37" s="228"/>
      <c r="X37" s="274"/>
    </row>
    <row r="38" spans="1:24" x14ac:dyDescent="0.15">
      <c r="A38" s="172">
        <v>16</v>
      </c>
      <c r="B38" s="173">
        <v>38826</v>
      </c>
      <c r="C38" s="174" t="s">
        <v>362</v>
      </c>
      <c r="D38" s="27">
        <v>3</v>
      </c>
      <c r="E38" s="27">
        <v>0</v>
      </c>
      <c r="F38" s="27">
        <v>7</v>
      </c>
      <c r="G38" s="27">
        <v>0</v>
      </c>
      <c r="H38" s="27">
        <v>6</v>
      </c>
      <c r="I38" s="27">
        <v>1</v>
      </c>
      <c r="J38" s="7">
        <v>1</v>
      </c>
      <c r="K38" s="222">
        <v>4476705</v>
      </c>
      <c r="L38" s="234" t="s">
        <v>23</v>
      </c>
      <c r="M38" s="224"/>
      <c r="N38" s="225">
        <v>441055</v>
      </c>
      <c r="O38" s="226">
        <v>3</v>
      </c>
      <c r="P38" s="227">
        <v>18</v>
      </c>
      <c r="Q38" s="226">
        <v>263</v>
      </c>
      <c r="R38" s="227">
        <v>2485</v>
      </c>
      <c r="S38" s="226">
        <v>26640</v>
      </c>
      <c r="T38" s="227">
        <v>242246</v>
      </c>
      <c r="V38" s="228"/>
      <c r="X38" s="274"/>
    </row>
    <row r="39" spans="1:24" x14ac:dyDescent="0.15">
      <c r="A39" s="178"/>
      <c r="B39" s="179">
        <v>38829</v>
      </c>
      <c r="C39" s="180" t="s">
        <v>363</v>
      </c>
      <c r="D39" s="19">
        <v>3</v>
      </c>
      <c r="E39" s="19">
        <v>8</v>
      </c>
      <c r="F39" s="19">
        <v>4</v>
      </c>
      <c r="G39" s="19">
        <v>3</v>
      </c>
      <c r="H39" s="19">
        <v>0</v>
      </c>
      <c r="I39" s="19">
        <v>5</v>
      </c>
      <c r="J39" s="13">
        <v>8</v>
      </c>
      <c r="K39" s="229">
        <v>12553072.5</v>
      </c>
      <c r="L39" s="230">
        <v>3</v>
      </c>
      <c r="M39" s="229">
        <v>370000</v>
      </c>
      <c r="N39" s="231">
        <v>168344.9</v>
      </c>
      <c r="O39" s="232">
        <v>14</v>
      </c>
      <c r="P39" s="233">
        <v>81</v>
      </c>
      <c r="Q39" s="232">
        <v>859</v>
      </c>
      <c r="R39" s="233">
        <v>8127</v>
      </c>
      <c r="S39" s="232">
        <v>91869</v>
      </c>
      <c r="T39" s="233">
        <v>857263</v>
      </c>
      <c r="V39" s="228"/>
      <c r="X39" s="274"/>
    </row>
    <row r="40" spans="1:24" x14ac:dyDescent="0.15">
      <c r="A40" s="172">
        <v>17</v>
      </c>
      <c r="B40" s="173">
        <v>38833</v>
      </c>
      <c r="C40" s="174" t="s">
        <v>362</v>
      </c>
      <c r="D40" s="27">
        <v>2</v>
      </c>
      <c r="E40" s="27">
        <v>8</v>
      </c>
      <c r="F40" s="27">
        <v>3</v>
      </c>
      <c r="G40" s="27">
        <v>8</v>
      </c>
      <c r="H40" s="27">
        <v>9</v>
      </c>
      <c r="I40" s="27">
        <v>1</v>
      </c>
      <c r="J40" s="7">
        <v>9</v>
      </c>
      <c r="K40" s="222">
        <v>4477534.5</v>
      </c>
      <c r="L40" s="223" t="s">
        <v>23</v>
      </c>
      <c r="M40" s="224"/>
      <c r="N40" s="225">
        <v>466996.5</v>
      </c>
      <c r="O40" s="226" t="s">
        <v>17</v>
      </c>
      <c r="P40" s="227">
        <v>29</v>
      </c>
      <c r="Q40" s="226">
        <v>227</v>
      </c>
      <c r="R40" s="227">
        <v>2518</v>
      </c>
      <c r="S40" s="226">
        <v>24104</v>
      </c>
      <c r="T40" s="227">
        <v>246494</v>
      </c>
      <c r="V40" s="228"/>
      <c r="X40" s="274"/>
    </row>
    <row r="41" spans="1:24" x14ac:dyDescent="0.15">
      <c r="A41" s="178"/>
      <c r="B41" s="179">
        <v>38836</v>
      </c>
      <c r="C41" s="180" t="s">
        <v>363</v>
      </c>
      <c r="D41" s="19">
        <v>4</v>
      </c>
      <c r="E41" s="19">
        <v>2</v>
      </c>
      <c r="F41" s="19">
        <v>0</v>
      </c>
      <c r="G41" s="19">
        <v>6</v>
      </c>
      <c r="H41" s="19">
        <v>4</v>
      </c>
      <c r="I41" s="19">
        <v>8</v>
      </c>
      <c r="J41" s="13">
        <v>8</v>
      </c>
      <c r="K41" s="229">
        <v>12874182</v>
      </c>
      <c r="L41" s="230" t="s">
        <v>23</v>
      </c>
      <c r="M41" s="229"/>
      <c r="N41" s="231">
        <v>1325704.3999999999</v>
      </c>
      <c r="O41" s="232">
        <v>12</v>
      </c>
      <c r="P41" s="233">
        <v>87</v>
      </c>
      <c r="Q41" s="232">
        <v>941</v>
      </c>
      <c r="R41" s="233">
        <v>8958</v>
      </c>
      <c r="S41" s="232">
        <v>90516</v>
      </c>
      <c r="T41" s="233">
        <v>880585</v>
      </c>
      <c r="V41" s="228"/>
      <c r="X41" s="274"/>
    </row>
    <row r="42" spans="1:24" x14ac:dyDescent="0.15">
      <c r="A42" s="172">
        <v>18</v>
      </c>
      <c r="B42" s="173">
        <v>38840</v>
      </c>
      <c r="C42" s="174" t="s">
        <v>362</v>
      </c>
      <c r="D42" s="27">
        <v>1</v>
      </c>
      <c r="E42" s="27">
        <v>5</v>
      </c>
      <c r="F42" s="27">
        <v>1</v>
      </c>
      <c r="G42" s="27">
        <v>8</v>
      </c>
      <c r="H42" s="27">
        <v>8</v>
      </c>
      <c r="I42" s="27">
        <v>2</v>
      </c>
      <c r="J42" s="7">
        <v>9</v>
      </c>
      <c r="K42" s="222">
        <v>4439547</v>
      </c>
      <c r="L42" s="234" t="s">
        <v>23</v>
      </c>
      <c r="M42" s="224"/>
      <c r="N42" s="225">
        <v>1621822.2</v>
      </c>
      <c r="O42" s="226">
        <v>2</v>
      </c>
      <c r="P42" s="227">
        <v>31</v>
      </c>
      <c r="Q42" s="226">
        <v>213</v>
      </c>
      <c r="R42" s="227">
        <v>2516</v>
      </c>
      <c r="S42" s="226">
        <v>24136</v>
      </c>
      <c r="T42" s="227">
        <v>243585</v>
      </c>
      <c r="V42" s="228"/>
      <c r="X42" s="274"/>
    </row>
    <row r="43" spans="1:24" x14ac:dyDescent="0.15">
      <c r="A43" s="178"/>
      <c r="B43" s="179">
        <v>38843</v>
      </c>
      <c r="C43" s="180" t="s">
        <v>363</v>
      </c>
      <c r="D43" s="19">
        <v>3</v>
      </c>
      <c r="E43" s="19">
        <v>5</v>
      </c>
      <c r="F43" s="19">
        <v>4</v>
      </c>
      <c r="G43" s="19">
        <v>4</v>
      </c>
      <c r="H43" s="19">
        <v>7</v>
      </c>
      <c r="I43" s="19">
        <v>3</v>
      </c>
      <c r="J43" s="13">
        <v>4</v>
      </c>
      <c r="K43" s="229">
        <v>12541956</v>
      </c>
      <c r="L43" s="237">
        <v>2</v>
      </c>
      <c r="M43" s="229">
        <v>1170000</v>
      </c>
      <c r="N43" s="231">
        <v>118370.7</v>
      </c>
      <c r="O43" s="232">
        <v>8</v>
      </c>
      <c r="P43" s="233">
        <v>87</v>
      </c>
      <c r="Q43" s="232">
        <v>774</v>
      </c>
      <c r="R43" s="233">
        <v>7334</v>
      </c>
      <c r="S43" s="232">
        <v>73225</v>
      </c>
      <c r="T43" s="233">
        <v>721264</v>
      </c>
      <c r="V43" s="228"/>
      <c r="X43" s="274"/>
    </row>
    <row r="44" spans="1:24" x14ac:dyDescent="0.15">
      <c r="A44" s="172">
        <v>19</v>
      </c>
      <c r="B44" s="173">
        <v>38847</v>
      </c>
      <c r="C44" s="174" t="s">
        <v>362</v>
      </c>
      <c r="D44" s="27">
        <v>0</v>
      </c>
      <c r="E44" s="27">
        <v>1</v>
      </c>
      <c r="F44" s="27">
        <v>1</v>
      </c>
      <c r="G44" s="27">
        <v>0</v>
      </c>
      <c r="H44" s="27">
        <v>2</v>
      </c>
      <c r="I44" s="27">
        <v>2</v>
      </c>
      <c r="J44" s="7">
        <v>4</v>
      </c>
      <c r="K44" s="222">
        <v>4507894.5</v>
      </c>
      <c r="L44" s="234">
        <v>1</v>
      </c>
      <c r="M44" s="224">
        <v>370000</v>
      </c>
      <c r="N44" s="225">
        <v>49047.3</v>
      </c>
      <c r="O44" s="226">
        <v>2</v>
      </c>
      <c r="P44" s="227">
        <v>23</v>
      </c>
      <c r="Q44" s="226">
        <v>286</v>
      </c>
      <c r="R44" s="227">
        <v>2627</v>
      </c>
      <c r="S44" s="226">
        <v>27380</v>
      </c>
      <c r="T44" s="227">
        <v>260770</v>
      </c>
      <c r="V44" s="228"/>
      <c r="X44" s="274"/>
    </row>
    <row r="45" spans="1:24" x14ac:dyDescent="0.15">
      <c r="A45" s="178"/>
      <c r="B45" s="179">
        <v>38850</v>
      </c>
      <c r="C45" s="180" t="s">
        <v>363</v>
      </c>
      <c r="D45" s="19">
        <v>8</v>
      </c>
      <c r="E45" s="19">
        <v>2</v>
      </c>
      <c r="F45" s="19">
        <v>4</v>
      </c>
      <c r="G45" s="19">
        <v>5</v>
      </c>
      <c r="H45" s="19">
        <v>0</v>
      </c>
      <c r="I45" s="19">
        <v>7</v>
      </c>
      <c r="J45" s="13">
        <v>4</v>
      </c>
      <c r="K45" s="229">
        <v>12598761</v>
      </c>
      <c r="L45" s="230" t="s">
        <v>23</v>
      </c>
      <c r="M45" s="229"/>
      <c r="N45" s="231">
        <v>889384.7</v>
      </c>
      <c r="O45" s="232">
        <v>3</v>
      </c>
      <c r="P45" s="233">
        <v>71</v>
      </c>
      <c r="Q45" s="232">
        <v>674</v>
      </c>
      <c r="R45" s="233">
        <v>6842</v>
      </c>
      <c r="S45" s="232">
        <v>72701</v>
      </c>
      <c r="T45" s="233">
        <v>728157</v>
      </c>
      <c r="V45" s="228"/>
      <c r="X45" s="274"/>
    </row>
    <row r="46" spans="1:24" x14ac:dyDescent="0.15">
      <c r="A46" s="172">
        <v>20</v>
      </c>
      <c r="B46" s="173">
        <v>38854</v>
      </c>
      <c r="C46" s="174" t="s">
        <v>362</v>
      </c>
      <c r="D46" s="27">
        <v>5</v>
      </c>
      <c r="E46" s="27">
        <v>5</v>
      </c>
      <c r="F46" s="27">
        <v>5</v>
      </c>
      <c r="G46" s="27">
        <v>7</v>
      </c>
      <c r="H46" s="27">
        <v>7</v>
      </c>
      <c r="I46" s="27">
        <v>1</v>
      </c>
      <c r="J46" s="7">
        <v>3</v>
      </c>
      <c r="K46" s="222">
        <v>4410733.5</v>
      </c>
      <c r="L46" s="223" t="s">
        <v>23</v>
      </c>
      <c r="M46" s="224"/>
      <c r="N46" s="225">
        <v>1183580.6000000001</v>
      </c>
      <c r="O46" s="226">
        <v>2</v>
      </c>
      <c r="P46" s="227">
        <v>37</v>
      </c>
      <c r="Q46" s="226">
        <v>347</v>
      </c>
      <c r="R46" s="227">
        <v>3481</v>
      </c>
      <c r="S46" s="226">
        <v>33196</v>
      </c>
      <c r="T46" s="227">
        <v>275564</v>
      </c>
      <c r="V46" s="228"/>
      <c r="X46" s="274"/>
    </row>
    <row r="47" spans="1:24" x14ac:dyDescent="0.15">
      <c r="A47" s="178"/>
      <c r="B47" s="179">
        <v>38857</v>
      </c>
      <c r="C47" s="180" t="s">
        <v>363</v>
      </c>
      <c r="D47" s="19">
        <v>0</v>
      </c>
      <c r="E47" s="19">
        <v>4</v>
      </c>
      <c r="F47" s="19">
        <v>3</v>
      </c>
      <c r="G47" s="19">
        <v>7</v>
      </c>
      <c r="H47" s="19">
        <v>6</v>
      </c>
      <c r="I47" s="19">
        <v>3</v>
      </c>
      <c r="J47" s="13">
        <v>3</v>
      </c>
      <c r="K47" s="229">
        <v>12365818.5</v>
      </c>
      <c r="L47" s="230">
        <v>1</v>
      </c>
      <c r="M47" s="229">
        <v>1970000</v>
      </c>
      <c r="N47" s="231">
        <v>38380.699999999997</v>
      </c>
      <c r="O47" s="232">
        <v>7</v>
      </c>
      <c r="P47" s="233">
        <v>93</v>
      </c>
      <c r="Q47" s="232">
        <v>739</v>
      </c>
      <c r="R47" s="233">
        <v>7351</v>
      </c>
      <c r="S47" s="232">
        <v>74815</v>
      </c>
      <c r="T47" s="233">
        <v>753352</v>
      </c>
      <c r="V47" s="228"/>
      <c r="X47" s="274"/>
    </row>
    <row r="48" spans="1:24" x14ac:dyDescent="0.15">
      <c r="A48" s="172">
        <v>21</v>
      </c>
      <c r="B48" s="173">
        <v>38861</v>
      </c>
      <c r="C48" s="174" t="s">
        <v>362</v>
      </c>
      <c r="D48" s="27">
        <v>0</v>
      </c>
      <c r="E48" s="27">
        <v>0</v>
      </c>
      <c r="F48" s="27">
        <v>7</v>
      </c>
      <c r="G48" s="27">
        <v>7</v>
      </c>
      <c r="H48" s="27">
        <v>0</v>
      </c>
      <c r="I48" s="27">
        <v>5</v>
      </c>
      <c r="J48" s="7">
        <v>1</v>
      </c>
      <c r="K48" s="222">
        <v>4448941.5</v>
      </c>
      <c r="L48" s="223">
        <v>1</v>
      </c>
      <c r="M48" s="224">
        <v>270000</v>
      </c>
      <c r="N48" s="225">
        <v>65125.1</v>
      </c>
      <c r="O48" s="226">
        <v>3</v>
      </c>
      <c r="P48" s="227">
        <v>24</v>
      </c>
      <c r="Q48" s="226">
        <v>249</v>
      </c>
      <c r="R48" s="227">
        <v>2331</v>
      </c>
      <c r="S48" s="226">
        <v>24822</v>
      </c>
      <c r="T48" s="227">
        <v>240682</v>
      </c>
      <c r="V48" s="228"/>
      <c r="X48" s="274"/>
    </row>
    <row r="49" spans="1:24" x14ac:dyDescent="0.15">
      <c r="A49" s="178"/>
      <c r="B49" s="179">
        <v>38864</v>
      </c>
      <c r="C49" s="180" t="s">
        <v>363</v>
      </c>
      <c r="D49" s="19">
        <v>3</v>
      </c>
      <c r="E49" s="19">
        <v>9</v>
      </c>
      <c r="F49" s="19">
        <v>7</v>
      </c>
      <c r="G49" s="19">
        <v>6</v>
      </c>
      <c r="H49" s="19">
        <v>7</v>
      </c>
      <c r="I49" s="19">
        <v>0</v>
      </c>
      <c r="J49" s="13">
        <v>0</v>
      </c>
      <c r="K49" s="229">
        <v>12087537</v>
      </c>
      <c r="L49" s="230">
        <v>1</v>
      </c>
      <c r="M49" s="229">
        <v>870000</v>
      </c>
      <c r="N49" s="231">
        <v>1363.8</v>
      </c>
      <c r="O49" s="232">
        <v>6</v>
      </c>
      <c r="P49" s="233">
        <v>55</v>
      </c>
      <c r="Q49" s="232">
        <v>585</v>
      </c>
      <c r="R49" s="233">
        <v>5688</v>
      </c>
      <c r="S49" s="232">
        <v>58982</v>
      </c>
      <c r="T49" s="233">
        <v>554231</v>
      </c>
      <c r="V49" s="228"/>
      <c r="X49" s="274"/>
    </row>
    <row r="50" spans="1:24" x14ac:dyDescent="0.15">
      <c r="A50" s="172">
        <v>22</v>
      </c>
      <c r="B50" s="173">
        <v>38868</v>
      </c>
      <c r="C50" s="174" t="s">
        <v>362</v>
      </c>
      <c r="D50" s="27">
        <v>4</v>
      </c>
      <c r="E50" s="27">
        <v>5</v>
      </c>
      <c r="F50" s="27">
        <v>8</v>
      </c>
      <c r="G50" s="27">
        <v>6</v>
      </c>
      <c r="H50" s="27">
        <v>8</v>
      </c>
      <c r="I50" s="27">
        <v>8</v>
      </c>
      <c r="J50" s="7">
        <v>1</v>
      </c>
      <c r="K50" s="222">
        <v>4723882.5</v>
      </c>
      <c r="L50" s="223" t="s">
        <v>23</v>
      </c>
      <c r="M50" s="224"/>
      <c r="N50" s="225">
        <v>316446.8</v>
      </c>
      <c r="O50" s="226">
        <v>3</v>
      </c>
      <c r="P50" s="227">
        <v>18</v>
      </c>
      <c r="Q50" s="226">
        <v>279</v>
      </c>
      <c r="R50" s="227">
        <v>2411</v>
      </c>
      <c r="S50" s="226">
        <v>24945</v>
      </c>
      <c r="T50" s="227">
        <v>259374</v>
      </c>
      <c r="V50" s="228"/>
      <c r="X50" s="274"/>
    </row>
    <row r="51" spans="1:24" x14ac:dyDescent="0.15">
      <c r="A51" s="178"/>
      <c r="B51" s="179">
        <v>38871</v>
      </c>
      <c r="C51" s="180" t="s">
        <v>363</v>
      </c>
      <c r="D51" s="19">
        <v>9</v>
      </c>
      <c r="E51" s="19">
        <v>4</v>
      </c>
      <c r="F51" s="19">
        <v>1</v>
      </c>
      <c r="G51" s="19">
        <v>2</v>
      </c>
      <c r="H51" s="19">
        <v>7</v>
      </c>
      <c r="I51" s="19">
        <v>5</v>
      </c>
      <c r="J51" s="13">
        <v>5</v>
      </c>
      <c r="K51" s="229">
        <v>13235568</v>
      </c>
      <c r="L51" s="230" t="s">
        <v>23</v>
      </c>
      <c r="M51" s="229"/>
      <c r="N51" s="231">
        <v>1199259.2</v>
      </c>
      <c r="O51" s="232">
        <v>10</v>
      </c>
      <c r="P51" s="233">
        <v>102</v>
      </c>
      <c r="Q51" s="232">
        <v>976</v>
      </c>
      <c r="R51" s="233">
        <v>9621</v>
      </c>
      <c r="S51" s="232">
        <v>96657</v>
      </c>
      <c r="T51" s="233">
        <v>899588</v>
      </c>
      <c r="V51" s="228"/>
      <c r="X51" s="274"/>
    </row>
    <row r="52" spans="1:24" x14ac:dyDescent="0.15">
      <c r="A52" s="172">
        <v>23</v>
      </c>
      <c r="B52" s="173">
        <v>38875</v>
      </c>
      <c r="C52" s="174" t="s">
        <v>362</v>
      </c>
      <c r="D52" s="27">
        <v>6</v>
      </c>
      <c r="E52" s="27">
        <v>6</v>
      </c>
      <c r="F52" s="27">
        <v>3</v>
      </c>
      <c r="G52" s="27">
        <v>7</v>
      </c>
      <c r="H52" s="27">
        <v>0</v>
      </c>
      <c r="I52" s="27">
        <v>0</v>
      </c>
      <c r="J52" s="7">
        <v>6</v>
      </c>
      <c r="K52" s="222">
        <v>4424911.5</v>
      </c>
      <c r="L52" s="223">
        <v>2</v>
      </c>
      <c r="M52" s="224">
        <v>670000</v>
      </c>
      <c r="N52" s="225">
        <v>154400.79999999999</v>
      </c>
      <c r="O52" s="226">
        <v>5</v>
      </c>
      <c r="P52" s="227">
        <v>25</v>
      </c>
      <c r="Q52" s="226">
        <v>217</v>
      </c>
      <c r="R52" s="227">
        <v>2449</v>
      </c>
      <c r="S52" s="226">
        <v>25264</v>
      </c>
      <c r="T52" s="227">
        <v>287915</v>
      </c>
      <c r="V52" s="228"/>
      <c r="X52" s="274"/>
    </row>
    <row r="53" spans="1:24" x14ac:dyDescent="0.15">
      <c r="A53" s="178"/>
      <c r="B53" s="179">
        <v>38878</v>
      </c>
      <c r="C53" s="180" t="s">
        <v>363</v>
      </c>
      <c r="D53" s="19">
        <v>0</v>
      </c>
      <c r="E53" s="19">
        <v>5</v>
      </c>
      <c r="F53" s="19">
        <v>8</v>
      </c>
      <c r="G53" s="19">
        <v>5</v>
      </c>
      <c r="H53" s="19">
        <v>2</v>
      </c>
      <c r="I53" s="19">
        <v>8</v>
      </c>
      <c r="J53" s="13">
        <v>1</v>
      </c>
      <c r="K53" s="229">
        <v>12096372</v>
      </c>
      <c r="L53" s="237" t="s">
        <v>23</v>
      </c>
      <c r="M53" s="229"/>
      <c r="N53" s="231">
        <v>961228.80000000005</v>
      </c>
      <c r="O53" s="232">
        <v>6</v>
      </c>
      <c r="P53" s="233">
        <v>61</v>
      </c>
      <c r="Q53" s="232">
        <v>612</v>
      </c>
      <c r="R53" s="233">
        <v>6274</v>
      </c>
      <c r="S53" s="232">
        <v>63880</v>
      </c>
      <c r="T53" s="233">
        <v>651341</v>
      </c>
      <c r="V53" s="228"/>
      <c r="X53" s="274"/>
    </row>
    <row r="54" spans="1:24" x14ac:dyDescent="0.15">
      <c r="A54" s="172">
        <v>24</v>
      </c>
      <c r="B54" s="173">
        <v>38882</v>
      </c>
      <c r="C54" s="174" t="s">
        <v>362</v>
      </c>
      <c r="D54" s="27">
        <v>3</v>
      </c>
      <c r="E54" s="27">
        <v>1</v>
      </c>
      <c r="F54" s="27">
        <v>4</v>
      </c>
      <c r="G54" s="27">
        <v>5</v>
      </c>
      <c r="H54" s="27">
        <v>6</v>
      </c>
      <c r="I54" s="27">
        <v>8</v>
      </c>
      <c r="J54" s="7">
        <v>3</v>
      </c>
      <c r="K54" s="222">
        <v>4351612.5</v>
      </c>
      <c r="L54" s="223" t="s">
        <v>23</v>
      </c>
      <c r="M54" s="224"/>
      <c r="N54" s="225">
        <v>1251481.3999999999</v>
      </c>
      <c r="O54" s="226">
        <v>3</v>
      </c>
      <c r="P54" s="227">
        <v>24</v>
      </c>
      <c r="Q54" s="226">
        <v>287</v>
      </c>
      <c r="R54" s="227">
        <v>2697</v>
      </c>
      <c r="S54" s="226">
        <v>26374</v>
      </c>
      <c r="T54" s="227">
        <v>280726</v>
      </c>
      <c r="V54" s="228"/>
      <c r="X54" s="274"/>
    </row>
    <row r="55" spans="1:24" x14ac:dyDescent="0.15">
      <c r="A55" s="178"/>
      <c r="B55" s="179">
        <v>38885</v>
      </c>
      <c r="C55" s="180" t="s">
        <v>363</v>
      </c>
      <c r="D55" s="19">
        <v>6</v>
      </c>
      <c r="E55" s="19">
        <v>8</v>
      </c>
      <c r="F55" s="19">
        <v>3</v>
      </c>
      <c r="G55" s="19">
        <v>3</v>
      </c>
      <c r="H55" s="19">
        <v>2</v>
      </c>
      <c r="I55" s="19">
        <v>5</v>
      </c>
      <c r="J55" s="13">
        <v>6</v>
      </c>
      <c r="K55" s="229">
        <v>12000594</v>
      </c>
      <c r="L55" s="230">
        <v>1</v>
      </c>
      <c r="M55" s="229">
        <v>1970000</v>
      </c>
      <c r="N55" s="231">
        <v>81921</v>
      </c>
      <c r="O55" s="232">
        <v>9</v>
      </c>
      <c r="P55" s="233">
        <v>77</v>
      </c>
      <c r="Q55" s="232">
        <v>789</v>
      </c>
      <c r="R55" s="233">
        <v>7863</v>
      </c>
      <c r="S55" s="232">
        <v>78788</v>
      </c>
      <c r="T55" s="233">
        <v>743278</v>
      </c>
      <c r="V55" s="228"/>
      <c r="X55" s="274"/>
    </row>
    <row r="56" spans="1:24" x14ac:dyDescent="0.15">
      <c r="A56" s="172">
        <v>25</v>
      </c>
      <c r="B56" s="173">
        <v>38889</v>
      </c>
      <c r="C56" s="174" t="s">
        <v>362</v>
      </c>
      <c r="D56" s="27">
        <v>1</v>
      </c>
      <c r="E56" s="27">
        <v>4</v>
      </c>
      <c r="F56" s="27">
        <v>4</v>
      </c>
      <c r="G56" s="27">
        <v>0</v>
      </c>
      <c r="H56" s="27">
        <v>3</v>
      </c>
      <c r="I56" s="27">
        <v>7</v>
      </c>
      <c r="J56" s="7">
        <v>5</v>
      </c>
      <c r="K56" s="222">
        <v>4516866</v>
      </c>
      <c r="L56" s="234" t="s">
        <v>23</v>
      </c>
      <c r="M56" s="224"/>
      <c r="N56" s="225">
        <v>383196</v>
      </c>
      <c r="O56" s="226">
        <v>7</v>
      </c>
      <c r="P56" s="227">
        <v>29</v>
      </c>
      <c r="Q56" s="226">
        <v>328</v>
      </c>
      <c r="R56" s="227">
        <v>3209</v>
      </c>
      <c r="S56" s="226">
        <v>31501</v>
      </c>
      <c r="T56" s="227">
        <v>312992</v>
      </c>
      <c r="U56" s="240"/>
      <c r="V56" s="275"/>
      <c r="X56" s="274"/>
    </row>
    <row r="57" spans="1:24" x14ac:dyDescent="0.15">
      <c r="A57" s="178"/>
      <c r="B57" s="179">
        <v>38892</v>
      </c>
      <c r="C57" s="180" t="s">
        <v>363</v>
      </c>
      <c r="D57" s="19">
        <v>0</v>
      </c>
      <c r="E57" s="19">
        <v>0</v>
      </c>
      <c r="F57" s="19">
        <v>1</v>
      </c>
      <c r="G57" s="19">
        <v>2</v>
      </c>
      <c r="H57" s="19">
        <v>4</v>
      </c>
      <c r="I57" s="19">
        <v>7</v>
      </c>
      <c r="J57" s="13">
        <v>3</v>
      </c>
      <c r="K57" s="229">
        <v>12472908</v>
      </c>
      <c r="L57" s="230">
        <v>1</v>
      </c>
      <c r="M57" s="229">
        <v>1170000</v>
      </c>
      <c r="N57" s="231">
        <v>45139</v>
      </c>
      <c r="O57" s="232">
        <v>8</v>
      </c>
      <c r="P57" s="233">
        <v>78</v>
      </c>
      <c r="Q57" s="232">
        <v>813</v>
      </c>
      <c r="R57" s="233">
        <v>7669</v>
      </c>
      <c r="S57" s="232">
        <v>75535</v>
      </c>
      <c r="T57" s="233">
        <v>769066</v>
      </c>
      <c r="V57" s="228"/>
      <c r="X57" s="274"/>
    </row>
    <row r="58" spans="1:24" x14ac:dyDescent="0.15">
      <c r="A58" s="172">
        <v>26</v>
      </c>
      <c r="B58" s="173">
        <v>38896</v>
      </c>
      <c r="C58" s="174" t="s">
        <v>362</v>
      </c>
      <c r="D58" s="27">
        <v>5</v>
      </c>
      <c r="E58" s="27">
        <v>3</v>
      </c>
      <c r="F58" s="27">
        <v>6</v>
      </c>
      <c r="G58" s="27">
        <v>7</v>
      </c>
      <c r="H58" s="27">
        <v>5</v>
      </c>
      <c r="I58" s="27">
        <v>8</v>
      </c>
      <c r="J58" s="7">
        <v>7</v>
      </c>
      <c r="K58" s="222">
        <v>5360677.5</v>
      </c>
      <c r="L58" s="223" t="s">
        <v>23</v>
      </c>
      <c r="M58" s="224"/>
      <c r="N58" s="225">
        <v>402696.2</v>
      </c>
      <c r="O58" s="226">
        <v>4</v>
      </c>
      <c r="P58" s="227">
        <v>29</v>
      </c>
      <c r="Q58" s="226">
        <v>346</v>
      </c>
      <c r="R58" s="227">
        <v>3346</v>
      </c>
      <c r="S58" s="226">
        <v>33013</v>
      </c>
      <c r="T58" s="227">
        <v>351430</v>
      </c>
      <c r="V58" s="228"/>
      <c r="X58" s="274"/>
    </row>
    <row r="59" spans="1:24" x14ac:dyDescent="0.15">
      <c r="A59" s="178"/>
      <c r="B59" s="179">
        <v>38899</v>
      </c>
      <c r="C59" s="180" t="s">
        <v>363</v>
      </c>
      <c r="D59" s="38">
        <v>7</v>
      </c>
      <c r="E59" s="38">
        <v>1</v>
      </c>
      <c r="F59" s="38">
        <v>0</v>
      </c>
      <c r="G59" s="38">
        <v>4</v>
      </c>
      <c r="H59" s="38">
        <v>4</v>
      </c>
      <c r="I59" s="38">
        <v>0</v>
      </c>
      <c r="J59" s="39">
        <v>6</v>
      </c>
      <c r="K59" s="229">
        <v>13849479</v>
      </c>
      <c r="L59" s="230" t="s">
        <v>23</v>
      </c>
      <c r="M59" s="229"/>
      <c r="N59" s="231">
        <v>1326456.3999999999</v>
      </c>
      <c r="O59" s="232">
        <v>14</v>
      </c>
      <c r="P59" s="233">
        <v>82</v>
      </c>
      <c r="Q59" s="232">
        <v>739</v>
      </c>
      <c r="R59" s="233">
        <v>7559</v>
      </c>
      <c r="S59" s="232">
        <v>76332</v>
      </c>
      <c r="T59" s="233">
        <v>877163</v>
      </c>
      <c r="V59" s="228"/>
      <c r="X59" s="274"/>
    </row>
    <row r="60" spans="1:24" x14ac:dyDescent="0.15">
      <c r="A60" s="45"/>
      <c r="B60" s="46"/>
      <c r="C60" s="46"/>
      <c r="D60" s="276"/>
      <c r="E60" s="276"/>
      <c r="F60" s="276"/>
      <c r="G60" s="276"/>
      <c r="H60" s="276"/>
      <c r="I60" s="276" t="s">
        <v>24</v>
      </c>
      <c r="J60" s="276"/>
      <c r="K60" s="277"/>
      <c r="L60" s="278">
        <f>SUM(L8:L59)</f>
        <v>43</v>
      </c>
      <c r="M60" s="229"/>
      <c r="N60" s="278"/>
      <c r="O60" s="278">
        <f t="shared" ref="O60:T60" si="0">SUM(O8:O59)</f>
        <v>311</v>
      </c>
      <c r="P60" s="278">
        <f t="shared" si="0"/>
        <v>2928</v>
      </c>
      <c r="Q60" s="278">
        <f t="shared" si="0"/>
        <v>28918</v>
      </c>
      <c r="R60" s="278">
        <f t="shared" si="0"/>
        <v>289864</v>
      </c>
      <c r="S60" s="278">
        <f t="shared" si="0"/>
        <v>2927990</v>
      </c>
      <c r="T60" s="272">
        <f t="shared" si="0"/>
        <v>29534791</v>
      </c>
      <c r="V60" s="228"/>
      <c r="X60" s="274"/>
    </row>
    <row r="63" spans="1:24" x14ac:dyDescent="0.15">
      <c r="K63" s="254"/>
    </row>
    <row r="64" spans="1:24" ht="12.75" x14ac:dyDescent="0.2">
      <c r="A64" s="1" t="s">
        <v>364</v>
      </c>
      <c r="T64" s="3" t="s">
        <v>416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2006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366</v>
      </c>
      <c r="M68" s="18"/>
      <c r="N68" s="13" t="s">
        <v>367</v>
      </c>
      <c r="O68" s="239">
        <v>70000</v>
      </c>
      <c r="P68" s="239">
        <v>7000</v>
      </c>
      <c r="Q68" s="239">
        <v>700</v>
      </c>
      <c r="R68" s="239">
        <v>70</v>
      </c>
      <c r="S68" s="239">
        <v>7</v>
      </c>
      <c r="T68" s="239">
        <v>2.5</v>
      </c>
    </row>
    <row r="69" spans="1:24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38903</v>
      </c>
      <c r="C70" s="174" t="s">
        <v>362</v>
      </c>
      <c r="D70" s="27">
        <v>3</v>
      </c>
      <c r="E70" s="27">
        <v>7</v>
      </c>
      <c r="F70" s="27">
        <v>7</v>
      </c>
      <c r="G70" s="27">
        <v>8</v>
      </c>
      <c r="H70" s="27">
        <v>6</v>
      </c>
      <c r="I70" s="27">
        <v>5</v>
      </c>
      <c r="J70" s="7">
        <v>1</v>
      </c>
      <c r="K70" s="222">
        <v>6362623.5</v>
      </c>
      <c r="L70" s="223" t="s">
        <v>23</v>
      </c>
      <c r="M70" s="224"/>
      <c r="N70" s="225">
        <v>1750843.4</v>
      </c>
      <c r="O70" s="226">
        <v>3</v>
      </c>
      <c r="P70" s="227">
        <v>45</v>
      </c>
      <c r="Q70" s="226">
        <v>359</v>
      </c>
      <c r="R70" s="227">
        <v>3670</v>
      </c>
      <c r="S70" s="226">
        <v>35939</v>
      </c>
      <c r="T70" s="227">
        <v>348369</v>
      </c>
      <c r="U70" s="240"/>
      <c r="V70" s="275"/>
      <c r="X70" s="274"/>
    </row>
    <row r="71" spans="1:24" x14ac:dyDescent="0.15">
      <c r="A71" s="178"/>
      <c r="B71" s="179">
        <v>38906</v>
      </c>
      <c r="C71" s="180" t="s">
        <v>363</v>
      </c>
      <c r="D71" s="19">
        <v>5</v>
      </c>
      <c r="E71" s="19">
        <v>4</v>
      </c>
      <c r="F71" s="19">
        <v>1</v>
      </c>
      <c r="G71" s="19">
        <v>0</v>
      </c>
      <c r="H71" s="19">
        <v>8</v>
      </c>
      <c r="I71" s="19">
        <v>4</v>
      </c>
      <c r="J71" s="13">
        <v>8</v>
      </c>
      <c r="K71" s="229">
        <v>15448984.5</v>
      </c>
      <c r="L71" s="230">
        <v>2</v>
      </c>
      <c r="M71" s="229">
        <v>1370000</v>
      </c>
      <c r="N71" s="231">
        <v>41290.699999999997</v>
      </c>
      <c r="O71" s="232">
        <v>11</v>
      </c>
      <c r="P71" s="233">
        <v>111</v>
      </c>
      <c r="Q71" s="232">
        <v>1087</v>
      </c>
      <c r="R71" s="233">
        <v>11323</v>
      </c>
      <c r="S71" s="232">
        <v>108063</v>
      </c>
      <c r="T71" s="233">
        <v>1034626</v>
      </c>
      <c r="V71" s="228"/>
      <c r="X71" s="274"/>
    </row>
    <row r="72" spans="1:24" x14ac:dyDescent="0.15">
      <c r="A72" s="172">
        <v>28</v>
      </c>
      <c r="B72" s="173">
        <v>38910</v>
      </c>
      <c r="C72" s="174" t="s">
        <v>362</v>
      </c>
      <c r="D72" s="27">
        <v>4</v>
      </c>
      <c r="E72" s="27">
        <v>6</v>
      </c>
      <c r="F72" s="27">
        <v>8</v>
      </c>
      <c r="G72" s="27">
        <v>8</v>
      </c>
      <c r="H72" s="27">
        <v>8</v>
      </c>
      <c r="I72" s="27">
        <v>9</v>
      </c>
      <c r="J72" s="7">
        <v>0</v>
      </c>
      <c r="K72" s="222">
        <v>8257650</v>
      </c>
      <c r="L72" s="223">
        <v>1</v>
      </c>
      <c r="M72" s="224">
        <v>570000</v>
      </c>
      <c r="N72" s="225">
        <v>22076</v>
      </c>
      <c r="O72" s="226">
        <v>2</v>
      </c>
      <c r="P72" s="227">
        <v>26</v>
      </c>
      <c r="Q72" s="226">
        <v>407</v>
      </c>
      <c r="R72" s="227">
        <v>3846</v>
      </c>
      <c r="S72" s="226">
        <v>39111</v>
      </c>
      <c r="T72" s="227">
        <v>408500</v>
      </c>
      <c r="V72" s="228"/>
      <c r="X72" s="274"/>
    </row>
    <row r="73" spans="1:24" x14ac:dyDescent="0.15">
      <c r="A73" s="178"/>
      <c r="B73" s="179">
        <v>38913</v>
      </c>
      <c r="C73" s="180" t="s">
        <v>363</v>
      </c>
      <c r="D73" s="19">
        <v>3</v>
      </c>
      <c r="E73" s="19">
        <v>7</v>
      </c>
      <c r="F73" s="19">
        <v>7</v>
      </c>
      <c r="G73" s="19">
        <v>2</v>
      </c>
      <c r="H73" s="19">
        <v>6</v>
      </c>
      <c r="I73" s="19">
        <v>2</v>
      </c>
      <c r="J73" s="13">
        <v>6</v>
      </c>
      <c r="K73" s="229">
        <v>12853369.5</v>
      </c>
      <c r="L73" s="230">
        <v>1</v>
      </c>
      <c r="M73" s="229">
        <v>870000</v>
      </c>
      <c r="N73" s="231">
        <v>9395.7000000000007</v>
      </c>
      <c r="O73" s="232">
        <v>7</v>
      </c>
      <c r="P73" s="233">
        <v>85</v>
      </c>
      <c r="Q73" s="232">
        <v>850</v>
      </c>
      <c r="R73" s="233">
        <v>8183</v>
      </c>
      <c r="S73" s="232">
        <v>80912</v>
      </c>
      <c r="T73" s="233">
        <v>806505</v>
      </c>
      <c r="V73" s="228"/>
      <c r="X73" s="274"/>
    </row>
    <row r="74" spans="1:24" x14ac:dyDescent="0.15">
      <c r="A74" s="172">
        <v>29</v>
      </c>
      <c r="B74" s="173">
        <v>38917</v>
      </c>
      <c r="C74" s="174" t="s">
        <v>362</v>
      </c>
      <c r="D74" s="27">
        <v>9</v>
      </c>
      <c r="E74" s="27">
        <v>3</v>
      </c>
      <c r="F74" s="27">
        <v>7</v>
      </c>
      <c r="G74" s="27">
        <v>3</v>
      </c>
      <c r="H74" s="27">
        <v>6</v>
      </c>
      <c r="I74" s="27">
        <v>6</v>
      </c>
      <c r="J74" s="7">
        <v>1</v>
      </c>
      <c r="K74" s="222">
        <v>4776907.5</v>
      </c>
      <c r="L74" s="223">
        <v>1</v>
      </c>
      <c r="M74" s="224">
        <v>270000</v>
      </c>
      <c r="N74" s="225">
        <v>58015.4</v>
      </c>
      <c r="O74" s="226">
        <v>4</v>
      </c>
      <c r="P74" s="227">
        <v>25</v>
      </c>
      <c r="Q74" s="226">
        <v>290</v>
      </c>
      <c r="R74" s="227">
        <v>2511</v>
      </c>
      <c r="S74" s="226">
        <v>26375</v>
      </c>
      <c r="T74" s="227">
        <v>261165</v>
      </c>
      <c r="V74" s="228"/>
      <c r="X74" s="274"/>
    </row>
    <row r="75" spans="1:24" x14ac:dyDescent="0.15">
      <c r="A75" s="178"/>
      <c r="B75" s="179">
        <v>38920</v>
      </c>
      <c r="C75" s="180" t="s">
        <v>363</v>
      </c>
      <c r="D75" s="19">
        <v>0</v>
      </c>
      <c r="E75" s="19">
        <v>8</v>
      </c>
      <c r="F75" s="19">
        <v>1</v>
      </c>
      <c r="G75" s="19">
        <v>5</v>
      </c>
      <c r="H75" s="19">
        <v>4</v>
      </c>
      <c r="I75" s="19">
        <v>2</v>
      </c>
      <c r="J75" s="13">
        <v>7</v>
      </c>
      <c r="K75" s="229">
        <v>12444790.5</v>
      </c>
      <c r="L75" s="230" t="s">
        <v>23</v>
      </c>
      <c r="M75" s="229"/>
      <c r="N75" s="231">
        <v>888082.9</v>
      </c>
      <c r="O75" s="232">
        <v>13</v>
      </c>
      <c r="P75" s="233">
        <v>95</v>
      </c>
      <c r="Q75" s="232">
        <v>850</v>
      </c>
      <c r="R75" s="233">
        <v>8548</v>
      </c>
      <c r="S75" s="232">
        <v>84821</v>
      </c>
      <c r="T75" s="233">
        <v>828722</v>
      </c>
      <c r="V75" s="228"/>
      <c r="X75" s="274"/>
    </row>
    <row r="76" spans="1:24" x14ac:dyDescent="0.15">
      <c r="A76" s="172">
        <v>30</v>
      </c>
      <c r="B76" s="173">
        <v>38924</v>
      </c>
      <c r="C76" s="174" t="s">
        <v>362</v>
      </c>
      <c r="D76" s="27">
        <v>1</v>
      </c>
      <c r="E76" s="27">
        <v>7</v>
      </c>
      <c r="F76" s="27">
        <v>1</v>
      </c>
      <c r="G76" s="27">
        <v>5</v>
      </c>
      <c r="H76" s="27">
        <v>9</v>
      </c>
      <c r="I76" s="27">
        <v>9</v>
      </c>
      <c r="J76" s="7">
        <v>2</v>
      </c>
      <c r="K76" s="222">
        <v>5242749</v>
      </c>
      <c r="L76" s="223" t="s">
        <v>23</v>
      </c>
      <c r="M76" s="224"/>
      <c r="N76" s="225">
        <v>1237774.3</v>
      </c>
      <c r="O76" s="226">
        <v>4</v>
      </c>
      <c r="P76" s="227">
        <v>25</v>
      </c>
      <c r="Q76" s="226">
        <v>263</v>
      </c>
      <c r="R76" s="227">
        <v>2720</v>
      </c>
      <c r="S76" s="226">
        <v>27297</v>
      </c>
      <c r="T76" s="227">
        <v>285589</v>
      </c>
      <c r="V76" s="228"/>
      <c r="X76" s="274"/>
    </row>
    <row r="77" spans="1:24" x14ac:dyDescent="0.15">
      <c r="A77" s="178"/>
      <c r="B77" s="179">
        <v>38927</v>
      </c>
      <c r="C77" s="180" t="s">
        <v>363</v>
      </c>
      <c r="D77" s="19">
        <v>9</v>
      </c>
      <c r="E77" s="19">
        <v>8</v>
      </c>
      <c r="F77" s="19">
        <v>4</v>
      </c>
      <c r="G77" s="19">
        <v>0</v>
      </c>
      <c r="H77" s="19">
        <v>2</v>
      </c>
      <c r="I77" s="19">
        <v>5</v>
      </c>
      <c r="J77" s="13">
        <v>9</v>
      </c>
      <c r="K77" s="229">
        <v>12211581</v>
      </c>
      <c r="L77" s="230">
        <v>1</v>
      </c>
      <c r="M77" s="229">
        <v>1970000</v>
      </c>
      <c r="N77" s="231">
        <v>82286.8</v>
      </c>
      <c r="O77" s="232">
        <v>7</v>
      </c>
      <c r="P77" s="233">
        <v>79</v>
      </c>
      <c r="Q77" s="232">
        <v>674</v>
      </c>
      <c r="R77" s="233">
        <v>7299</v>
      </c>
      <c r="S77" s="232">
        <v>72418</v>
      </c>
      <c r="T77" s="233">
        <v>704910</v>
      </c>
      <c r="V77" s="228"/>
      <c r="X77" s="274"/>
    </row>
    <row r="78" spans="1:24" x14ac:dyDescent="0.15">
      <c r="A78" s="172">
        <v>31</v>
      </c>
      <c r="B78" s="173">
        <v>38931</v>
      </c>
      <c r="C78" s="174" t="s">
        <v>362</v>
      </c>
      <c r="D78" s="27">
        <v>2</v>
      </c>
      <c r="E78" s="27">
        <v>3</v>
      </c>
      <c r="F78" s="27">
        <v>3</v>
      </c>
      <c r="G78" s="27">
        <v>3</v>
      </c>
      <c r="H78" s="27">
        <v>6</v>
      </c>
      <c r="I78" s="27">
        <v>7</v>
      </c>
      <c r="J78" s="7">
        <v>0</v>
      </c>
      <c r="K78" s="222">
        <v>4792350</v>
      </c>
      <c r="L78" s="223">
        <v>1</v>
      </c>
      <c r="M78" s="224">
        <v>370000</v>
      </c>
      <c r="N78" s="225">
        <v>31936.5</v>
      </c>
      <c r="O78" s="226">
        <v>2</v>
      </c>
      <c r="P78" s="227">
        <v>34</v>
      </c>
      <c r="Q78" s="226">
        <v>232</v>
      </c>
      <c r="R78" s="227">
        <v>2191</v>
      </c>
      <c r="S78" s="226">
        <v>22332</v>
      </c>
      <c r="T78" s="227">
        <v>224891</v>
      </c>
      <c r="V78" s="228"/>
      <c r="X78" s="274"/>
    </row>
    <row r="79" spans="1:24" x14ac:dyDescent="0.15">
      <c r="A79" s="178"/>
      <c r="B79" s="179">
        <v>38934</v>
      </c>
      <c r="C79" s="180" t="s">
        <v>363</v>
      </c>
      <c r="D79" s="19">
        <v>9</v>
      </c>
      <c r="E79" s="19">
        <v>7</v>
      </c>
      <c r="F79" s="19">
        <v>8</v>
      </c>
      <c r="G79" s="19">
        <v>5</v>
      </c>
      <c r="H79" s="19">
        <v>1</v>
      </c>
      <c r="I79" s="19">
        <v>2</v>
      </c>
      <c r="J79" s="13">
        <v>8</v>
      </c>
      <c r="K79" s="229">
        <v>12645324</v>
      </c>
      <c r="L79" s="230">
        <v>1</v>
      </c>
      <c r="M79" s="229">
        <v>870000</v>
      </c>
      <c r="N79" s="231">
        <v>5379.6</v>
      </c>
      <c r="O79" s="232">
        <v>7</v>
      </c>
      <c r="P79" s="233">
        <v>93</v>
      </c>
      <c r="Q79" s="232">
        <v>879</v>
      </c>
      <c r="R79" s="233">
        <v>8683</v>
      </c>
      <c r="S79" s="232">
        <v>87159</v>
      </c>
      <c r="T79" s="233">
        <v>870297</v>
      </c>
      <c r="V79" s="228"/>
      <c r="X79" s="274"/>
    </row>
    <row r="80" spans="1:24" x14ac:dyDescent="0.15">
      <c r="A80" s="172">
        <v>32</v>
      </c>
      <c r="B80" s="173">
        <v>38938</v>
      </c>
      <c r="C80" s="174" t="s">
        <v>362</v>
      </c>
      <c r="D80" s="27">
        <v>2</v>
      </c>
      <c r="E80" s="27">
        <v>5</v>
      </c>
      <c r="F80" s="27">
        <v>9</v>
      </c>
      <c r="G80" s="27">
        <v>5</v>
      </c>
      <c r="H80" s="27">
        <v>0</v>
      </c>
      <c r="I80" s="27">
        <v>5</v>
      </c>
      <c r="J80" s="7">
        <v>7</v>
      </c>
      <c r="K80" s="222">
        <v>4536796.5</v>
      </c>
      <c r="L80" s="234" t="s">
        <v>23</v>
      </c>
      <c r="M80" s="224"/>
      <c r="N80" s="225">
        <v>307983.90000000002</v>
      </c>
      <c r="O80" s="236">
        <v>2</v>
      </c>
      <c r="P80" s="227">
        <v>24</v>
      </c>
      <c r="Q80" s="226">
        <v>274</v>
      </c>
      <c r="R80" s="227">
        <v>2895</v>
      </c>
      <c r="S80" s="226">
        <v>30263</v>
      </c>
      <c r="T80" s="227">
        <v>295259</v>
      </c>
      <c r="V80" s="228"/>
      <c r="X80" s="274"/>
    </row>
    <row r="81" spans="1:24" x14ac:dyDescent="0.15">
      <c r="A81" s="178"/>
      <c r="B81" s="179">
        <v>38941</v>
      </c>
      <c r="C81" s="180" t="s">
        <v>363</v>
      </c>
      <c r="D81" s="19">
        <v>7</v>
      </c>
      <c r="E81" s="19">
        <v>8</v>
      </c>
      <c r="F81" s="19">
        <v>2</v>
      </c>
      <c r="G81" s="19">
        <v>0</v>
      </c>
      <c r="H81" s="19">
        <v>1</v>
      </c>
      <c r="I81" s="19">
        <v>2</v>
      </c>
      <c r="J81" s="13">
        <v>4</v>
      </c>
      <c r="K81" s="229">
        <v>12102493.5</v>
      </c>
      <c r="L81" s="230" t="s">
        <v>23</v>
      </c>
      <c r="M81" s="229"/>
      <c r="N81" s="231">
        <v>1115220.2</v>
      </c>
      <c r="O81" s="232">
        <v>7</v>
      </c>
      <c r="P81" s="233">
        <v>80</v>
      </c>
      <c r="Q81" s="232">
        <v>703</v>
      </c>
      <c r="R81" s="233">
        <v>7329</v>
      </c>
      <c r="S81" s="232">
        <v>72896</v>
      </c>
      <c r="T81" s="233">
        <v>692647</v>
      </c>
      <c r="V81" s="228"/>
      <c r="X81" s="274"/>
    </row>
    <row r="82" spans="1:24" x14ac:dyDescent="0.15">
      <c r="A82" s="172">
        <v>33</v>
      </c>
      <c r="B82" s="173">
        <v>38945</v>
      </c>
      <c r="C82" s="174" t="s">
        <v>362</v>
      </c>
      <c r="D82" s="27">
        <v>6</v>
      </c>
      <c r="E82" s="27">
        <v>3</v>
      </c>
      <c r="F82" s="27">
        <v>4</v>
      </c>
      <c r="G82" s="27">
        <v>3</v>
      </c>
      <c r="H82" s="27">
        <v>3</v>
      </c>
      <c r="I82" s="27">
        <v>3</v>
      </c>
      <c r="J82" s="7">
        <v>2</v>
      </c>
      <c r="K82" s="222">
        <v>4602907.5</v>
      </c>
      <c r="L82" s="223" t="s">
        <v>23</v>
      </c>
      <c r="M82" s="279"/>
      <c r="N82" s="225">
        <v>1422234.1</v>
      </c>
      <c r="O82" s="226">
        <v>2</v>
      </c>
      <c r="P82" s="227">
        <v>25</v>
      </c>
      <c r="Q82" s="226">
        <v>239</v>
      </c>
      <c r="R82" s="227">
        <v>2521</v>
      </c>
      <c r="S82" s="226">
        <v>25474</v>
      </c>
      <c r="T82" s="227">
        <v>249769</v>
      </c>
      <c r="V82" s="228"/>
      <c r="X82" s="274"/>
    </row>
    <row r="83" spans="1:24" x14ac:dyDescent="0.15">
      <c r="A83" s="178"/>
      <c r="B83" s="179">
        <v>38948</v>
      </c>
      <c r="C83" s="180" t="s">
        <v>363</v>
      </c>
      <c r="D83" s="19">
        <v>9</v>
      </c>
      <c r="E83" s="19">
        <v>0</v>
      </c>
      <c r="F83" s="19">
        <v>2</v>
      </c>
      <c r="G83" s="19">
        <v>6</v>
      </c>
      <c r="H83" s="19">
        <v>7</v>
      </c>
      <c r="I83" s="19">
        <v>5</v>
      </c>
      <c r="J83" s="13">
        <v>1</v>
      </c>
      <c r="K83" s="229">
        <v>11979747</v>
      </c>
      <c r="L83" s="230">
        <v>2</v>
      </c>
      <c r="M83" s="229">
        <v>1070000</v>
      </c>
      <c r="N83" s="231">
        <v>81283.199999999997</v>
      </c>
      <c r="O83" s="232">
        <v>5</v>
      </c>
      <c r="P83" s="233">
        <v>69</v>
      </c>
      <c r="Q83" s="232">
        <v>682</v>
      </c>
      <c r="R83" s="233">
        <v>6794</v>
      </c>
      <c r="S83" s="232">
        <v>67331</v>
      </c>
      <c r="T83" s="233">
        <v>636190</v>
      </c>
      <c r="V83" s="228"/>
      <c r="X83" s="274"/>
    </row>
    <row r="84" spans="1:24" x14ac:dyDescent="0.15">
      <c r="A84" s="172">
        <v>34</v>
      </c>
      <c r="B84" s="173">
        <v>38952</v>
      </c>
      <c r="C84" s="174" t="s">
        <v>362</v>
      </c>
      <c r="D84" s="27">
        <v>4</v>
      </c>
      <c r="E84" s="27">
        <v>1</v>
      </c>
      <c r="F84" s="27">
        <v>1</v>
      </c>
      <c r="G84" s="27">
        <v>8</v>
      </c>
      <c r="H84" s="27">
        <v>7</v>
      </c>
      <c r="I84" s="27">
        <v>2</v>
      </c>
      <c r="J84" s="7">
        <v>6</v>
      </c>
      <c r="K84" s="222">
        <v>4533684</v>
      </c>
      <c r="L84" s="223">
        <v>1</v>
      </c>
      <c r="M84" s="224">
        <v>370000</v>
      </c>
      <c r="N84" s="225">
        <v>13679.9</v>
      </c>
      <c r="O84" s="226">
        <v>2</v>
      </c>
      <c r="P84" s="227">
        <v>27</v>
      </c>
      <c r="Q84" s="226">
        <v>300</v>
      </c>
      <c r="R84" s="227">
        <v>3075</v>
      </c>
      <c r="S84" s="226">
        <v>29826</v>
      </c>
      <c r="T84" s="227">
        <v>295948</v>
      </c>
      <c r="V84" s="228"/>
      <c r="X84" s="274"/>
    </row>
    <row r="85" spans="1:24" x14ac:dyDescent="0.15">
      <c r="A85" s="178"/>
      <c r="B85" s="179">
        <v>38955</v>
      </c>
      <c r="C85" s="180" t="s">
        <v>363</v>
      </c>
      <c r="D85" s="19">
        <v>3</v>
      </c>
      <c r="E85" s="19">
        <v>8</v>
      </c>
      <c r="F85" s="19">
        <v>9</v>
      </c>
      <c r="G85" s="19">
        <v>0</v>
      </c>
      <c r="H85" s="19">
        <v>1</v>
      </c>
      <c r="I85" s="19">
        <v>2</v>
      </c>
      <c r="J85" s="13">
        <v>0</v>
      </c>
      <c r="K85" s="229">
        <v>12378895.5</v>
      </c>
      <c r="L85" s="230">
        <v>1</v>
      </c>
      <c r="M85" s="229">
        <v>770000</v>
      </c>
      <c r="N85" s="231">
        <v>69352.2</v>
      </c>
      <c r="O85" s="232">
        <v>10</v>
      </c>
      <c r="P85" s="233">
        <v>55</v>
      </c>
      <c r="Q85" s="232">
        <v>503</v>
      </c>
      <c r="R85" s="233">
        <v>5596</v>
      </c>
      <c r="S85" s="232">
        <v>55606</v>
      </c>
      <c r="T85" s="233">
        <v>574305</v>
      </c>
      <c r="V85" s="228"/>
      <c r="X85" s="274"/>
    </row>
    <row r="86" spans="1:24" x14ac:dyDescent="0.15">
      <c r="A86" s="172">
        <v>35</v>
      </c>
      <c r="B86" s="173">
        <v>38959</v>
      </c>
      <c r="C86" s="174" t="s">
        <v>362</v>
      </c>
      <c r="D86" s="27">
        <v>8</v>
      </c>
      <c r="E86" s="27">
        <v>0</v>
      </c>
      <c r="F86" s="27">
        <v>5</v>
      </c>
      <c r="G86" s="27">
        <v>0</v>
      </c>
      <c r="H86" s="27">
        <v>9</v>
      </c>
      <c r="I86" s="27">
        <v>3</v>
      </c>
      <c r="J86" s="7">
        <v>5</v>
      </c>
      <c r="K86" s="222">
        <v>4416250.5</v>
      </c>
      <c r="L86" s="223" t="s">
        <v>23</v>
      </c>
      <c r="M86" s="224"/>
      <c r="N86" s="225">
        <v>363916.1</v>
      </c>
      <c r="O86" s="226">
        <v>1</v>
      </c>
      <c r="P86" s="227">
        <v>33</v>
      </c>
      <c r="Q86" s="226">
        <v>316</v>
      </c>
      <c r="R86" s="227">
        <v>3210</v>
      </c>
      <c r="S86" s="226">
        <v>32555</v>
      </c>
      <c r="T86" s="227">
        <v>299396</v>
      </c>
      <c r="V86" s="228"/>
      <c r="X86" s="274"/>
    </row>
    <row r="87" spans="1:24" x14ac:dyDescent="0.15">
      <c r="A87" s="178"/>
      <c r="B87" s="179">
        <v>38962</v>
      </c>
      <c r="C87" s="180" t="s">
        <v>363</v>
      </c>
      <c r="D87" s="19">
        <v>9</v>
      </c>
      <c r="E87" s="19">
        <v>3</v>
      </c>
      <c r="F87" s="19">
        <v>4</v>
      </c>
      <c r="G87" s="19">
        <v>4</v>
      </c>
      <c r="H87" s="19">
        <v>9</v>
      </c>
      <c r="I87" s="19">
        <v>6</v>
      </c>
      <c r="J87" s="13">
        <v>8</v>
      </c>
      <c r="K87" s="229">
        <v>12287239.5</v>
      </c>
      <c r="L87" s="230" t="s">
        <v>23</v>
      </c>
      <c r="M87" s="229"/>
      <c r="N87" s="231">
        <v>1183475</v>
      </c>
      <c r="O87" s="232">
        <v>9</v>
      </c>
      <c r="P87" s="233">
        <v>92</v>
      </c>
      <c r="Q87" s="232">
        <v>922</v>
      </c>
      <c r="R87" s="233">
        <v>8973</v>
      </c>
      <c r="S87" s="232">
        <v>87216</v>
      </c>
      <c r="T87" s="233">
        <v>851508</v>
      </c>
      <c r="V87" s="228"/>
      <c r="X87" s="274"/>
    </row>
    <row r="88" spans="1:24" x14ac:dyDescent="0.15">
      <c r="A88" s="172">
        <v>36</v>
      </c>
      <c r="B88" s="173">
        <v>38966</v>
      </c>
      <c r="C88" s="174" t="s">
        <v>362</v>
      </c>
      <c r="D88" s="27">
        <v>8</v>
      </c>
      <c r="E88" s="27">
        <v>0</v>
      </c>
      <c r="F88" s="27">
        <v>2</v>
      </c>
      <c r="G88" s="27">
        <v>8</v>
      </c>
      <c r="H88" s="27">
        <v>3</v>
      </c>
      <c r="I88" s="27">
        <v>9</v>
      </c>
      <c r="J88" s="7">
        <v>5</v>
      </c>
      <c r="K88" s="222">
        <v>4752969</v>
      </c>
      <c r="L88" s="223" t="s">
        <v>23</v>
      </c>
      <c r="M88" s="224"/>
      <c r="N88" s="225">
        <v>1500498</v>
      </c>
      <c r="O88" s="226">
        <v>1</v>
      </c>
      <c r="P88" s="227">
        <v>26</v>
      </c>
      <c r="Q88" s="226">
        <v>292</v>
      </c>
      <c r="R88" s="227">
        <v>3070</v>
      </c>
      <c r="S88" s="226">
        <v>30037</v>
      </c>
      <c r="T88" s="227">
        <v>326501</v>
      </c>
      <c r="V88" s="228"/>
      <c r="X88" s="274"/>
    </row>
    <row r="89" spans="1:24" x14ac:dyDescent="0.15">
      <c r="A89" s="178"/>
      <c r="B89" s="179">
        <v>38969</v>
      </c>
      <c r="C89" s="180" t="s">
        <v>363</v>
      </c>
      <c r="D89" s="19">
        <v>8</v>
      </c>
      <c r="E89" s="19">
        <v>6</v>
      </c>
      <c r="F89" s="19">
        <v>5</v>
      </c>
      <c r="G89" s="19">
        <v>4</v>
      </c>
      <c r="H89" s="19">
        <v>3</v>
      </c>
      <c r="I89" s="19">
        <v>4</v>
      </c>
      <c r="J89" s="13">
        <v>7</v>
      </c>
      <c r="K89" s="229">
        <v>12797265</v>
      </c>
      <c r="L89" s="230" t="s">
        <v>23</v>
      </c>
      <c r="M89" s="229"/>
      <c r="N89" s="231">
        <v>2354075.6</v>
      </c>
      <c r="O89" s="232">
        <v>13</v>
      </c>
      <c r="P89" s="233">
        <v>104</v>
      </c>
      <c r="Q89" s="232">
        <v>873</v>
      </c>
      <c r="R89" s="233">
        <v>9107</v>
      </c>
      <c r="S89" s="232">
        <v>91075</v>
      </c>
      <c r="T89" s="233">
        <v>854766</v>
      </c>
      <c r="V89" s="228"/>
      <c r="X89" s="274"/>
    </row>
    <row r="90" spans="1:24" x14ac:dyDescent="0.15">
      <c r="A90" s="172">
        <v>37</v>
      </c>
      <c r="B90" s="173">
        <v>38973</v>
      </c>
      <c r="C90" s="174" t="s">
        <v>362</v>
      </c>
      <c r="D90" s="27">
        <v>9</v>
      </c>
      <c r="E90" s="27">
        <v>2</v>
      </c>
      <c r="F90" s="27">
        <v>5</v>
      </c>
      <c r="G90" s="27">
        <v>0</v>
      </c>
      <c r="H90" s="27">
        <v>0</v>
      </c>
      <c r="I90" s="27">
        <v>6</v>
      </c>
      <c r="J90" s="7">
        <v>9</v>
      </c>
      <c r="K90" s="222">
        <v>5614860</v>
      </c>
      <c r="L90" s="223" t="s">
        <v>23</v>
      </c>
      <c r="M90" s="224"/>
      <c r="N90" s="225">
        <v>2728586.8</v>
      </c>
      <c r="O90" s="226">
        <v>5</v>
      </c>
      <c r="P90" s="227">
        <v>28</v>
      </c>
      <c r="Q90" s="226">
        <v>315</v>
      </c>
      <c r="R90" s="227">
        <v>3208</v>
      </c>
      <c r="S90" s="226">
        <v>32831</v>
      </c>
      <c r="T90" s="227">
        <v>314124</v>
      </c>
      <c r="V90" s="228"/>
      <c r="X90" s="274"/>
    </row>
    <row r="91" spans="1:24" x14ac:dyDescent="0.15">
      <c r="A91" s="178"/>
      <c r="B91" s="179">
        <v>38976</v>
      </c>
      <c r="C91" s="180" t="s">
        <v>363</v>
      </c>
      <c r="D91" s="19">
        <v>3</v>
      </c>
      <c r="E91" s="19">
        <v>4</v>
      </c>
      <c r="F91" s="19">
        <v>7</v>
      </c>
      <c r="G91" s="19">
        <v>1</v>
      </c>
      <c r="H91" s="19">
        <v>3</v>
      </c>
      <c r="I91" s="19">
        <v>1</v>
      </c>
      <c r="J91" s="13">
        <v>7</v>
      </c>
      <c r="K91" s="229">
        <v>14229453</v>
      </c>
      <c r="L91" s="230">
        <v>1</v>
      </c>
      <c r="M91" s="229">
        <v>3670000</v>
      </c>
      <c r="N91" s="231">
        <v>7691.3</v>
      </c>
      <c r="O91" s="232">
        <v>10</v>
      </c>
      <c r="P91" s="233">
        <v>74</v>
      </c>
      <c r="Q91" s="232">
        <v>982</v>
      </c>
      <c r="R91" s="233">
        <v>9570</v>
      </c>
      <c r="S91" s="232">
        <v>94039</v>
      </c>
      <c r="T91" s="233">
        <v>958031</v>
      </c>
      <c r="V91" s="228"/>
      <c r="X91" s="274"/>
    </row>
    <row r="92" spans="1:24" x14ac:dyDescent="0.15">
      <c r="A92" s="172">
        <v>38</v>
      </c>
      <c r="B92" s="173">
        <v>38980</v>
      </c>
      <c r="C92" s="174" t="s">
        <v>362</v>
      </c>
      <c r="D92" s="27">
        <v>4</v>
      </c>
      <c r="E92" s="27">
        <v>3</v>
      </c>
      <c r="F92" s="27">
        <v>4</v>
      </c>
      <c r="G92" s="27">
        <v>6</v>
      </c>
      <c r="H92" s="27">
        <v>1</v>
      </c>
      <c r="I92" s="27">
        <v>8</v>
      </c>
      <c r="J92" s="7">
        <v>4</v>
      </c>
      <c r="K92" s="222">
        <v>6766051.5</v>
      </c>
      <c r="L92" s="223" t="s">
        <v>23</v>
      </c>
      <c r="M92" s="224"/>
      <c r="N92" s="225">
        <v>458986.9</v>
      </c>
      <c r="O92" s="226">
        <v>1</v>
      </c>
      <c r="P92" s="227">
        <v>45</v>
      </c>
      <c r="Q92" s="226">
        <v>383</v>
      </c>
      <c r="R92" s="227">
        <v>3894</v>
      </c>
      <c r="S92" s="226">
        <v>38952</v>
      </c>
      <c r="T92" s="227">
        <v>395951</v>
      </c>
      <c r="V92" s="228"/>
      <c r="X92" s="274"/>
    </row>
    <row r="93" spans="1:24" x14ac:dyDescent="0.15">
      <c r="A93" s="178"/>
      <c r="B93" s="179">
        <v>38983</v>
      </c>
      <c r="C93" s="180" t="s">
        <v>363</v>
      </c>
      <c r="D93" s="19">
        <v>3</v>
      </c>
      <c r="E93" s="19">
        <v>5</v>
      </c>
      <c r="F93" s="19">
        <v>0</v>
      </c>
      <c r="G93" s="19">
        <v>8</v>
      </c>
      <c r="H93" s="19">
        <v>3</v>
      </c>
      <c r="I93" s="19">
        <v>2</v>
      </c>
      <c r="J93" s="13">
        <v>5</v>
      </c>
      <c r="K93" s="229">
        <v>15423316.5</v>
      </c>
      <c r="L93" s="230">
        <v>2</v>
      </c>
      <c r="M93" s="229">
        <v>670000</v>
      </c>
      <c r="N93" s="231">
        <v>147722.1</v>
      </c>
      <c r="O93" s="232">
        <v>9</v>
      </c>
      <c r="P93" s="233">
        <v>89</v>
      </c>
      <c r="Q93" s="232">
        <v>1135</v>
      </c>
      <c r="R93" s="233">
        <v>10663</v>
      </c>
      <c r="S93" s="232">
        <v>104565</v>
      </c>
      <c r="T93" s="233">
        <v>1024635</v>
      </c>
      <c r="V93" s="228"/>
      <c r="X93" s="274"/>
    </row>
    <row r="94" spans="1:24" x14ac:dyDescent="0.15">
      <c r="A94" s="172">
        <v>39</v>
      </c>
      <c r="B94" s="173">
        <v>38987</v>
      </c>
      <c r="C94" s="174" t="s">
        <v>362</v>
      </c>
      <c r="D94" s="27">
        <v>4</v>
      </c>
      <c r="E94" s="27">
        <v>5</v>
      </c>
      <c r="F94" s="27">
        <v>5</v>
      </c>
      <c r="G94" s="27">
        <v>7</v>
      </c>
      <c r="H94" s="27">
        <v>5</v>
      </c>
      <c r="I94" s="27">
        <v>1</v>
      </c>
      <c r="J94" s="7">
        <v>8</v>
      </c>
      <c r="K94" s="222">
        <v>8550879</v>
      </c>
      <c r="L94" s="234" t="s">
        <v>23</v>
      </c>
      <c r="M94" s="224"/>
      <c r="N94" s="225">
        <v>718065.7</v>
      </c>
      <c r="O94" s="226">
        <v>1</v>
      </c>
      <c r="P94" s="227">
        <v>44</v>
      </c>
      <c r="Q94" s="226">
        <v>566</v>
      </c>
      <c r="R94" s="227">
        <v>5578</v>
      </c>
      <c r="S94" s="226">
        <v>55082</v>
      </c>
      <c r="T94" s="227">
        <v>562529</v>
      </c>
      <c r="V94" s="228"/>
      <c r="X94" s="274"/>
    </row>
    <row r="95" spans="1:24" x14ac:dyDescent="0.15">
      <c r="A95" s="178"/>
      <c r="B95" s="179">
        <v>38990</v>
      </c>
      <c r="C95" s="180" t="s">
        <v>363</v>
      </c>
      <c r="D95" s="19">
        <v>8</v>
      </c>
      <c r="E95" s="19">
        <v>2</v>
      </c>
      <c r="F95" s="19">
        <v>2</v>
      </c>
      <c r="G95" s="19">
        <v>2</v>
      </c>
      <c r="H95" s="19">
        <v>2</v>
      </c>
      <c r="I95" s="19">
        <v>7</v>
      </c>
      <c r="J95" s="13">
        <v>3</v>
      </c>
      <c r="K95" s="229">
        <v>18802954.5</v>
      </c>
      <c r="L95" s="230" t="s">
        <v>23</v>
      </c>
      <c r="M95" s="229"/>
      <c r="N95" s="231">
        <v>1972222.8</v>
      </c>
      <c r="O95" s="232">
        <v>9</v>
      </c>
      <c r="P95" s="233">
        <v>125</v>
      </c>
      <c r="Q95" s="232">
        <v>1141</v>
      </c>
      <c r="R95" s="233">
        <v>11774</v>
      </c>
      <c r="S95" s="232">
        <v>114558</v>
      </c>
      <c r="T95" s="233">
        <v>1146324</v>
      </c>
      <c r="V95" s="228"/>
      <c r="X95" s="274"/>
    </row>
    <row r="96" spans="1:24" x14ac:dyDescent="0.15">
      <c r="A96" s="172">
        <v>40</v>
      </c>
      <c r="B96" s="173">
        <v>38994</v>
      </c>
      <c r="C96" s="174" t="s">
        <v>362</v>
      </c>
      <c r="D96" s="27">
        <v>6</v>
      </c>
      <c r="E96" s="27">
        <v>7</v>
      </c>
      <c r="F96" s="27">
        <v>4</v>
      </c>
      <c r="G96" s="27">
        <v>7</v>
      </c>
      <c r="H96" s="27">
        <v>6</v>
      </c>
      <c r="I96" s="27">
        <v>8</v>
      </c>
      <c r="J96" s="7">
        <v>6</v>
      </c>
      <c r="K96" s="222">
        <v>14213419.5</v>
      </c>
      <c r="L96" s="234" t="s">
        <v>23</v>
      </c>
      <c r="M96" s="224"/>
      <c r="N96" s="225">
        <v>2920257.9</v>
      </c>
      <c r="O96" s="226">
        <v>13</v>
      </c>
      <c r="P96" s="227">
        <v>103</v>
      </c>
      <c r="Q96" s="226">
        <v>878</v>
      </c>
      <c r="R96" s="227">
        <v>9020</v>
      </c>
      <c r="S96" s="226">
        <v>89112</v>
      </c>
      <c r="T96" s="227">
        <v>893232</v>
      </c>
      <c r="V96" s="228"/>
      <c r="X96" s="274"/>
    </row>
    <row r="97" spans="1:24" x14ac:dyDescent="0.15">
      <c r="A97" s="178"/>
      <c r="B97" s="179">
        <v>38997</v>
      </c>
      <c r="C97" s="180" t="s">
        <v>363</v>
      </c>
      <c r="D97" s="19">
        <v>8</v>
      </c>
      <c r="E97" s="19">
        <v>9</v>
      </c>
      <c r="F97" s="19">
        <v>3</v>
      </c>
      <c r="G97" s="19">
        <v>2</v>
      </c>
      <c r="H97" s="19">
        <v>2</v>
      </c>
      <c r="I97" s="19">
        <v>3</v>
      </c>
      <c r="J97" s="13">
        <v>6</v>
      </c>
      <c r="K97" s="229">
        <v>28879627.5</v>
      </c>
      <c r="L97" s="230">
        <v>2</v>
      </c>
      <c r="M97" s="229">
        <v>2370000</v>
      </c>
      <c r="N97" s="231">
        <v>106529.1</v>
      </c>
      <c r="O97" s="232">
        <v>27</v>
      </c>
      <c r="P97" s="233">
        <v>187</v>
      </c>
      <c r="Q97" s="232">
        <v>1868</v>
      </c>
      <c r="R97" s="233">
        <v>18640</v>
      </c>
      <c r="S97" s="232">
        <v>182239</v>
      </c>
      <c r="T97" s="233">
        <v>1778126</v>
      </c>
      <c r="V97" s="228"/>
      <c r="X97" s="274"/>
    </row>
    <row r="98" spans="1:24" x14ac:dyDescent="0.15">
      <c r="A98" s="172">
        <v>41</v>
      </c>
      <c r="B98" s="173">
        <v>39001</v>
      </c>
      <c r="C98" s="174" t="s">
        <v>362</v>
      </c>
      <c r="D98" s="27">
        <v>0</v>
      </c>
      <c r="E98" s="27">
        <v>0</v>
      </c>
      <c r="F98" s="27">
        <v>6</v>
      </c>
      <c r="G98" s="27">
        <v>1</v>
      </c>
      <c r="H98" s="27">
        <v>4</v>
      </c>
      <c r="I98" s="27">
        <v>8</v>
      </c>
      <c r="J98" s="7">
        <v>8</v>
      </c>
      <c r="K98" s="222">
        <v>6558922.5</v>
      </c>
      <c r="L98" s="223">
        <v>3</v>
      </c>
      <c r="M98" s="224">
        <v>170000</v>
      </c>
      <c r="N98" s="225">
        <v>34009.199999999997</v>
      </c>
      <c r="O98" s="226">
        <v>4</v>
      </c>
      <c r="P98" s="227">
        <v>55</v>
      </c>
      <c r="Q98" s="226">
        <v>441</v>
      </c>
      <c r="R98" s="227">
        <v>4579</v>
      </c>
      <c r="S98" s="226">
        <v>45426</v>
      </c>
      <c r="T98" s="227">
        <v>432217</v>
      </c>
      <c r="V98" s="228"/>
      <c r="X98" s="274"/>
    </row>
    <row r="99" spans="1:24" x14ac:dyDescent="0.15">
      <c r="A99" s="178"/>
      <c r="B99" s="179">
        <v>39004</v>
      </c>
      <c r="C99" s="180" t="s">
        <v>363</v>
      </c>
      <c r="D99" s="19">
        <v>8</v>
      </c>
      <c r="E99" s="19">
        <v>0</v>
      </c>
      <c r="F99" s="19">
        <v>8</v>
      </c>
      <c r="G99" s="19">
        <v>3</v>
      </c>
      <c r="H99" s="19">
        <v>1</v>
      </c>
      <c r="I99" s="19">
        <v>3</v>
      </c>
      <c r="J99" s="13">
        <v>1</v>
      </c>
      <c r="K99" s="229">
        <v>13612201.5</v>
      </c>
      <c r="L99" s="230" t="s">
        <v>23</v>
      </c>
      <c r="M99" s="229"/>
      <c r="N99" s="231">
        <v>941943</v>
      </c>
      <c r="O99" s="232">
        <v>10</v>
      </c>
      <c r="P99" s="233">
        <v>84</v>
      </c>
      <c r="Q99" s="232">
        <v>798</v>
      </c>
      <c r="R99" s="233">
        <v>7513</v>
      </c>
      <c r="S99" s="232">
        <v>75534</v>
      </c>
      <c r="T99" s="233">
        <v>733485</v>
      </c>
      <c r="V99" s="228"/>
      <c r="X99" s="274"/>
    </row>
    <row r="100" spans="1:24" x14ac:dyDescent="0.15">
      <c r="A100" s="172">
        <v>42</v>
      </c>
      <c r="B100" s="173">
        <v>39008</v>
      </c>
      <c r="C100" s="174" t="s">
        <v>362</v>
      </c>
      <c r="D100" s="27">
        <v>8</v>
      </c>
      <c r="E100" s="27">
        <v>7</v>
      </c>
      <c r="F100" s="27">
        <v>7</v>
      </c>
      <c r="G100" s="27">
        <v>9</v>
      </c>
      <c r="H100" s="27">
        <v>8</v>
      </c>
      <c r="I100" s="27">
        <v>7</v>
      </c>
      <c r="J100" s="7">
        <v>8</v>
      </c>
      <c r="K100" s="222">
        <v>5128591.5</v>
      </c>
      <c r="L100" s="234" t="s">
        <v>23</v>
      </c>
      <c r="M100" s="224"/>
      <c r="N100" s="225">
        <v>1284020.1000000001</v>
      </c>
      <c r="O100" s="226">
        <v>4</v>
      </c>
      <c r="P100" s="227">
        <v>35</v>
      </c>
      <c r="Q100" s="226">
        <v>367</v>
      </c>
      <c r="R100" s="227">
        <v>3529</v>
      </c>
      <c r="S100" s="226">
        <v>35354</v>
      </c>
      <c r="T100" s="227">
        <v>347256</v>
      </c>
      <c r="V100" s="228"/>
      <c r="X100" s="274"/>
    </row>
    <row r="101" spans="1:24" x14ac:dyDescent="0.15">
      <c r="A101" s="178"/>
      <c r="B101" s="179">
        <v>39011</v>
      </c>
      <c r="C101" s="180" t="s">
        <v>363</v>
      </c>
      <c r="D101" s="19">
        <v>6</v>
      </c>
      <c r="E101" s="19">
        <v>9</v>
      </c>
      <c r="F101" s="19">
        <v>6</v>
      </c>
      <c r="G101" s="19">
        <v>2</v>
      </c>
      <c r="H101" s="19">
        <v>0</v>
      </c>
      <c r="I101" s="19">
        <v>1</v>
      </c>
      <c r="J101" s="13">
        <v>3</v>
      </c>
      <c r="K101" s="229">
        <v>13033903.5</v>
      </c>
      <c r="L101" s="237" t="s">
        <v>23</v>
      </c>
      <c r="M101" s="229"/>
      <c r="N101" s="231">
        <v>2153381.5</v>
      </c>
      <c r="O101" s="232">
        <v>8</v>
      </c>
      <c r="P101" s="233">
        <v>87</v>
      </c>
      <c r="Q101" s="232">
        <v>904</v>
      </c>
      <c r="R101" s="233">
        <v>8951</v>
      </c>
      <c r="S101" s="232">
        <v>92994</v>
      </c>
      <c r="T101" s="233">
        <v>773929</v>
      </c>
      <c r="U101" s="228"/>
      <c r="V101" s="228"/>
      <c r="X101" s="274"/>
    </row>
    <row r="102" spans="1:24" x14ac:dyDescent="0.15">
      <c r="A102" s="172">
        <v>43</v>
      </c>
      <c r="B102" s="173">
        <v>39015</v>
      </c>
      <c r="C102" s="174" t="s">
        <v>362</v>
      </c>
      <c r="D102" s="27">
        <v>3</v>
      </c>
      <c r="E102" s="27">
        <v>1</v>
      </c>
      <c r="F102" s="27">
        <v>4</v>
      </c>
      <c r="G102" s="27">
        <v>3</v>
      </c>
      <c r="H102" s="27">
        <v>1</v>
      </c>
      <c r="I102" s="27">
        <v>5</v>
      </c>
      <c r="J102" s="7">
        <v>5</v>
      </c>
      <c r="K102" s="222">
        <v>4824618</v>
      </c>
      <c r="L102" s="223" t="s">
        <v>23</v>
      </c>
      <c r="M102" s="224"/>
      <c r="N102" s="225">
        <v>2475183.5</v>
      </c>
      <c r="O102" s="226">
        <v>1</v>
      </c>
      <c r="P102" s="227">
        <v>42</v>
      </c>
      <c r="Q102" s="226">
        <v>376</v>
      </c>
      <c r="R102" s="227">
        <v>3479</v>
      </c>
      <c r="S102" s="226">
        <v>37027</v>
      </c>
      <c r="T102" s="227">
        <v>327079</v>
      </c>
      <c r="V102" s="228"/>
      <c r="X102" s="274"/>
    </row>
    <row r="103" spans="1:24" x14ac:dyDescent="0.15">
      <c r="A103" s="178"/>
      <c r="B103" s="179">
        <v>39018</v>
      </c>
      <c r="C103" s="180" t="s">
        <v>363</v>
      </c>
      <c r="D103" s="19">
        <v>0</v>
      </c>
      <c r="E103" s="19">
        <v>3</v>
      </c>
      <c r="F103" s="19">
        <v>1</v>
      </c>
      <c r="G103" s="19">
        <v>4</v>
      </c>
      <c r="H103" s="19">
        <v>0</v>
      </c>
      <c r="I103" s="19">
        <v>8</v>
      </c>
      <c r="J103" s="13">
        <v>3</v>
      </c>
      <c r="K103" s="229">
        <v>12684687</v>
      </c>
      <c r="L103" s="237">
        <v>2</v>
      </c>
      <c r="M103" s="229">
        <v>1570000</v>
      </c>
      <c r="N103" s="231">
        <v>181252.1</v>
      </c>
      <c r="O103" s="232">
        <v>12</v>
      </c>
      <c r="P103" s="233">
        <v>59</v>
      </c>
      <c r="Q103" s="232">
        <v>700</v>
      </c>
      <c r="R103" s="233">
        <v>6978</v>
      </c>
      <c r="S103" s="232">
        <v>74679</v>
      </c>
      <c r="T103" s="233">
        <v>773274</v>
      </c>
      <c r="V103" s="228"/>
      <c r="X103" s="274"/>
    </row>
    <row r="104" spans="1:24" x14ac:dyDescent="0.15">
      <c r="A104" s="172">
        <v>44</v>
      </c>
      <c r="B104" s="173">
        <v>39022</v>
      </c>
      <c r="C104" s="174" t="s">
        <v>362</v>
      </c>
      <c r="D104" s="27">
        <v>0</v>
      </c>
      <c r="E104" s="27">
        <v>6</v>
      </c>
      <c r="F104" s="27">
        <v>5</v>
      </c>
      <c r="G104" s="27">
        <v>5</v>
      </c>
      <c r="H104" s="27">
        <v>3</v>
      </c>
      <c r="I104" s="27">
        <v>7</v>
      </c>
      <c r="J104" s="7">
        <v>1</v>
      </c>
      <c r="K104" s="222">
        <v>5008612.5</v>
      </c>
      <c r="L104" s="234" t="s">
        <v>23</v>
      </c>
      <c r="M104" s="224"/>
      <c r="N104" s="225">
        <v>515326.6</v>
      </c>
      <c r="O104" s="226">
        <v>2</v>
      </c>
      <c r="P104" s="227">
        <v>33</v>
      </c>
      <c r="Q104" s="226">
        <v>271</v>
      </c>
      <c r="R104" s="227">
        <v>2588</v>
      </c>
      <c r="S104" s="226">
        <v>27332</v>
      </c>
      <c r="T104" s="227">
        <v>274141</v>
      </c>
      <c r="V104" s="228"/>
      <c r="X104" s="274"/>
    </row>
    <row r="105" spans="1:24" x14ac:dyDescent="0.15">
      <c r="A105" s="178"/>
      <c r="B105" s="179">
        <v>39025</v>
      </c>
      <c r="C105" s="180" t="s">
        <v>363</v>
      </c>
      <c r="D105" s="19">
        <v>4</v>
      </c>
      <c r="E105" s="19">
        <v>1</v>
      </c>
      <c r="F105" s="19">
        <v>2</v>
      </c>
      <c r="G105" s="19">
        <v>8</v>
      </c>
      <c r="H105" s="19">
        <v>1</v>
      </c>
      <c r="I105" s="19">
        <v>3</v>
      </c>
      <c r="J105" s="13">
        <v>3</v>
      </c>
      <c r="K105" s="229">
        <v>13451799</v>
      </c>
      <c r="L105" s="237" t="s">
        <v>23</v>
      </c>
      <c r="M105" s="229"/>
      <c r="N105" s="231">
        <v>1412561.6</v>
      </c>
      <c r="O105" s="232">
        <v>9</v>
      </c>
      <c r="P105" s="233">
        <v>88</v>
      </c>
      <c r="Q105" s="232">
        <v>830</v>
      </c>
      <c r="R105" s="233">
        <v>8139</v>
      </c>
      <c r="S105" s="232">
        <v>81495</v>
      </c>
      <c r="T105" s="233">
        <v>826285</v>
      </c>
      <c r="V105" s="228"/>
      <c r="X105" s="274"/>
    </row>
    <row r="106" spans="1:24" x14ac:dyDescent="0.15">
      <c r="A106" s="172">
        <v>45</v>
      </c>
      <c r="B106" s="173">
        <v>39029</v>
      </c>
      <c r="C106" s="174" t="s">
        <v>362</v>
      </c>
      <c r="D106" s="27">
        <v>1</v>
      </c>
      <c r="E106" s="27">
        <v>3</v>
      </c>
      <c r="F106" s="27">
        <v>3</v>
      </c>
      <c r="G106" s="27">
        <v>8</v>
      </c>
      <c r="H106" s="27">
        <v>7</v>
      </c>
      <c r="I106" s="27">
        <v>3</v>
      </c>
      <c r="J106" s="7">
        <v>4</v>
      </c>
      <c r="K106" s="222">
        <v>4772818.5</v>
      </c>
      <c r="L106" s="223" t="s">
        <v>23</v>
      </c>
      <c r="M106" s="224"/>
      <c r="N106" s="225">
        <v>1730908.6</v>
      </c>
      <c r="O106" s="226">
        <v>4</v>
      </c>
      <c r="P106" s="227">
        <v>29</v>
      </c>
      <c r="Q106" s="226">
        <v>285</v>
      </c>
      <c r="R106" s="227">
        <v>2861</v>
      </c>
      <c r="S106" s="226">
        <v>27560</v>
      </c>
      <c r="T106" s="227">
        <v>272646</v>
      </c>
      <c r="V106" s="228"/>
      <c r="X106" s="274"/>
    </row>
    <row r="107" spans="1:24" x14ac:dyDescent="0.15">
      <c r="A107" s="178"/>
      <c r="B107" s="179">
        <v>39032</v>
      </c>
      <c r="C107" s="180" t="s">
        <v>363</v>
      </c>
      <c r="D107" s="19">
        <v>3</v>
      </c>
      <c r="E107" s="19">
        <v>2</v>
      </c>
      <c r="F107" s="19">
        <v>1</v>
      </c>
      <c r="G107" s="19">
        <v>5</v>
      </c>
      <c r="H107" s="19">
        <v>0</v>
      </c>
      <c r="I107" s="19">
        <v>3</v>
      </c>
      <c r="J107" s="13">
        <v>6</v>
      </c>
      <c r="K107" s="229">
        <v>12823971</v>
      </c>
      <c r="L107" s="237" t="s">
        <v>23</v>
      </c>
      <c r="M107" s="229"/>
      <c r="N107" s="231">
        <v>2586267.5</v>
      </c>
      <c r="O107" s="232">
        <v>7</v>
      </c>
      <c r="P107" s="233">
        <v>68</v>
      </c>
      <c r="Q107" s="232">
        <v>836</v>
      </c>
      <c r="R107" s="233">
        <v>8153</v>
      </c>
      <c r="S107" s="232">
        <v>86116</v>
      </c>
      <c r="T107" s="233">
        <v>811359</v>
      </c>
      <c r="V107" s="228"/>
      <c r="X107" s="274"/>
    </row>
    <row r="108" spans="1:24" x14ac:dyDescent="0.15">
      <c r="A108" s="172">
        <v>46</v>
      </c>
      <c r="B108" s="173">
        <v>39036</v>
      </c>
      <c r="C108" s="174" t="s">
        <v>362</v>
      </c>
      <c r="D108" s="27">
        <v>9</v>
      </c>
      <c r="E108" s="27">
        <v>1</v>
      </c>
      <c r="F108" s="27">
        <v>9</v>
      </c>
      <c r="G108" s="27">
        <v>0</v>
      </c>
      <c r="H108" s="27">
        <v>9</v>
      </c>
      <c r="I108" s="27">
        <v>0</v>
      </c>
      <c r="J108" s="7">
        <v>7</v>
      </c>
      <c r="K108" s="222">
        <v>4941118.5</v>
      </c>
      <c r="L108" s="234" t="s">
        <v>23</v>
      </c>
      <c r="M108" s="224"/>
      <c r="N108" s="225">
        <v>2915840.1</v>
      </c>
      <c r="O108" s="226">
        <v>6</v>
      </c>
      <c r="P108" s="227">
        <v>33</v>
      </c>
      <c r="Q108" s="226">
        <v>309</v>
      </c>
      <c r="R108" s="227">
        <v>2902</v>
      </c>
      <c r="S108" s="226">
        <v>29305</v>
      </c>
      <c r="T108" s="227">
        <v>332131</v>
      </c>
      <c r="V108" s="228"/>
      <c r="X108" s="274"/>
    </row>
    <row r="109" spans="1:24" x14ac:dyDescent="0.15">
      <c r="A109" s="178"/>
      <c r="B109" s="179">
        <v>39039</v>
      </c>
      <c r="C109" s="180" t="s">
        <v>363</v>
      </c>
      <c r="D109" s="19">
        <v>7</v>
      </c>
      <c r="E109" s="19">
        <v>0</v>
      </c>
      <c r="F109" s="19">
        <v>7</v>
      </c>
      <c r="G109" s="19">
        <v>4</v>
      </c>
      <c r="H109" s="19">
        <v>4</v>
      </c>
      <c r="I109" s="19">
        <v>6</v>
      </c>
      <c r="J109" s="13">
        <v>8</v>
      </c>
      <c r="K109" s="229">
        <v>12397176</v>
      </c>
      <c r="L109" s="230">
        <v>2</v>
      </c>
      <c r="M109" s="229">
        <v>1870000</v>
      </c>
      <c r="N109" s="231">
        <v>2731.4</v>
      </c>
      <c r="O109" s="232">
        <v>10</v>
      </c>
      <c r="P109" s="233">
        <v>92</v>
      </c>
      <c r="Q109" s="232">
        <v>886</v>
      </c>
      <c r="R109" s="233">
        <v>9195</v>
      </c>
      <c r="S109" s="232">
        <v>89284</v>
      </c>
      <c r="T109" s="233">
        <v>861840</v>
      </c>
      <c r="V109" s="228"/>
      <c r="X109" s="274"/>
    </row>
    <row r="110" spans="1:24" x14ac:dyDescent="0.15">
      <c r="A110" s="172">
        <v>47</v>
      </c>
      <c r="B110" s="173">
        <v>39043</v>
      </c>
      <c r="C110" s="174" t="s">
        <v>362</v>
      </c>
      <c r="D110" s="27">
        <v>2</v>
      </c>
      <c r="E110" s="27">
        <v>5</v>
      </c>
      <c r="F110" s="27">
        <v>9</v>
      </c>
      <c r="G110" s="27">
        <v>9</v>
      </c>
      <c r="H110" s="27">
        <v>4</v>
      </c>
      <c r="I110" s="27">
        <v>0</v>
      </c>
      <c r="J110" s="7">
        <v>2</v>
      </c>
      <c r="K110" s="222">
        <v>4682695.5</v>
      </c>
      <c r="L110" s="234" t="s">
        <v>23</v>
      </c>
      <c r="M110" s="224"/>
      <c r="N110" s="225">
        <v>315067.5</v>
      </c>
      <c r="O110" s="226">
        <v>4</v>
      </c>
      <c r="P110" s="227">
        <v>17</v>
      </c>
      <c r="Q110" s="226">
        <v>224</v>
      </c>
      <c r="R110" s="227">
        <v>2178</v>
      </c>
      <c r="S110" s="226">
        <v>22445</v>
      </c>
      <c r="T110" s="227">
        <v>254436</v>
      </c>
      <c r="V110" s="228"/>
      <c r="X110" s="274"/>
    </row>
    <row r="111" spans="1:24" x14ac:dyDescent="0.15">
      <c r="A111" s="178"/>
      <c r="B111" s="179">
        <v>39046</v>
      </c>
      <c r="C111" s="180" t="s">
        <v>363</v>
      </c>
      <c r="D111" s="19">
        <v>4</v>
      </c>
      <c r="E111" s="19">
        <v>7</v>
      </c>
      <c r="F111" s="19">
        <v>8</v>
      </c>
      <c r="G111" s="19">
        <v>6</v>
      </c>
      <c r="H111" s="19">
        <v>6</v>
      </c>
      <c r="I111" s="19">
        <v>3</v>
      </c>
      <c r="J111" s="13">
        <v>3</v>
      </c>
      <c r="K111" s="229">
        <v>12154213.5</v>
      </c>
      <c r="L111" s="230" t="s">
        <v>23</v>
      </c>
      <c r="M111" s="229"/>
      <c r="N111" s="231">
        <v>1125753.5</v>
      </c>
      <c r="O111" s="232">
        <v>3</v>
      </c>
      <c r="P111" s="233">
        <v>70</v>
      </c>
      <c r="Q111" s="232">
        <v>768</v>
      </c>
      <c r="R111" s="233">
        <v>7523</v>
      </c>
      <c r="S111" s="232">
        <v>74745</v>
      </c>
      <c r="T111" s="233">
        <v>748438</v>
      </c>
      <c r="V111" s="228"/>
      <c r="X111" s="274"/>
    </row>
    <row r="112" spans="1:24" x14ac:dyDescent="0.15">
      <c r="A112" s="172">
        <v>48</v>
      </c>
      <c r="B112" s="173">
        <v>39050</v>
      </c>
      <c r="C112" s="174" t="s">
        <v>362</v>
      </c>
      <c r="D112" s="27">
        <v>1</v>
      </c>
      <c r="E112" s="27">
        <v>3</v>
      </c>
      <c r="F112" s="27">
        <v>8</v>
      </c>
      <c r="G112" s="27">
        <v>1</v>
      </c>
      <c r="H112" s="27">
        <v>9</v>
      </c>
      <c r="I112" s="27">
        <v>6</v>
      </c>
      <c r="J112" s="7">
        <v>5</v>
      </c>
      <c r="K112" s="222">
        <v>5020926</v>
      </c>
      <c r="L112" s="223" t="s">
        <v>23</v>
      </c>
      <c r="M112" s="224"/>
      <c r="N112" s="225">
        <v>1460649.3</v>
      </c>
      <c r="O112" s="226">
        <v>6</v>
      </c>
      <c r="P112" s="227">
        <v>46</v>
      </c>
      <c r="Q112" s="226">
        <v>390</v>
      </c>
      <c r="R112" s="227">
        <v>3571</v>
      </c>
      <c r="S112" s="226">
        <v>34531</v>
      </c>
      <c r="T112" s="227">
        <v>339647</v>
      </c>
      <c r="V112" s="228"/>
      <c r="X112" s="274"/>
    </row>
    <row r="113" spans="1:24" x14ac:dyDescent="0.15">
      <c r="A113" s="178"/>
      <c r="B113" s="179">
        <v>39053</v>
      </c>
      <c r="C113" s="180" t="s">
        <v>363</v>
      </c>
      <c r="D113" s="19">
        <v>9</v>
      </c>
      <c r="E113" s="19">
        <v>0</v>
      </c>
      <c r="F113" s="19">
        <v>9</v>
      </c>
      <c r="G113" s="19">
        <v>4</v>
      </c>
      <c r="H113" s="19">
        <v>4</v>
      </c>
      <c r="I113" s="19">
        <v>2</v>
      </c>
      <c r="J113" s="13">
        <v>8</v>
      </c>
      <c r="K113" s="229">
        <v>13875564</v>
      </c>
      <c r="L113" s="230">
        <v>3</v>
      </c>
      <c r="M113" s="229">
        <v>770000</v>
      </c>
      <c r="N113" s="231">
        <v>76149.399999999994</v>
      </c>
      <c r="O113" s="232">
        <v>6</v>
      </c>
      <c r="P113" s="233">
        <v>84</v>
      </c>
      <c r="Q113" s="232">
        <v>987</v>
      </c>
      <c r="R113" s="233">
        <v>10084</v>
      </c>
      <c r="S113" s="232">
        <v>96545</v>
      </c>
      <c r="T113" s="233">
        <v>957417</v>
      </c>
      <c r="V113" s="228"/>
      <c r="X113" s="274"/>
    </row>
    <row r="114" spans="1:24" x14ac:dyDescent="0.15">
      <c r="A114" s="172">
        <v>49</v>
      </c>
      <c r="B114" s="173">
        <v>39057</v>
      </c>
      <c r="C114" s="174" t="s">
        <v>362</v>
      </c>
      <c r="D114" s="27">
        <v>1</v>
      </c>
      <c r="E114" s="27">
        <v>2</v>
      </c>
      <c r="F114" s="27">
        <v>9</v>
      </c>
      <c r="G114" s="27">
        <v>6</v>
      </c>
      <c r="H114" s="27">
        <v>2</v>
      </c>
      <c r="I114" s="27">
        <v>8</v>
      </c>
      <c r="J114" s="7">
        <v>0</v>
      </c>
      <c r="K114" s="222">
        <v>5144197.5</v>
      </c>
      <c r="L114" s="223" t="s">
        <v>23</v>
      </c>
      <c r="M114" s="224"/>
      <c r="N114" s="225">
        <v>419267.4</v>
      </c>
      <c r="O114" s="226">
        <v>1</v>
      </c>
      <c r="P114" s="227">
        <v>16</v>
      </c>
      <c r="Q114" s="226">
        <v>233</v>
      </c>
      <c r="R114" s="227">
        <v>2296</v>
      </c>
      <c r="S114" s="226">
        <v>23623</v>
      </c>
      <c r="T114" s="227">
        <v>239919</v>
      </c>
      <c r="V114" s="228"/>
      <c r="X114" s="274"/>
    </row>
    <row r="115" spans="1:24" x14ac:dyDescent="0.15">
      <c r="A115" s="178"/>
      <c r="B115" s="179">
        <v>39060</v>
      </c>
      <c r="C115" s="180" t="s">
        <v>363</v>
      </c>
      <c r="D115" s="19">
        <v>5</v>
      </c>
      <c r="E115" s="19">
        <v>7</v>
      </c>
      <c r="F115" s="19">
        <v>7</v>
      </c>
      <c r="G115" s="19">
        <v>7</v>
      </c>
      <c r="H115" s="19">
        <v>9</v>
      </c>
      <c r="I115" s="19">
        <v>4</v>
      </c>
      <c r="J115" s="13">
        <v>9</v>
      </c>
      <c r="K115" s="229">
        <v>13352269.5</v>
      </c>
      <c r="L115" s="230">
        <v>1</v>
      </c>
      <c r="M115" s="229">
        <v>1270000</v>
      </c>
      <c r="N115" s="231">
        <v>39863.800000000003</v>
      </c>
      <c r="O115" s="232">
        <v>7</v>
      </c>
      <c r="P115" s="233">
        <v>74</v>
      </c>
      <c r="Q115" s="232">
        <v>884</v>
      </c>
      <c r="R115" s="233">
        <v>8375</v>
      </c>
      <c r="S115" s="232">
        <v>81779</v>
      </c>
      <c r="T115" s="233">
        <v>771891</v>
      </c>
      <c r="V115" s="228"/>
      <c r="X115" s="274"/>
    </row>
    <row r="116" spans="1:24" x14ac:dyDescent="0.15">
      <c r="A116" s="172">
        <v>50</v>
      </c>
      <c r="B116" s="173">
        <v>39064</v>
      </c>
      <c r="C116" s="174" t="s">
        <v>362</v>
      </c>
      <c r="D116" s="27">
        <v>5</v>
      </c>
      <c r="E116" s="27">
        <v>2</v>
      </c>
      <c r="F116" s="27">
        <v>1</v>
      </c>
      <c r="G116" s="27">
        <v>1</v>
      </c>
      <c r="H116" s="27">
        <v>2</v>
      </c>
      <c r="I116" s="27">
        <v>4</v>
      </c>
      <c r="J116" s="7">
        <v>6</v>
      </c>
      <c r="K116" s="222">
        <v>5767354.5</v>
      </c>
      <c r="L116" s="223">
        <v>1</v>
      </c>
      <c r="M116" s="224">
        <v>370000</v>
      </c>
      <c r="N116" s="225">
        <v>54546.3</v>
      </c>
      <c r="O116" s="226">
        <v>4</v>
      </c>
      <c r="P116" s="227">
        <v>42</v>
      </c>
      <c r="Q116" s="226">
        <v>403</v>
      </c>
      <c r="R116" s="227">
        <v>3978</v>
      </c>
      <c r="S116" s="226">
        <v>38763</v>
      </c>
      <c r="T116" s="227">
        <v>371998</v>
      </c>
      <c r="V116" s="228"/>
      <c r="X116" s="274"/>
    </row>
    <row r="117" spans="1:24" x14ac:dyDescent="0.15">
      <c r="A117" s="178"/>
      <c r="B117" s="179">
        <v>39067</v>
      </c>
      <c r="C117" s="180" t="s">
        <v>363</v>
      </c>
      <c r="D117" s="19">
        <v>8</v>
      </c>
      <c r="E117" s="19">
        <v>8</v>
      </c>
      <c r="F117" s="19">
        <v>2</v>
      </c>
      <c r="G117" s="19">
        <v>0</v>
      </c>
      <c r="H117" s="19">
        <v>4</v>
      </c>
      <c r="I117" s="19">
        <v>3</v>
      </c>
      <c r="J117" s="13">
        <v>5</v>
      </c>
      <c r="K117" s="229">
        <v>14289972</v>
      </c>
      <c r="L117" s="230">
        <v>1</v>
      </c>
      <c r="M117" s="229">
        <v>970000</v>
      </c>
      <c r="N117" s="231">
        <v>37687.4</v>
      </c>
      <c r="O117" s="232">
        <v>12</v>
      </c>
      <c r="P117" s="233">
        <v>96</v>
      </c>
      <c r="Q117" s="232">
        <v>999</v>
      </c>
      <c r="R117" s="233">
        <v>9946</v>
      </c>
      <c r="S117" s="232">
        <v>100135</v>
      </c>
      <c r="T117" s="233">
        <v>952054</v>
      </c>
      <c r="V117" s="228"/>
      <c r="X117" s="274"/>
    </row>
    <row r="118" spans="1:24" x14ac:dyDescent="0.15">
      <c r="A118" s="172">
        <v>51</v>
      </c>
      <c r="B118" s="173">
        <v>39071</v>
      </c>
      <c r="C118" s="174" t="s">
        <v>362</v>
      </c>
      <c r="D118" s="27">
        <v>7</v>
      </c>
      <c r="E118" s="27">
        <v>3</v>
      </c>
      <c r="F118" s="27">
        <v>8</v>
      </c>
      <c r="G118" s="27">
        <v>4</v>
      </c>
      <c r="H118" s="27">
        <v>4</v>
      </c>
      <c r="I118" s="27">
        <v>5</v>
      </c>
      <c r="J118" s="7">
        <v>1</v>
      </c>
      <c r="K118" s="222">
        <v>5156370</v>
      </c>
      <c r="L118" s="223" t="s">
        <v>23</v>
      </c>
      <c r="M118" s="224"/>
      <c r="N118" s="225">
        <v>381617.3</v>
      </c>
      <c r="O118" s="226">
        <v>6</v>
      </c>
      <c r="P118" s="227">
        <v>22</v>
      </c>
      <c r="Q118" s="226">
        <v>284</v>
      </c>
      <c r="R118" s="227">
        <v>2933</v>
      </c>
      <c r="S118" s="226">
        <v>29244</v>
      </c>
      <c r="T118" s="227">
        <v>278861</v>
      </c>
      <c r="V118" s="228"/>
      <c r="X118" s="274"/>
    </row>
    <row r="119" spans="1:24" x14ac:dyDescent="0.15">
      <c r="A119" s="178"/>
      <c r="B119" s="179">
        <v>39074</v>
      </c>
      <c r="C119" s="180" t="s">
        <v>363</v>
      </c>
      <c r="D119" s="19">
        <v>7</v>
      </c>
      <c r="E119" s="19">
        <v>9</v>
      </c>
      <c r="F119" s="19">
        <v>3</v>
      </c>
      <c r="G119" s="19">
        <v>9</v>
      </c>
      <c r="H119" s="19">
        <v>6</v>
      </c>
      <c r="I119" s="19">
        <v>8</v>
      </c>
      <c r="J119" s="13">
        <v>4</v>
      </c>
      <c r="K119" s="229">
        <v>14047894.5</v>
      </c>
      <c r="L119" s="230" t="s">
        <v>23</v>
      </c>
      <c r="M119" s="229"/>
      <c r="N119" s="231">
        <v>1318611.8999999999</v>
      </c>
      <c r="O119" s="232">
        <v>8</v>
      </c>
      <c r="P119" s="233">
        <v>108</v>
      </c>
      <c r="Q119" s="232">
        <v>808</v>
      </c>
      <c r="R119" s="233">
        <v>8152</v>
      </c>
      <c r="S119" s="232">
        <v>80809</v>
      </c>
      <c r="T119" s="233">
        <v>809444</v>
      </c>
      <c r="V119" s="228"/>
      <c r="X119" s="274"/>
    </row>
    <row r="120" spans="1:24" x14ac:dyDescent="0.15">
      <c r="A120" s="172">
        <v>52</v>
      </c>
      <c r="B120" s="173">
        <v>39078</v>
      </c>
      <c r="C120" s="174" t="s">
        <v>362</v>
      </c>
      <c r="D120" s="27">
        <v>4</v>
      </c>
      <c r="E120" s="27">
        <v>8</v>
      </c>
      <c r="F120" s="27">
        <v>6</v>
      </c>
      <c r="G120" s="27">
        <v>2</v>
      </c>
      <c r="H120" s="27">
        <v>4</v>
      </c>
      <c r="I120" s="27">
        <v>4</v>
      </c>
      <c r="J120" s="7">
        <v>8</v>
      </c>
      <c r="K120" s="222">
        <v>4925386.5</v>
      </c>
      <c r="L120" s="223">
        <v>1</v>
      </c>
      <c r="M120" s="224">
        <v>1570000</v>
      </c>
      <c r="N120" s="225">
        <v>77135.199999999997</v>
      </c>
      <c r="O120" s="226">
        <v>3</v>
      </c>
      <c r="P120" s="227">
        <v>33</v>
      </c>
      <c r="Q120" s="226">
        <v>359</v>
      </c>
      <c r="R120" s="227">
        <v>3475</v>
      </c>
      <c r="S120" s="226">
        <v>36376</v>
      </c>
      <c r="T120" s="227">
        <v>339500</v>
      </c>
      <c r="V120" s="228"/>
      <c r="X120" s="274"/>
    </row>
    <row r="121" spans="1:24" x14ac:dyDescent="0.15">
      <c r="A121" s="178"/>
      <c r="B121" s="179">
        <v>39081</v>
      </c>
      <c r="C121" s="180" t="s">
        <v>363</v>
      </c>
      <c r="D121" s="38">
        <v>1</v>
      </c>
      <c r="E121" s="38">
        <v>7</v>
      </c>
      <c r="F121" s="38">
        <v>6</v>
      </c>
      <c r="G121" s="38">
        <v>4</v>
      </c>
      <c r="H121" s="38">
        <v>0</v>
      </c>
      <c r="I121" s="38">
        <v>6</v>
      </c>
      <c r="J121" s="39">
        <v>5</v>
      </c>
      <c r="K121" s="229">
        <v>13590555</v>
      </c>
      <c r="L121" s="237" t="s">
        <v>23</v>
      </c>
      <c r="M121" s="229"/>
      <c r="N121" s="231">
        <v>983625.2</v>
      </c>
      <c r="O121" s="232">
        <v>9</v>
      </c>
      <c r="P121" s="233">
        <v>80</v>
      </c>
      <c r="Q121" s="232">
        <v>895</v>
      </c>
      <c r="R121" s="233">
        <v>9019</v>
      </c>
      <c r="S121" s="232">
        <v>94330</v>
      </c>
      <c r="T121" s="233">
        <v>908966</v>
      </c>
      <c r="V121" s="228"/>
      <c r="X121" s="274"/>
    </row>
    <row r="122" spans="1:24" hidden="1" x14ac:dyDescent="0.15">
      <c r="A122" s="172">
        <v>53</v>
      </c>
      <c r="B122" s="173"/>
      <c r="C122" s="174"/>
      <c r="D122" s="27"/>
      <c r="E122" s="27"/>
      <c r="F122" s="27"/>
      <c r="G122" s="27"/>
      <c r="H122" s="27"/>
      <c r="I122" s="27"/>
      <c r="J122" s="7"/>
      <c r="K122" s="222"/>
      <c r="L122" s="223"/>
      <c r="M122" s="224"/>
      <c r="N122" s="225"/>
      <c r="O122" s="226"/>
      <c r="P122" s="227"/>
      <c r="Q122" s="226"/>
      <c r="R122" s="227"/>
      <c r="S122" s="226"/>
      <c r="T122" s="227"/>
      <c r="V122" s="228"/>
      <c r="X122" s="274"/>
    </row>
    <row r="123" spans="1:24" hidden="1" x14ac:dyDescent="0.15">
      <c r="A123" s="178"/>
      <c r="B123" s="179"/>
      <c r="C123" s="180"/>
      <c r="D123" s="38"/>
      <c r="E123" s="38"/>
      <c r="F123" s="38"/>
      <c r="G123" s="38"/>
      <c r="H123" s="38"/>
      <c r="I123" s="38"/>
      <c r="J123" s="39"/>
      <c r="K123" s="229"/>
      <c r="L123" s="230"/>
      <c r="M123" s="229"/>
      <c r="N123" s="231"/>
      <c r="O123" s="232"/>
      <c r="P123" s="233"/>
      <c r="Q123" s="232"/>
      <c r="R123" s="233"/>
      <c r="S123" s="232"/>
      <c r="T123" s="233"/>
      <c r="V123" s="228"/>
      <c r="X123" s="274"/>
    </row>
    <row r="124" spans="1:24" x14ac:dyDescent="0.15">
      <c r="A124" s="45"/>
      <c r="B124" s="46"/>
      <c r="C124" s="46"/>
      <c r="D124" s="276"/>
      <c r="E124" s="276"/>
      <c r="F124" s="276"/>
      <c r="G124" s="276"/>
      <c r="H124" s="276"/>
      <c r="I124" s="276" t="s">
        <v>24</v>
      </c>
      <c r="J124" s="276"/>
      <c r="K124" s="277"/>
      <c r="L124" s="278">
        <f>SUM(L70:L123)</f>
        <v>31</v>
      </c>
      <c r="M124" s="229"/>
      <c r="N124" s="278"/>
      <c r="O124" s="278">
        <f t="shared" ref="O124:T124" si="1">SUM(O70:O123)</f>
        <v>333</v>
      </c>
      <c r="P124" s="278">
        <f t="shared" si="1"/>
        <v>3241</v>
      </c>
      <c r="Q124" s="278">
        <f t="shared" si="1"/>
        <v>32500</v>
      </c>
      <c r="R124" s="278">
        <f t="shared" si="1"/>
        <v>324288</v>
      </c>
      <c r="S124" s="278">
        <f t="shared" si="1"/>
        <v>3233515</v>
      </c>
      <c r="T124" s="272">
        <f t="shared" si="1"/>
        <v>31661028</v>
      </c>
      <c r="V124" s="228"/>
      <c r="X124" s="274"/>
    </row>
    <row r="125" spans="1:24" x14ac:dyDescent="0.15">
      <c r="K125" s="222"/>
      <c r="N125" s="222"/>
      <c r="V125" s="280"/>
      <c r="X125" s="274"/>
    </row>
    <row r="126" spans="1:24" x14ac:dyDescent="0.15">
      <c r="M126" s="281"/>
      <c r="N126" s="281"/>
    </row>
    <row r="129" spans="12:24" x14ac:dyDescent="0.15">
      <c r="L129" s="282"/>
      <c r="N129" s="282"/>
      <c r="O129" s="282"/>
      <c r="P129" s="282"/>
      <c r="Q129" s="282"/>
      <c r="R129" s="282"/>
      <c r="S129" s="282"/>
      <c r="T129" s="282"/>
      <c r="V129" s="282"/>
      <c r="W129" s="283"/>
      <c r="X129" s="283"/>
    </row>
    <row r="130" spans="12:24" x14ac:dyDescent="0.15">
      <c r="L130" s="282"/>
      <c r="N130" s="282"/>
      <c r="O130" s="282"/>
      <c r="P130" s="282"/>
      <c r="Q130" s="282"/>
      <c r="R130" s="282"/>
      <c r="S130" s="282"/>
      <c r="T130" s="282"/>
      <c r="V130" s="282"/>
      <c r="W130" s="283"/>
      <c r="X130" s="283"/>
    </row>
    <row r="131" spans="12:24" x14ac:dyDescent="0.15">
      <c r="L131" s="282"/>
      <c r="N131" s="282"/>
      <c r="O131" s="282"/>
      <c r="P131" s="282"/>
      <c r="Q131" s="282"/>
      <c r="R131" s="282"/>
      <c r="S131" s="282"/>
      <c r="T131" s="282"/>
      <c r="V131" s="282"/>
      <c r="W131" s="283"/>
      <c r="X131" s="283"/>
    </row>
    <row r="132" spans="12:24" x14ac:dyDescent="0.15">
      <c r="L132" s="282"/>
      <c r="N132" s="282"/>
      <c r="O132" s="282"/>
      <c r="P132" s="282"/>
      <c r="Q132" s="282"/>
      <c r="R132" s="282"/>
      <c r="S132" s="282"/>
      <c r="T132" s="282"/>
      <c r="V132" s="282"/>
      <c r="W132" s="283"/>
      <c r="X132" s="283"/>
    </row>
    <row r="133" spans="12:24" x14ac:dyDescent="0.15">
      <c r="L133" s="282"/>
      <c r="N133" s="282"/>
      <c r="O133" s="282"/>
      <c r="P133" s="282"/>
      <c r="Q133" s="282"/>
      <c r="R133" s="282"/>
      <c r="S133" s="282"/>
      <c r="T133" s="282"/>
      <c r="V133" s="282"/>
      <c r="W133" s="282"/>
    </row>
    <row r="134" spans="12:24" x14ac:dyDescent="0.15">
      <c r="L134" s="282"/>
      <c r="N134" s="282"/>
      <c r="O134" s="282"/>
      <c r="P134" s="282"/>
      <c r="Q134" s="282"/>
      <c r="R134" s="282"/>
      <c r="S134" s="282"/>
      <c r="T134" s="282"/>
      <c r="V134" s="282"/>
      <c r="W134" s="283"/>
      <c r="X134" s="283"/>
    </row>
    <row r="135" spans="12:24" x14ac:dyDescent="0.15">
      <c r="L135" s="282"/>
      <c r="N135" s="282"/>
      <c r="O135" s="282"/>
      <c r="P135" s="282"/>
      <c r="Q135" s="282"/>
      <c r="R135" s="282"/>
      <c r="S135" s="282"/>
      <c r="T135" s="282"/>
      <c r="V135" s="282"/>
      <c r="W135" s="283"/>
      <c r="X135" s="283"/>
    </row>
    <row r="136" spans="12:24" x14ac:dyDescent="0.15">
      <c r="L136" s="282"/>
      <c r="N136" s="282"/>
      <c r="O136" s="282"/>
      <c r="P136" s="282"/>
      <c r="Q136" s="282"/>
      <c r="R136" s="282"/>
      <c r="S136" s="282"/>
      <c r="T136" s="282"/>
      <c r="V136" s="282"/>
      <c r="W136" s="282"/>
    </row>
    <row r="137" spans="12:24" x14ac:dyDescent="0.15">
      <c r="L137" s="282"/>
      <c r="N137" s="282"/>
      <c r="O137" s="282"/>
      <c r="P137" s="282"/>
      <c r="Q137" s="282"/>
      <c r="R137" s="282"/>
      <c r="S137" s="282"/>
      <c r="T137" s="282"/>
      <c r="V137" s="282"/>
      <c r="W137" s="283"/>
      <c r="X137" s="283"/>
    </row>
  </sheetData>
  <phoneticPr fontId="0" type="noConversion"/>
  <printOptions horizontalCentered="1" verticalCentered="1"/>
  <pageMargins left="0" right="0" top="0" bottom="0" header="0.51181102300000003" footer="0.51181102300000003"/>
  <pageSetup paperSize="9" scale="85" orientation="landscape" horizontalDpi="4294967292" verticalDpi="4294967292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37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2.5" customWidth="1"/>
    <col min="22" max="22" width="13.5" customWidth="1"/>
    <col min="24" max="24" width="13" customWidth="1"/>
  </cols>
  <sheetData>
    <row r="2" spans="1:24" ht="14.1" customHeight="1" x14ac:dyDescent="0.2">
      <c r="A2" s="1" t="s">
        <v>364</v>
      </c>
      <c r="T2" s="3" t="s">
        <v>415</v>
      </c>
    </row>
    <row r="3" spans="1:24" ht="11.1" customHeight="1" x14ac:dyDescent="0.15">
      <c r="A3" s="6" t="s">
        <v>2</v>
      </c>
    </row>
    <row r="4" spans="1:24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4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4" ht="11.1" customHeight="1" x14ac:dyDescent="0.15">
      <c r="A6" s="13" t="s">
        <v>428</v>
      </c>
      <c r="B6" s="14">
        <v>2007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366</v>
      </c>
      <c r="M6" s="18"/>
      <c r="N6" s="13" t="s">
        <v>367</v>
      </c>
      <c r="O6" s="239">
        <v>70000</v>
      </c>
      <c r="P6" s="239">
        <v>7000</v>
      </c>
      <c r="Q6" s="239">
        <v>700</v>
      </c>
      <c r="R6" s="239">
        <v>70</v>
      </c>
      <c r="S6" s="239">
        <v>7</v>
      </c>
      <c r="T6" s="239">
        <v>2.5</v>
      </c>
    </row>
    <row r="7" spans="1:24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4" x14ac:dyDescent="0.15">
      <c r="A8" s="172">
        <v>1</v>
      </c>
      <c r="B8" s="173">
        <v>39085</v>
      </c>
      <c r="C8" s="174" t="s">
        <v>362</v>
      </c>
      <c r="D8" s="27">
        <v>5</v>
      </c>
      <c r="E8" s="27">
        <v>7</v>
      </c>
      <c r="F8" s="27">
        <v>0</v>
      </c>
      <c r="G8" s="27">
        <v>1</v>
      </c>
      <c r="H8" s="27">
        <v>8</v>
      </c>
      <c r="I8" s="27">
        <v>8</v>
      </c>
      <c r="J8" s="7">
        <v>8</v>
      </c>
      <c r="K8" s="222">
        <v>4909797</v>
      </c>
      <c r="L8" s="223">
        <v>1</v>
      </c>
      <c r="M8" s="224">
        <v>1270000</v>
      </c>
      <c r="N8" s="225">
        <v>41108.699999999997</v>
      </c>
      <c r="O8" s="226">
        <v>12</v>
      </c>
      <c r="P8" s="227">
        <v>34</v>
      </c>
      <c r="Q8" s="226">
        <v>487</v>
      </c>
      <c r="R8" s="227">
        <v>4931</v>
      </c>
      <c r="S8" s="226">
        <v>35474</v>
      </c>
      <c r="T8" s="227">
        <v>341172</v>
      </c>
      <c r="V8" s="228"/>
      <c r="X8" s="274"/>
    </row>
    <row r="9" spans="1:24" x14ac:dyDescent="0.15">
      <c r="A9" s="178"/>
      <c r="B9" s="179">
        <v>39088</v>
      </c>
      <c r="C9" s="180" t="s">
        <v>363</v>
      </c>
      <c r="D9" s="19">
        <v>7</v>
      </c>
      <c r="E9" s="19">
        <v>6</v>
      </c>
      <c r="F9" s="19">
        <v>3</v>
      </c>
      <c r="G9" s="19">
        <v>9</v>
      </c>
      <c r="H9" s="19">
        <v>1</v>
      </c>
      <c r="I9" s="19">
        <v>5</v>
      </c>
      <c r="J9" s="13">
        <v>6</v>
      </c>
      <c r="K9" s="229">
        <v>12303930</v>
      </c>
      <c r="L9" s="230" t="s">
        <v>23</v>
      </c>
      <c r="M9" s="229"/>
      <c r="N9" s="231">
        <v>861780.8</v>
      </c>
      <c r="O9" s="232">
        <v>7</v>
      </c>
      <c r="P9" s="233">
        <v>97</v>
      </c>
      <c r="Q9" s="232">
        <v>829</v>
      </c>
      <c r="R9" s="233">
        <v>8085</v>
      </c>
      <c r="S9" s="232">
        <v>83147</v>
      </c>
      <c r="T9" s="233">
        <v>780994</v>
      </c>
      <c r="V9" s="228"/>
      <c r="X9" s="274"/>
    </row>
    <row r="10" spans="1:24" x14ac:dyDescent="0.15">
      <c r="A10" s="172">
        <v>2</v>
      </c>
      <c r="B10" s="173">
        <v>39092</v>
      </c>
      <c r="C10" s="174" t="s">
        <v>362</v>
      </c>
      <c r="D10" s="238">
        <v>8</v>
      </c>
      <c r="E10" s="27">
        <v>4</v>
      </c>
      <c r="F10" s="27">
        <v>9</v>
      </c>
      <c r="G10" s="27">
        <v>0</v>
      </c>
      <c r="H10" s="27">
        <v>2</v>
      </c>
      <c r="I10" s="27">
        <v>4</v>
      </c>
      <c r="J10" s="7">
        <v>6</v>
      </c>
      <c r="K10" s="222">
        <v>5144952</v>
      </c>
      <c r="L10" s="234" t="s">
        <v>23</v>
      </c>
      <c r="M10" s="224"/>
      <c r="N10" s="225">
        <v>1204949.1000000001</v>
      </c>
      <c r="O10" s="226">
        <v>1</v>
      </c>
      <c r="P10" s="227">
        <v>32</v>
      </c>
      <c r="Q10" s="226">
        <v>380</v>
      </c>
      <c r="R10" s="227">
        <v>3709</v>
      </c>
      <c r="S10" s="226">
        <v>35402</v>
      </c>
      <c r="T10" s="227">
        <v>331611</v>
      </c>
      <c r="V10" s="228"/>
      <c r="X10" s="274"/>
    </row>
    <row r="11" spans="1:24" x14ac:dyDescent="0.15">
      <c r="A11" s="178"/>
      <c r="B11" s="179">
        <v>39095</v>
      </c>
      <c r="C11" s="180" t="s">
        <v>363</v>
      </c>
      <c r="D11" s="76">
        <v>6</v>
      </c>
      <c r="E11" s="76">
        <v>9</v>
      </c>
      <c r="F11" s="76">
        <v>1</v>
      </c>
      <c r="G11" s="76">
        <v>2</v>
      </c>
      <c r="H11" s="76">
        <v>8</v>
      </c>
      <c r="I11" s="76">
        <v>6</v>
      </c>
      <c r="J11" s="13">
        <v>8</v>
      </c>
      <c r="K11" s="229">
        <v>13544067</v>
      </c>
      <c r="L11" s="237" t="s">
        <v>23</v>
      </c>
      <c r="M11" s="229"/>
      <c r="N11" s="229">
        <v>2108338.4</v>
      </c>
      <c r="O11" s="232">
        <v>19</v>
      </c>
      <c r="P11" s="233">
        <v>118</v>
      </c>
      <c r="Q11" s="232">
        <v>1077</v>
      </c>
      <c r="R11" s="233">
        <v>10276</v>
      </c>
      <c r="S11" s="232">
        <v>98810</v>
      </c>
      <c r="T11" s="233">
        <v>945048</v>
      </c>
      <c r="V11" s="228"/>
      <c r="X11" s="274"/>
    </row>
    <row r="12" spans="1:24" x14ac:dyDescent="0.15">
      <c r="A12" s="172">
        <v>3</v>
      </c>
      <c r="B12" s="173">
        <v>39099</v>
      </c>
      <c r="C12" s="174" t="s">
        <v>362</v>
      </c>
      <c r="D12" s="27">
        <v>3</v>
      </c>
      <c r="E12" s="27">
        <v>1</v>
      </c>
      <c r="F12" s="27">
        <v>0</v>
      </c>
      <c r="G12" s="27">
        <v>1</v>
      </c>
      <c r="H12" s="27">
        <v>8</v>
      </c>
      <c r="I12" s="27">
        <v>1</v>
      </c>
      <c r="J12" s="7">
        <v>0</v>
      </c>
      <c r="K12" s="222">
        <v>5121048</v>
      </c>
      <c r="L12" s="223" t="s">
        <v>23</v>
      </c>
      <c r="M12" s="224"/>
      <c r="N12" s="225">
        <v>2449912.2999999998</v>
      </c>
      <c r="O12" s="226">
        <v>4</v>
      </c>
      <c r="P12" s="227">
        <v>20</v>
      </c>
      <c r="Q12" s="226">
        <v>257</v>
      </c>
      <c r="R12" s="227">
        <v>2384</v>
      </c>
      <c r="S12" s="226">
        <v>22937</v>
      </c>
      <c r="T12" s="227">
        <v>236136</v>
      </c>
      <c r="V12" s="228"/>
      <c r="X12" s="274"/>
    </row>
    <row r="13" spans="1:24" x14ac:dyDescent="0.15">
      <c r="A13" s="178"/>
      <c r="B13" s="179">
        <v>39102</v>
      </c>
      <c r="C13" s="180" t="s">
        <v>363</v>
      </c>
      <c r="D13" s="19">
        <v>8</v>
      </c>
      <c r="E13" s="19">
        <v>2</v>
      </c>
      <c r="F13" s="19">
        <v>2</v>
      </c>
      <c r="G13" s="19">
        <v>0</v>
      </c>
      <c r="H13" s="19">
        <v>9</v>
      </c>
      <c r="I13" s="19">
        <v>4</v>
      </c>
      <c r="J13" s="13">
        <v>4</v>
      </c>
      <c r="K13" s="229">
        <v>12457890</v>
      </c>
      <c r="L13" s="230">
        <v>1</v>
      </c>
      <c r="M13" s="229">
        <v>3270000</v>
      </c>
      <c r="N13" s="231">
        <v>10853.6</v>
      </c>
      <c r="O13" s="232">
        <v>10</v>
      </c>
      <c r="P13" s="233">
        <v>76</v>
      </c>
      <c r="Q13" s="232">
        <v>696</v>
      </c>
      <c r="R13" s="233">
        <v>7495</v>
      </c>
      <c r="S13" s="232">
        <v>73971</v>
      </c>
      <c r="T13" s="233">
        <v>716837</v>
      </c>
      <c r="V13" s="228"/>
      <c r="X13" s="274"/>
    </row>
    <row r="14" spans="1:24" x14ac:dyDescent="0.15">
      <c r="A14" s="172">
        <v>4</v>
      </c>
      <c r="B14" s="173">
        <v>39106</v>
      </c>
      <c r="C14" s="174" t="s">
        <v>362</v>
      </c>
      <c r="D14" s="27">
        <v>0</v>
      </c>
      <c r="E14" s="27">
        <v>9</v>
      </c>
      <c r="F14" s="27">
        <v>5</v>
      </c>
      <c r="G14" s="27">
        <v>2</v>
      </c>
      <c r="H14" s="27">
        <v>4</v>
      </c>
      <c r="I14" s="27">
        <v>7</v>
      </c>
      <c r="J14" s="7">
        <v>6</v>
      </c>
      <c r="K14" s="222">
        <v>4717312.5</v>
      </c>
      <c r="L14" s="234" t="s">
        <v>23</v>
      </c>
      <c r="M14" s="224"/>
      <c r="N14" s="225">
        <v>325498.3</v>
      </c>
      <c r="O14" s="226">
        <v>4</v>
      </c>
      <c r="P14" s="227">
        <v>36</v>
      </c>
      <c r="Q14" s="226">
        <v>275</v>
      </c>
      <c r="R14" s="227">
        <v>2992</v>
      </c>
      <c r="S14" s="226">
        <v>30282</v>
      </c>
      <c r="T14" s="227">
        <v>311567</v>
      </c>
      <c r="V14" s="228"/>
      <c r="X14" s="274"/>
    </row>
    <row r="15" spans="1:24" x14ac:dyDescent="0.15">
      <c r="A15" s="178"/>
      <c r="B15" s="179">
        <v>39109</v>
      </c>
      <c r="C15" s="180" t="s">
        <v>363</v>
      </c>
      <c r="D15" s="19">
        <v>3</v>
      </c>
      <c r="E15" s="19">
        <v>5</v>
      </c>
      <c r="F15" s="19">
        <v>3</v>
      </c>
      <c r="G15" s="19">
        <v>1</v>
      </c>
      <c r="H15" s="19">
        <v>5</v>
      </c>
      <c r="I15" s="19">
        <v>2</v>
      </c>
      <c r="J15" s="13">
        <v>4</v>
      </c>
      <c r="K15" s="229">
        <v>12145573.5</v>
      </c>
      <c r="L15" s="230">
        <v>3</v>
      </c>
      <c r="M15" s="229">
        <v>370000</v>
      </c>
      <c r="N15" s="231">
        <v>25608.1</v>
      </c>
      <c r="O15" s="232">
        <v>7</v>
      </c>
      <c r="P15" s="233">
        <v>83</v>
      </c>
      <c r="Q15" s="232">
        <v>732</v>
      </c>
      <c r="R15" s="233">
        <v>7174</v>
      </c>
      <c r="S15" s="232">
        <v>73396</v>
      </c>
      <c r="T15" s="233">
        <v>698649</v>
      </c>
      <c r="V15" s="228"/>
      <c r="X15" s="274"/>
    </row>
    <row r="16" spans="1:24" x14ac:dyDescent="0.15">
      <c r="A16" s="172">
        <v>5</v>
      </c>
      <c r="B16" s="173">
        <v>39113</v>
      </c>
      <c r="C16" s="174" t="s">
        <v>362</v>
      </c>
      <c r="D16" s="27">
        <v>3</v>
      </c>
      <c r="E16" s="27">
        <v>8</v>
      </c>
      <c r="F16" s="27">
        <v>4</v>
      </c>
      <c r="G16" s="27">
        <v>4</v>
      </c>
      <c r="H16" s="27">
        <v>5</v>
      </c>
      <c r="I16" s="27">
        <v>5</v>
      </c>
      <c r="J16" s="7">
        <v>3</v>
      </c>
      <c r="K16" s="222">
        <v>4798540.5</v>
      </c>
      <c r="L16" s="223" t="s">
        <v>23</v>
      </c>
      <c r="M16" s="224"/>
      <c r="N16" s="224">
        <v>345670.8</v>
      </c>
      <c r="O16" s="226">
        <v>2</v>
      </c>
      <c r="P16" s="227">
        <v>18</v>
      </c>
      <c r="Q16" s="226">
        <v>298</v>
      </c>
      <c r="R16" s="227">
        <v>2941</v>
      </c>
      <c r="S16" s="226">
        <v>30342</v>
      </c>
      <c r="T16" s="227">
        <v>297912</v>
      </c>
      <c r="V16" s="228"/>
      <c r="X16" s="274"/>
    </row>
    <row r="17" spans="1:24" x14ac:dyDescent="0.15">
      <c r="A17" s="178"/>
      <c r="B17" s="179">
        <v>39116</v>
      </c>
      <c r="C17" s="180" t="s">
        <v>363</v>
      </c>
      <c r="D17" s="19">
        <v>3</v>
      </c>
      <c r="E17" s="19">
        <v>5</v>
      </c>
      <c r="F17" s="19">
        <v>4</v>
      </c>
      <c r="G17" s="19">
        <v>9</v>
      </c>
      <c r="H17" s="19">
        <v>0</v>
      </c>
      <c r="I17" s="19">
        <v>5</v>
      </c>
      <c r="J17" s="13">
        <v>6</v>
      </c>
      <c r="K17" s="229">
        <v>12524220</v>
      </c>
      <c r="L17" s="230">
        <v>1</v>
      </c>
      <c r="M17" s="229">
        <v>1170000</v>
      </c>
      <c r="N17" s="229">
        <v>11036.3</v>
      </c>
      <c r="O17" s="232">
        <v>7</v>
      </c>
      <c r="P17" s="233">
        <v>76</v>
      </c>
      <c r="Q17" s="232">
        <v>781</v>
      </c>
      <c r="R17" s="233">
        <v>7836</v>
      </c>
      <c r="S17" s="232">
        <v>86327</v>
      </c>
      <c r="T17" s="233">
        <v>796392</v>
      </c>
      <c r="V17" s="228"/>
      <c r="X17" s="274"/>
    </row>
    <row r="18" spans="1:24" x14ac:dyDescent="0.15">
      <c r="A18" s="172">
        <v>6</v>
      </c>
      <c r="B18" s="173">
        <v>39120</v>
      </c>
      <c r="C18" s="174" t="s">
        <v>362</v>
      </c>
      <c r="D18" s="27">
        <v>0</v>
      </c>
      <c r="E18" s="27">
        <v>0</v>
      </c>
      <c r="F18" s="27">
        <v>6</v>
      </c>
      <c r="G18" s="27">
        <v>7</v>
      </c>
      <c r="H18" s="27">
        <v>3</v>
      </c>
      <c r="I18" s="27">
        <v>1</v>
      </c>
      <c r="J18" s="7">
        <v>8</v>
      </c>
      <c r="K18" s="222">
        <v>4897344</v>
      </c>
      <c r="L18" s="223" t="s">
        <v>23</v>
      </c>
      <c r="M18" s="224"/>
      <c r="N18" s="224">
        <v>337689.1</v>
      </c>
      <c r="O18" s="226">
        <v>4</v>
      </c>
      <c r="P18" s="227">
        <v>30</v>
      </c>
      <c r="Q18" s="226">
        <v>333</v>
      </c>
      <c r="R18" s="227">
        <v>3308</v>
      </c>
      <c r="S18" s="226">
        <v>33717</v>
      </c>
      <c r="T18" s="227">
        <v>350682</v>
      </c>
      <c r="V18" s="228"/>
      <c r="X18" s="274"/>
    </row>
    <row r="19" spans="1:24" x14ac:dyDescent="0.15">
      <c r="A19" s="178"/>
      <c r="B19" s="179">
        <v>39123</v>
      </c>
      <c r="C19" s="180" t="s">
        <v>363</v>
      </c>
      <c r="D19" s="19">
        <v>4</v>
      </c>
      <c r="E19" s="19">
        <v>9</v>
      </c>
      <c r="F19" s="19">
        <v>2</v>
      </c>
      <c r="G19" s="19">
        <v>8</v>
      </c>
      <c r="H19" s="19">
        <v>0</v>
      </c>
      <c r="I19" s="19">
        <v>6</v>
      </c>
      <c r="J19" s="13">
        <v>3</v>
      </c>
      <c r="K19" s="229">
        <v>12414316.5</v>
      </c>
      <c r="L19" s="230">
        <v>1</v>
      </c>
      <c r="M19" s="229">
        <v>1070000</v>
      </c>
      <c r="N19" s="231">
        <v>95724</v>
      </c>
      <c r="O19" s="232">
        <v>6</v>
      </c>
      <c r="P19" s="233">
        <v>74</v>
      </c>
      <c r="Q19" s="232">
        <v>717</v>
      </c>
      <c r="R19" s="233">
        <v>7429</v>
      </c>
      <c r="S19" s="232">
        <v>76601</v>
      </c>
      <c r="T19" s="233">
        <v>756027</v>
      </c>
      <c r="V19" s="228"/>
      <c r="X19" s="274"/>
    </row>
    <row r="20" spans="1:24" x14ac:dyDescent="0.15">
      <c r="A20" s="172">
        <v>7</v>
      </c>
      <c r="B20" s="173">
        <v>39127</v>
      </c>
      <c r="C20" s="174" t="s">
        <v>362</v>
      </c>
      <c r="D20" s="27">
        <v>3</v>
      </c>
      <c r="E20" s="27">
        <v>1</v>
      </c>
      <c r="F20" s="27">
        <v>9</v>
      </c>
      <c r="G20" s="27">
        <v>2</v>
      </c>
      <c r="H20" s="27">
        <v>3</v>
      </c>
      <c r="I20" s="27">
        <v>1</v>
      </c>
      <c r="J20" s="7">
        <v>4</v>
      </c>
      <c r="K20" s="222">
        <v>4616928</v>
      </c>
      <c r="L20" s="223">
        <v>1</v>
      </c>
      <c r="M20" s="224">
        <v>370000</v>
      </c>
      <c r="N20" s="225">
        <v>33673.1</v>
      </c>
      <c r="O20" s="226">
        <v>4</v>
      </c>
      <c r="P20" s="227">
        <v>34</v>
      </c>
      <c r="Q20" s="226">
        <v>283</v>
      </c>
      <c r="R20" s="227">
        <v>2703</v>
      </c>
      <c r="S20" s="226">
        <v>26673</v>
      </c>
      <c r="T20" s="227">
        <v>267286</v>
      </c>
      <c r="V20" s="228"/>
      <c r="X20" s="274"/>
    </row>
    <row r="21" spans="1:24" x14ac:dyDescent="0.15">
      <c r="A21" s="178"/>
      <c r="B21" s="179">
        <v>39130</v>
      </c>
      <c r="C21" s="180" t="s">
        <v>363</v>
      </c>
      <c r="D21" s="19">
        <v>3</v>
      </c>
      <c r="E21" s="19">
        <v>2</v>
      </c>
      <c r="F21" s="19">
        <v>2</v>
      </c>
      <c r="G21" s="19">
        <v>0</v>
      </c>
      <c r="H21" s="19">
        <v>9</v>
      </c>
      <c r="I21" s="19">
        <v>9</v>
      </c>
      <c r="J21" s="13">
        <v>0</v>
      </c>
      <c r="K21" s="229">
        <v>12403306.5</v>
      </c>
      <c r="L21" s="230" t="s">
        <v>23</v>
      </c>
      <c r="M21" s="229"/>
      <c r="N21" s="231">
        <v>860973.6</v>
      </c>
      <c r="O21" s="232">
        <v>4</v>
      </c>
      <c r="P21" s="233">
        <v>49</v>
      </c>
      <c r="Q21" s="232">
        <v>560</v>
      </c>
      <c r="R21" s="233">
        <v>5404</v>
      </c>
      <c r="S21" s="232">
        <v>54176</v>
      </c>
      <c r="T21" s="233">
        <v>564454</v>
      </c>
      <c r="U21" s="240"/>
      <c r="V21" s="228"/>
      <c r="X21" s="274"/>
    </row>
    <row r="22" spans="1:24" x14ac:dyDescent="0.15">
      <c r="A22" s="172">
        <v>8</v>
      </c>
      <c r="B22" s="173">
        <v>39134</v>
      </c>
      <c r="C22" s="174" t="s">
        <v>362</v>
      </c>
      <c r="D22" s="27">
        <v>3</v>
      </c>
      <c r="E22" s="27">
        <v>0</v>
      </c>
      <c r="F22" s="27">
        <v>5</v>
      </c>
      <c r="G22" s="27">
        <v>6</v>
      </c>
      <c r="H22" s="27">
        <v>3</v>
      </c>
      <c r="I22" s="27">
        <v>0</v>
      </c>
      <c r="J22" s="7">
        <v>6</v>
      </c>
      <c r="K22" s="222">
        <v>4816558.5</v>
      </c>
      <c r="L22" s="223" t="s">
        <v>23</v>
      </c>
      <c r="M22" s="224"/>
      <c r="N22" s="225">
        <v>1182238.1000000001</v>
      </c>
      <c r="O22" s="226">
        <v>4</v>
      </c>
      <c r="P22" s="227">
        <v>29</v>
      </c>
      <c r="Q22" s="226">
        <v>241</v>
      </c>
      <c r="R22" s="227">
        <v>2804</v>
      </c>
      <c r="S22" s="226">
        <v>28397</v>
      </c>
      <c r="T22" s="227">
        <v>324580</v>
      </c>
      <c r="V22" s="228"/>
      <c r="X22" s="274"/>
    </row>
    <row r="23" spans="1:24" x14ac:dyDescent="0.15">
      <c r="A23" s="178"/>
      <c r="B23" s="179">
        <v>39137</v>
      </c>
      <c r="C23" s="180" t="s">
        <v>363</v>
      </c>
      <c r="D23" s="19">
        <v>1</v>
      </c>
      <c r="E23" s="19">
        <v>7</v>
      </c>
      <c r="F23" s="19">
        <v>2</v>
      </c>
      <c r="G23" s="19">
        <v>6</v>
      </c>
      <c r="H23" s="19">
        <v>1</v>
      </c>
      <c r="I23" s="19">
        <v>5</v>
      </c>
      <c r="J23" s="13">
        <v>1</v>
      </c>
      <c r="K23" s="229">
        <v>12965928</v>
      </c>
      <c r="L23" s="230" t="s">
        <v>23</v>
      </c>
      <c r="M23" s="229"/>
      <c r="N23" s="231">
        <v>2047065.5</v>
      </c>
      <c r="O23" s="232">
        <v>14</v>
      </c>
      <c r="P23" s="233">
        <v>59</v>
      </c>
      <c r="Q23" s="232">
        <v>726</v>
      </c>
      <c r="R23" s="233">
        <v>6985</v>
      </c>
      <c r="S23" s="232">
        <v>71544</v>
      </c>
      <c r="T23" s="233">
        <v>677002</v>
      </c>
      <c r="V23" s="228"/>
      <c r="X23" s="274"/>
    </row>
    <row r="24" spans="1:24" x14ac:dyDescent="0.15">
      <c r="A24" s="172">
        <v>9</v>
      </c>
      <c r="B24" s="173">
        <v>39141</v>
      </c>
      <c r="C24" s="174" t="s">
        <v>362</v>
      </c>
      <c r="D24" s="27">
        <v>6</v>
      </c>
      <c r="E24" s="27">
        <v>3</v>
      </c>
      <c r="F24" s="27">
        <v>3</v>
      </c>
      <c r="G24" s="27">
        <v>4</v>
      </c>
      <c r="H24" s="27">
        <v>7</v>
      </c>
      <c r="I24" s="27">
        <v>0</v>
      </c>
      <c r="J24" s="7">
        <v>4</v>
      </c>
      <c r="K24" s="222">
        <v>5948550</v>
      </c>
      <c r="L24" s="223" t="s">
        <v>23</v>
      </c>
      <c r="M24" s="224"/>
      <c r="N24" s="225">
        <v>2443833.7999999998</v>
      </c>
      <c r="O24" s="226">
        <v>3</v>
      </c>
      <c r="P24" s="227">
        <v>28</v>
      </c>
      <c r="Q24" s="226">
        <v>310</v>
      </c>
      <c r="R24" s="227">
        <v>3072</v>
      </c>
      <c r="S24" s="226">
        <v>30675</v>
      </c>
      <c r="T24" s="227">
        <v>349967</v>
      </c>
      <c r="V24" s="228"/>
      <c r="X24" s="274"/>
    </row>
    <row r="25" spans="1:24" x14ac:dyDescent="0.15">
      <c r="A25" s="178"/>
      <c r="B25" s="179">
        <v>39144</v>
      </c>
      <c r="C25" s="180" t="s">
        <v>363</v>
      </c>
      <c r="D25" s="19">
        <v>2</v>
      </c>
      <c r="E25" s="19">
        <v>4</v>
      </c>
      <c r="F25" s="19">
        <v>7</v>
      </c>
      <c r="G25" s="19">
        <v>0</v>
      </c>
      <c r="H25" s="19">
        <v>5</v>
      </c>
      <c r="I25" s="19">
        <v>0</v>
      </c>
      <c r="J25" s="13">
        <v>1</v>
      </c>
      <c r="K25" s="229">
        <v>14664772.5</v>
      </c>
      <c r="L25" s="230" t="s">
        <v>23</v>
      </c>
      <c r="M25" s="229"/>
      <c r="N25" s="231">
        <v>3421974.1</v>
      </c>
      <c r="O25" s="232">
        <v>8</v>
      </c>
      <c r="P25" s="233">
        <v>77</v>
      </c>
      <c r="Q25" s="232">
        <v>715</v>
      </c>
      <c r="R25" s="233">
        <v>7216</v>
      </c>
      <c r="S25" s="232">
        <v>71475</v>
      </c>
      <c r="T25" s="233">
        <v>780109</v>
      </c>
      <c r="V25" s="228"/>
      <c r="X25" s="274"/>
    </row>
    <row r="26" spans="1:24" x14ac:dyDescent="0.15">
      <c r="A26" s="172">
        <v>10</v>
      </c>
      <c r="B26" s="173">
        <v>39148</v>
      </c>
      <c r="C26" s="174" t="s">
        <v>362</v>
      </c>
      <c r="D26" s="27">
        <v>5</v>
      </c>
      <c r="E26" s="27">
        <v>1</v>
      </c>
      <c r="F26" s="27">
        <v>4</v>
      </c>
      <c r="G26" s="27">
        <v>8</v>
      </c>
      <c r="H26" s="27">
        <v>9</v>
      </c>
      <c r="I26" s="27">
        <v>0</v>
      </c>
      <c r="J26" s="7">
        <v>4</v>
      </c>
      <c r="K26" s="222">
        <v>4982550</v>
      </c>
      <c r="L26" s="223" t="s">
        <v>23</v>
      </c>
      <c r="M26" s="224"/>
      <c r="N26" s="225">
        <v>3754310.2</v>
      </c>
      <c r="O26" s="226">
        <v>3</v>
      </c>
      <c r="P26" s="227">
        <v>19</v>
      </c>
      <c r="Q26" s="226">
        <v>291</v>
      </c>
      <c r="R26" s="227">
        <v>2552</v>
      </c>
      <c r="S26" s="226">
        <v>25966</v>
      </c>
      <c r="T26" s="227">
        <v>293071</v>
      </c>
      <c r="V26" s="228"/>
      <c r="X26" s="274"/>
    </row>
    <row r="27" spans="1:24" x14ac:dyDescent="0.15">
      <c r="A27" s="178"/>
      <c r="B27" s="179">
        <v>39151</v>
      </c>
      <c r="C27" s="180" t="s">
        <v>363</v>
      </c>
      <c r="D27" s="19">
        <v>4</v>
      </c>
      <c r="E27" s="19">
        <v>4</v>
      </c>
      <c r="F27" s="19">
        <v>7</v>
      </c>
      <c r="G27" s="19">
        <v>1</v>
      </c>
      <c r="H27" s="19">
        <v>5</v>
      </c>
      <c r="I27" s="19">
        <v>5</v>
      </c>
      <c r="J27" s="13">
        <v>1</v>
      </c>
      <c r="K27" s="229">
        <v>12782169</v>
      </c>
      <c r="L27" s="230" t="s">
        <v>23</v>
      </c>
      <c r="M27" s="229"/>
      <c r="N27" s="231">
        <v>4606880.9000000004</v>
      </c>
      <c r="O27" s="232">
        <v>5</v>
      </c>
      <c r="P27" s="233">
        <v>77</v>
      </c>
      <c r="Q27" s="232">
        <v>742</v>
      </c>
      <c r="R27" s="233">
        <v>7015</v>
      </c>
      <c r="S27" s="232">
        <v>71387</v>
      </c>
      <c r="T27" s="233">
        <v>671897</v>
      </c>
      <c r="V27" s="228"/>
      <c r="X27" s="274"/>
    </row>
    <row r="28" spans="1:24" x14ac:dyDescent="0.15">
      <c r="A28" s="172">
        <v>11</v>
      </c>
      <c r="B28" s="173">
        <v>39155</v>
      </c>
      <c r="C28" s="174" t="s">
        <v>362</v>
      </c>
      <c r="D28" s="27">
        <v>0</v>
      </c>
      <c r="E28" s="27">
        <v>8</v>
      </c>
      <c r="F28" s="27">
        <v>8</v>
      </c>
      <c r="G28" s="27">
        <v>2</v>
      </c>
      <c r="H28" s="27">
        <v>8</v>
      </c>
      <c r="I28" s="27">
        <v>5</v>
      </c>
      <c r="J28" s="7">
        <v>7</v>
      </c>
      <c r="K28" s="222">
        <v>5162743.5</v>
      </c>
      <c r="L28" s="223" t="s">
        <v>23</v>
      </c>
      <c r="M28" s="224"/>
      <c r="N28" s="225">
        <v>4951235.9000000004</v>
      </c>
      <c r="O28" s="226">
        <v>3</v>
      </c>
      <c r="P28" s="227">
        <v>41</v>
      </c>
      <c r="Q28" s="226">
        <v>362</v>
      </c>
      <c r="R28" s="227">
        <v>3398</v>
      </c>
      <c r="S28" s="226">
        <v>34954</v>
      </c>
      <c r="T28" s="227">
        <v>338190</v>
      </c>
      <c r="V28" s="228"/>
      <c r="X28" s="274"/>
    </row>
    <row r="29" spans="1:24" x14ac:dyDescent="0.15">
      <c r="A29" s="178"/>
      <c r="B29" s="179">
        <v>39158</v>
      </c>
      <c r="C29" s="180" t="s">
        <v>363</v>
      </c>
      <c r="D29" s="19">
        <v>3</v>
      </c>
      <c r="E29" s="19">
        <v>4</v>
      </c>
      <c r="F29" s="19">
        <v>1</v>
      </c>
      <c r="G29" s="19">
        <v>2</v>
      </c>
      <c r="H29" s="19">
        <v>9</v>
      </c>
      <c r="I29" s="19">
        <v>6</v>
      </c>
      <c r="J29" s="13">
        <v>5</v>
      </c>
      <c r="K29" s="229">
        <v>13516192.5</v>
      </c>
      <c r="L29" s="230">
        <v>1</v>
      </c>
      <c r="M29" s="229">
        <v>5770000</v>
      </c>
      <c r="N29" s="231">
        <v>82765.899999999994</v>
      </c>
      <c r="O29" s="232">
        <v>12</v>
      </c>
      <c r="P29" s="233">
        <v>110</v>
      </c>
      <c r="Q29" s="232">
        <v>965</v>
      </c>
      <c r="R29" s="233">
        <v>9612</v>
      </c>
      <c r="S29" s="232">
        <v>93927</v>
      </c>
      <c r="T29" s="233">
        <v>900261</v>
      </c>
      <c r="V29" s="228"/>
      <c r="X29" s="274"/>
    </row>
    <row r="30" spans="1:24" x14ac:dyDescent="0.15">
      <c r="A30" s="172">
        <v>12</v>
      </c>
      <c r="B30" s="173">
        <v>39162</v>
      </c>
      <c r="C30" s="174" t="s">
        <v>362</v>
      </c>
      <c r="D30" s="27">
        <v>8</v>
      </c>
      <c r="E30" s="27">
        <v>7</v>
      </c>
      <c r="F30" s="27">
        <v>0</v>
      </c>
      <c r="G30" s="27">
        <v>6</v>
      </c>
      <c r="H30" s="27">
        <v>2</v>
      </c>
      <c r="I30" s="27">
        <v>5</v>
      </c>
      <c r="J30" s="7">
        <v>0</v>
      </c>
      <c r="K30" s="222">
        <v>4737043.5</v>
      </c>
      <c r="L30" s="223" t="s">
        <v>23</v>
      </c>
      <c r="M30" s="224"/>
      <c r="N30" s="225">
        <v>398726.7</v>
      </c>
      <c r="O30" s="226">
        <v>1</v>
      </c>
      <c r="P30" s="227">
        <v>13</v>
      </c>
      <c r="Q30" s="226">
        <v>240</v>
      </c>
      <c r="R30" s="227">
        <v>2292</v>
      </c>
      <c r="S30" s="226">
        <v>22389</v>
      </c>
      <c r="T30" s="227">
        <v>220359</v>
      </c>
      <c r="V30" s="228"/>
      <c r="X30" s="274"/>
    </row>
    <row r="31" spans="1:24" x14ac:dyDescent="0.15">
      <c r="A31" s="178"/>
      <c r="B31" s="179">
        <v>39165</v>
      </c>
      <c r="C31" s="180" t="s">
        <v>363</v>
      </c>
      <c r="D31" s="19">
        <v>7</v>
      </c>
      <c r="E31" s="19">
        <v>5</v>
      </c>
      <c r="F31" s="19">
        <v>2</v>
      </c>
      <c r="G31" s="19">
        <v>7</v>
      </c>
      <c r="H31" s="19">
        <v>3</v>
      </c>
      <c r="I31" s="19">
        <v>9</v>
      </c>
      <c r="J31" s="13">
        <v>8</v>
      </c>
      <c r="K31" s="229">
        <v>12484609.5</v>
      </c>
      <c r="L31" s="230">
        <v>1</v>
      </c>
      <c r="M31" s="229">
        <v>1170000</v>
      </c>
      <c r="N31" s="231">
        <v>61450.2</v>
      </c>
      <c r="O31" s="232">
        <v>4</v>
      </c>
      <c r="P31" s="233">
        <v>64</v>
      </c>
      <c r="Q31" s="232">
        <v>892</v>
      </c>
      <c r="R31" s="233">
        <v>8279</v>
      </c>
      <c r="S31" s="232">
        <v>83634</v>
      </c>
      <c r="T31" s="233">
        <v>881064</v>
      </c>
      <c r="V31" s="228"/>
      <c r="X31" s="274"/>
    </row>
    <row r="32" spans="1:24" x14ac:dyDescent="0.15">
      <c r="A32" s="172">
        <v>13</v>
      </c>
      <c r="B32" s="173">
        <v>39169</v>
      </c>
      <c r="C32" s="174" t="s">
        <v>362</v>
      </c>
      <c r="D32" s="27">
        <v>2</v>
      </c>
      <c r="E32" s="27">
        <v>5</v>
      </c>
      <c r="F32" s="27">
        <v>3</v>
      </c>
      <c r="G32" s="27">
        <v>4</v>
      </c>
      <c r="H32" s="27">
        <v>8</v>
      </c>
      <c r="I32" s="27">
        <v>2</v>
      </c>
      <c r="J32" s="7">
        <v>6</v>
      </c>
      <c r="K32" s="222">
        <v>4861474.5</v>
      </c>
      <c r="L32" s="223">
        <v>1</v>
      </c>
      <c r="M32" s="224">
        <v>370000</v>
      </c>
      <c r="N32" s="225">
        <v>15710.5</v>
      </c>
      <c r="O32" s="226">
        <v>3</v>
      </c>
      <c r="P32" s="227">
        <v>33</v>
      </c>
      <c r="Q32" s="226">
        <v>352</v>
      </c>
      <c r="R32" s="227">
        <v>3276</v>
      </c>
      <c r="S32" s="226">
        <v>32258</v>
      </c>
      <c r="T32" s="227">
        <v>320922</v>
      </c>
      <c r="V32" s="228"/>
      <c r="X32" s="274"/>
    </row>
    <row r="33" spans="1:24" x14ac:dyDescent="0.15">
      <c r="A33" s="178"/>
      <c r="B33" s="179">
        <v>39172</v>
      </c>
      <c r="C33" s="180" t="s">
        <v>363</v>
      </c>
      <c r="D33" s="19">
        <v>3</v>
      </c>
      <c r="E33" s="19">
        <v>9</v>
      </c>
      <c r="F33" s="19">
        <v>2</v>
      </c>
      <c r="G33" s="19">
        <v>0</v>
      </c>
      <c r="H33" s="19">
        <v>7</v>
      </c>
      <c r="I33" s="19">
        <v>3</v>
      </c>
      <c r="J33" s="13">
        <v>1</v>
      </c>
      <c r="K33" s="229">
        <v>12978196.5</v>
      </c>
      <c r="L33" s="230">
        <v>1</v>
      </c>
      <c r="M33" s="229">
        <v>870000</v>
      </c>
      <c r="N33" s="231">
        <v>11356.2</v>
      </c>
      <c r="O33" s="232">
        <v>9</v>
      </c>
      <c r="P33" s="233">
        <v>79</v>
      </c>
      <c r="Q33" s="232">
        <v>731</v>
      </c>
      <c r="R33" s="233">
        <v>7689</v>
      </c>
      <c r="S33" s="232">
        <v>71434</v>
      </c>
      <c r="T33" s="233">
        <v>688760</v>
      </c>
      <c r="V33" s="228"/>
      <c r="X33" s="274"/>
    </row>
    <row r="34" spans="1:24" x14ac:dyDescent="0.15">
      <c r="A34" s="172">
        <v>14</v>
      </c>
      <c r="B34" s="173">
        <v>39176</v>
      </c>
      <c r="C34" s="174" t="s">
        <v>362</v>
      </c>
      <c r="D34" s="27">
        <v>1</v>
      </c>
      <c r="E34" s="27">
        <v>1</v>
      </c>
      <c r="F34" s="27">
        <v>3</v>
      </c>
      <c r="G34" s="27">
        <v>0</v>
      </c>
      <c r="H34" s="27">
        <v>4</v>
      </c>
      <c r="I34" s="27">
        <v>9</v>
      </c>
      <c r="J34" s="7">
        <v>0</v>
      </c>
      <c r="K34" s="222">
        <v>5917503</v>
      </c>
      <c r="L34" s="223">
        <v>1</v>
      </c>
      <c r="M34" s="224">
        <v>370000</v>
      </c>
      <c r="N34" s="225">
        <v>36053.699999999997</v>
      </c>
      <c r="O34" s="226">
        <v>2</v>
      </c>
      <c r="P34" s="227">
        <v>30</v>
      </c>
      <c r="Q34" s="226">
        <v>286</v>
      </c>
      <c r="R34" s="227">
        <v>2713</v>
      </c>
      <c r="S34" s="226">
        <v>26977</v>
      </c>
      <c r="T34" s="227">
        <v>283098</v>
      </c>
      <c r="V34" s="228"/>
      <c r="X34" s="274"/>
    </row>
    <row r="35" spans="1:24" x14ac:dyDescent="0.15">
      <c r="A35" s="178"/>
      <c r="B35" s="179">
        <v>39179</v>
      </c>
      <c r="C35" s="180" t="s">
        <v>363</v>
      </c>
      <c r="D35" s="19">
        <v>2</v>
      </c>
      <c r="E35" s="19">
        <v>7</v>
      </c>
      <c r="F35" s="19">
        <v>0</v>
      </c>
      <c r="G35" s="19">
        <v>7</v>
      </c>
      <c r="H35" s="19">
        <v>5</v>
      </c>
      <c r="I35" s="19">
        <v>2</v>
      </c>
      <c r="J35" s="13">
        <v>8</v>
      </c>
      <c r="K35" s="229">
        <v>13919217</v>
      </c>
      <c r="L35" s="230">
        <v>2</v>
      </c>
      <c r="M35" s="229">
        <v>470000</v>
      </c>
      <c r="N35" s="231">
        <v>24465.5</v>
      </c>
      <c r="O35" s="232">
        <v>5</v>
      </c>
      <c r="P35" s="233">
        <v>88</v>
      </c>
      <c r="Q35" s="232">
        <v>982</v>
      </c>
      <c r="R35" s="233">
        <v>9915</v>
      </c>
      <c r="S35" s="232">
        <v>98392</v>
      </c>
      <c r="T35" s="233">
        <v>965349</v>
      </c>
      <c r="V35" s="228"/>
      <c r="X35" s="274"/>
    </row>
    <row r="36" spans="1:24" x14ac:dyDescent="0.15">
      <c r="A36" s="172">
        <v>15</v>
      </c>
      <c r="B36" s="173">
        <v>39183</v>
      </c>
      <c r="C36" s="174" t="s">
        <v>362</v>
      </c>
      <c r="D36" s="27">
        <v>8</v>
      </c>
      <c r="E36" s="27">
        <v>4</v>
      </c>
      <c r="F36" s="27">
        <v>4</v>
      </c>
      <c r="G36" s="27">
        <v>0</v>
      </c>
      <c r="H36" s="27">
        <v>8</v>
      </c>
      <c r="I36" s="27">
        <v>6</v>
      </c>
      <c r="J36" s="7">
        <v>5</v>
      </c>
      <c r="K36" s="222">
        <v>4623268.5</v>
      </c>
      <c r="L36" s="234">
        <v>1</v>
      </c>
      <c r="M36" s="224">
        <v>270000</v>
      </c>
      <c r="N36" s="225">
        <v>62837.5</v>
      </c>
      <c r="O36" s="226">
        <v>2</v>
      </c>
      <c r="P36" s="227">
        <v>35</v>
      </c>
      <c r="Q36" s="226">
        <v>301</v>
      </c>
      <c r="R36" s="227">
        <v>3142</v>
      </c>
      <c r="S36" s="226">
        <v>32646</v>
      </c>
      <c r="T36" s="227">
        <v>309552</v>
      </c>
      <c r="V36" s="228"/>
      <c r="X36" s="274"/>
    </row>
    <row r="37" spans="1:24" x14ac:dyDescent="0.15">
      <c r="A37" s="178"/>
      <c r="B37" s="179">
        <v>39186</v>
      </c>
      <c r="C37" s="180" t="s">
        <v>363</v>
      </c>
      <c r="D37" s="19">
        <v>2</v>
      </c>
      <c r="E37" s="19">
        <v>1</v>
      </c>
      <c r="F37" s="19">
        <v>6</v>
      </c>
      <c r="G37" s="19">
        <v>4</v>
      </c>
      <c r="H37" s="19">
        <v>6</v>
      </c>
      <c r="I37" s="19">
        <v>4</v>
      </c>
      <c r="J37" s="13">
        <v>7</v>
      </c>
      <c r="K37" s="229">
        <v>12326766</v>
      </c>
      <c r="L37" s="230" t="s">
        <v>23</v>
      </c>
      <c r="M37" s="229"/>
      <c r="N37" s="231">
        <v>885032.8</v>
      </c>
      <c r="O37" s="232">
        <v>8</v>
      </c>
      <c r="P37" s="233">
        <v>87</v>
      </c>
      <c r="Q37" s="232">
        <v>867</v>
      </c>
      <c r="R37" s="233">
        <v>8704</v>
      </c>
      <c r="S37" s="232">
        <v>87838</v>
      </c>
      <c r="T37" s="233">
        <v>827109</v>
      </c>
      <c r="V37" s="228"/>
      <c r="X37" s="274"/>
    </row>
    <row r="38" spans="1:24" x14ac:dyDescent="0.15">
      <c r="A38" s="172">
        <v>16</v>
      </c>
      <c r="B38" s="173">
        <v>39190</v>
      </c>
      <c r="C38" s="174" t="s">
        <v>362</v>
      </c>
      <c r="D38" s="27">
        <v>2</v>
      </c>
      <c r="E38" s="27">
        <v>3</v>
      </c>
      <c r="F38" s="27">
        <v>7</v>
      </c>
      <c r="G38" s="27">
        <v>1</v>
      </c>
      <c r="H38" s="27">
        <v>3</v>
      </c>
      <c r="I38" s="27">
        <v>6</v>
      </c>
      <c r="J38" s="7">
        <v>1</v>
      </c>
      <c r="K38" s="222">
        <v>4530454.5</v>
      </c>
      <c r="L38" s="234">
        <v>1</v>
      </c>
      <c r="M38" s="224">
        <v>1170000</v>
      </c>
      <c r="N38" s="225">
        <v>17214.099999999999</v>
      </c>
      <c r="O38" s="226">
        <v>5</v>
      </c>
      <c r="P38" s="227">
        <v>17</v>
      </c>
      <c r="Q38" s="226">
        <v>242</v>
      </c>
      <c r="R38" s="227">
        <v>2506</v>
      </c>
      <c r="S38" s="226">
        <v>24316</v>
      </c>
      <c r="T38" s="227">
        <v>243058</v>
      </c>
      <c r="V38" s="228"/>
      <c r="X38" s="274"/>
    </row>
    <row r="39" spans="1:24" x14ac:dyDescent="0.15">
      <c r="A39" s="178"/>
      <c r="B39" s="179">
        <v>39193</v>
      </c>
      <c r="C39" s="180" t="s">
        <v>363</v>
      </c>
      <c r="D39" s="19">
        <v>3</v>
      </c>
      <c r="E39" s="19">
        <v>6</v>
      </c>
      <c r="F39" s="19">
        <v>2</v>
      </c>
      <c r="G39" s="19">
        <v>2</v>
      </c>
      <c r="H39" s="19">
        <v>9</v>
      </c>
      <c r="I39" s="19">
        <v>3</v>
      </c>
      <c r="J39" s="13">
        <v>3</v>
      </c>
      <c r="K39" s="229">
        <v>12134572.5</v>
      </c>
      <c r="L39" s="230">
        <v>2</v>
      </c>
      <c r="M39" s="229">
        <v>370000</v>
      </c>
      <c r="N39" s="231">
        <v>86590.1</v>
      </c>
      <c r="O39" s="232">
        <v>7</v>
      </c>
      <c r="P39" s="233">
        <v>78</v>
      </c>
      <c r="Q39" s="232">
        <v>750</v>
      </c>
      <c r="R39" s="233">
        <v>7453</v>
      </c>
      <c r="S39" s="232">
        <v>74747</v>
      </c>
      <c r="T39" s="233">
        <v>744312</v>
      </c>
      <c r="V39" s="228"/>
      <c r="X39" s="274"/>
    </row>
    <row r="40" spans="1:24" x14ac:dyDescent="0.15">
      <c r="A40" s="172">
        <v>17</v>
      </c>
      <c r="B40" s="173">
        <v>39197</v>
      </c>
      <c r="C40" s="174" t="s">
        <v>362</v>
      </c>
      <c r="D40" s="27">
        <v>4</v>
      </c>
      <c r="E40" s="27">
        <v>4</v>
      </c>
      <c r="F40" s="27">
        <v>4</v>
      </c>
      <c r="G40" s="27">
        <v>6</v>
      </c>
      <c r="H40" s="27">
        <v>4</v>
      </c>
      <c r="I40" s="27">
        <v>8</v>
      </c>
      <c r="J40" s="7">
        <v>8</v>
      </c>
      <c r="K40" s="222">
        <v>4412875.5</v>
      </c>
      <c r="L40" s="223" t="s">
        <v>23</v>
      </c>
      <c r="M40" s="224"/>
      <c r="N40" s="225">
        <v>380928.9</v>
      </c>
      <c r="O40" s="226">
        <v>3</v>
      </c>
      <c r="P40" s="227">
        <v>30</v>
      </c>
      <c r="Q40" s="226">
        <v>373</v>
      </c>
      <c r="R40" s="227">
        <v>3437</v>
      </c>
      <c r="S40" s="226">
        <v>34021</v>
      </c>
      <c r="T40" s="227">
        <v>311249</v>
      </c>
      <c r="V40" s="228"/>
      <c r="X40" s="274"/>
    </row>
    <row r="41" spans="1:24" x14ac:dyDescent="0.15">
      <c r="A41" s="178"/>
      <c r="B41" s="179">
        <v>39200</v>
      </c>
      <c r="C41" s="180" t="s">
        <v>363</v>
      </c>
      <c r="D41" s="19">
        <v>3</v>
      </c>
      <c r="E41" s="19">
        <v>0</v>
      </c>
      <c r="F41" s="19">
        <v>1</v>
      </c>
      <c r="G41" s="19">
        <v>6</v>
      </c>
      <c r="H41" s="19">
        <v>0</v>
      </c>
      <c r="I41" s="19">
        <v>5</v>
      </c>
      <c r="J41" s="13">
        <v>8</v>
      </c>
      <c r="K41" s="229">
        <v>11770113</v>
      </c>
      <c r="L41" s="230">
        <v>4</v>
      </c>
      <c r="M41" s="229">
        <v>270000</v>
      </c>
      <c r="N41" s="231">
        <v>85995.4</v>
      </c>
      <c r="O41" s="232">
        <v>12</v>
      </c>
      <c r="P41" s="233">
        <v>83</v>
      </c>
      <c r="Q41" s="232">
        <v>822</v>
      </c>
      <c r="R41" s="233">
        <v>8148</v>
      </c>
      <c r="S41" s="232">
        <v>88172</v>
      </c>
      <c r="T41" s="233">
        <v>832862</v>
      </c>
      <c r="V41" s="228"/>
      <c r="X41" s="274"/>
    </row>
    <row r="42" spans="1:24" x14ac:dyDescent="0.15">
      <c r="A42" s="172">
        <v>18</v>
      </c>
      <c r="B42" s="173">
        <v>39204</v>
      </c>
      <c r="C42" s="174" t="s">
        <v>362</v>
      </c>
      <c r="D42" s="27">
        <v>8</v>
      </c>
      <c r="E42" s="27">
        <v>8</v>
      </c>
      <c r="F42" s="27">
        <v>1</v>
      </c>
      <c r="G42" s="27">
        <v>5</v>
      </c>
      <c r="H42" s="27">
        <v>4</v>
      </c>
      <c r="I42" s="27">
        <v>0</v>
      </c>
      <c r="J42" s="7">
        <v>4</v>
      </c>
      <c r="K42" s="222">
        <v>4305628.5</v>
      </c>
      <c r="L42" s="234" t="s">
        <v>23</v>
      </c>
      <c r="M42" s="224"/>
      <c r="N42" s="225">
        <v>373180.8</v>
      </c>
      <c r="O42" s="226">
        <v>4</v>
      </c>
      <c r="P42" s="227">
        <v>26</v>
      </c>
      <c r="Q42" s="226">
        <v>248</v>
      </c>
      <c r="R42" s="227">
        <v>2355</v>
      </c>
      <c r="S42" s="226">
        <v>21975</v>
      </c>
      <c r="T42" s="227">
        <v>250850</v>
      </c>
      <c r="V42" s="228"/>
      <c r="X42" s="274"/>
    </row>
    <row r="43" spans="1:24" x14ac:dyDescent="0.15">
      <c r="A43" s="178"/>
      <c r="B43" s="179">
        <v>39207</v>
      </c>
      <c r="C43" s="180" t="s">
        <v>363</v>
      </c>
      <c r="D43" s="19">
        <v>3</v>
      </c>
      <c r="E43" s="19">
        <v>7</v>
      </c>
      <c r="F43" s="19">
        <v>9</v>
      </c>
      <c r="G43" s="19">
        <v>3</v>
      </c>
      <c r="H43" s="19">
        <v>6</v>
      </c>
      <c r="I43" s="19">
        <v>7</v>
      </c>
      <c r="J43" s="13">
        <v>0</v>
      </c>
      <c r="K43" s="229">
        <v>11979628.5</v>
      </c>
      <c r="L43" s="237" t="s">
        <v>23</v>
      </c>
      <c r="M43" s="229"/>
      <c r="N43" s="231">
        <v>1172222</v>
      </c>
      <c r="O43" s="232">
        <v>8</v>
      </c>
      <c r="P43" s="233">
        <v>46</v>
      </c>
      <c r="Q43" s="232">
        <v>585</v>
      </c>
      <c r="R43" s="233">
        <v>5404</v>
      </c>
      <c r="S43" s="232">
        <v>54636</v>
      </c>
      <c r="T43" s="233">
        <v>551987</v>
      </c>
      <c r="V43" s="228"/>
      <c r="X43" s="274"/>
    </row>
    <row r="44" spans="1:24" x14ac:dyDescent="0.15">
      <c r="A44" s="172">
        <v>19</v>
      </c>
      <c r="B44" s="173">
        <v>39211</v>
      </c>
      <c r="C44" s="174" t="s">
        <v>362</v>
      </c>
      <c r="D44" s="27">
        <v>0</v>
      </c>
      <c r="E44" s="27">
        <v>3</v>
      </c>
      <c r="F44" s="27">
        <v>6</v>
      </c>
      <c r="G44" s="27">
        <v>0</v>
      </c>
      <c r="H44" s="27">
        <v>8</v>
      </c>
      <c r="I44" s="27">
        <v>4</v>
      </c>
      <c r="J44" s="7">
        <v>9</v>
      </c>
      <c r="K44" s="222">
        <v>4892239.5</v>
      </c>
      <c r="L44" s="234" t="s">
        <v>23</v>
      </c>
      <c r="M44" s="224"/>
      <c r="N44" s="225">
        <v>1498534.4</v>
      </c>
      <c r="O44" s="226">
        <v>3</v>
      </c>
      <c r="P44" s="227">
        <v>34</v>
      </c>
      <c r="Q44" s="226">
        <v>268</v>
      </c>
      <c r="R44" s="227">
        <v>2970</v>
      </c>
      <c r="S44" s="226">
        <v>28705</v>
      </c>
      <c r="T44" s="227">
        <v>273022</v>
      </c>
      <c r="V44" s="228"/>
      <c r="X44" s="274"/>
    </row>
    <row r="45" spans="1:24" x14ac:dyDescent="0.15">
      <c r="A45" s="178"/>
      <c r="B45" s="179">
        <v>39214</v>
      </c>
      <c r="C45" s="180" t="s">
        <v>363</v>
      </c>
      <c r="D45" s="19">
        <v>7</v>
      </c>
      <c r="E45" s="19">
        <v>9</v>
      </c>
      <c r="F45" s="19">
        <v>6</v>
      </c>
      <c r="G45" s="19">
        <v>4</v>
      </c>
      <c r="H45" s="19">
        <v>2</v>
      </c>
      <c r="I45" s="19">
        <v>7</v>
      </c>
      <c r="J45" s="13">
        <v>9</v>
      </c>
      <c r="K45" s="229">
        <v>13038745.5</v>
      </c>
      <c r="L45" s="230">
        <v>1</v>
      </c>
      <c r="M45" s="229">
        <v>2270000</v>
      </c>
      <c r="N45" s="231">
        <v>98218.7</v>
      </c>
      <c r="O45" s="232">
        <v>3</v>
      </c>
      <c r="P45" s="233">
        <v>102</v>
      </c>
      <c r="Q45" s="232">
        <v>790</v>
      </c>
      <c r="R45" s="233">
        <v>7841</v>
      </c>
      <c r="S45" s="232">
        <v>77148</v>
      </c>
      <c r="T45" s="233">
        <v>761999</v>
      </c>
      <c r="V45" s="228"/>
      <c r="X45" s="274"/>
    </row>
    <row r="46" spans="1:24" x14ac:dyDescent="0.15">
      <c r="A46" s="172">
        <v>20</v>
      </c>
      <c r="B46" s="173">
        <v>39218</v>
      </c>
      <c r="C46" s="174" t="s">
        <v>362</v>
      </c>
      <c r="D46" s="27">
        <v>2</v>
      </c>
      <c r="E46" s="27">
        <v>5</v>
      </c>
      <c r="F46" s="27">
        <v>5</v>
      </c>
      <c r="G46" s="27">
        <v>3</v>
      </c>
      <c r="H46" s="27">
        <v>2</v>
      </c>
      <c r="I46" s="27">
        <v>6</v>
      </c>
      <c r="J46" s="7">
        <v>2</v>
      </c>
      <c r="K46" s="222">
        <v>4630584</v>
      </c>
      <c r="L46" s="223" t="s">
        <v>23</v>
      </c>
      <c r="M46" s="224"/>
      <c r="N46" s="225">
        <v>407078.7</v>
      </c>
      <c r="O46" s="226">
        <v>1</v>
      </c>
      <c r="P46" s="227">
        <v>26</v>
      </c>
      <c r="Q46" s="226">
        <v>266</v>
      </c>
      <c r="R46" s="227">
        <v>2577</v>
      </c>
      <c r="S46" s="226">
        <v>24514</v>
      </c>
      <c r="T46" s="227">
        <v>245547</v>
      </c>
      <c r="V46" s="228"/>
      <c r="X46" s="274"/>
    </row>
    <row r="47" spans="1:24" x14ac:dyDescent="0.15">
      <c r="A47" s="178"/>
      <c r="B47" s="179">
        <v>39221</v>
      </c>
      <c r="C47" s="180" t="s">
        <v>363</v>
      </c>
      <c r="D47" s="19">
        <v>1</v>
      </c>
      <c r="E47" s="19">
        <v>8</v>
      </c>
      <c r="F47" s="19">
        <v>7</v>
      </c>
      <c r="G47" s="19">
        <v>7</v>
      </c>
      <c r="H47" s="19">
        <v>9</v>
      </c>
      <c r="I47" s="19">
        <v>1</v>
      </c>
      <c r="J47" s="13">
        <v>4</v>
      </c>
      <c r="K47" s="229">
        <v>11905225.5</v>
      </c>
      <c r="L47" s="230" t="s">
        <v>23</v>
      </c>
      <c r="M47" s="229"/>
      <c r="N47" s="231">
        <v>1201157.2</v>
      </c>
      <c r="O47" s="232">
        <v>5</v>
      </c>
      <c r="P47" s="233">
        <v>59</v>
      </c>
      <c r="Q47" s="232">
        <v>674</v>
      </c>
      <c r="R47" s="233">
        <v>6735</v>
      </c>
      <c r="S47" s="232">
        <v>66512</v>
      </c>
      <c r="T47" s="233">
        <v>688944</v>
      </c>
      <c r="V47" s="228"/>
      <c r="X47" s="274"/>
    </row>
    <row r="48" spans="1:24" x14ac:dyDescent="0.15">
      <c r="A48" s="172">
        <v>21</v>
      </c>
      <c r="B48" s="173">
        <v>39225</v>
      </c>
      <c r="C48" s="174" t="s">
        <v>362</v>
      </c>
      <c r="D48" s="27">
        <v>0</v>
      </c>
      <c r="E48" s="27">
        <v>0</v>
      </c>
      <c r="F48" s="27">
        <v>4</v>
      </c>
      <c r="G48" s="27">
        <v>1</v>
      </c>
      <c r="H48" s="27">
        <v>1</v>
      </c>
      <c r="I48" s="27">
        <v>3</v>
      </c>
      <c r="J48" s="7">
        <v>4</v>
      </c>
      <c r="K48" s="222">
        <v>4724371.5</v>
      </c>
      <c r="L48" s="223" t="s">
        <v>23</v>
      </c>
      <c r="M48" s="224"/>
      <c r="N48" s="225">
        <v>1516272.8</v>
      </c>
      <c r="O48" s="226">
        <v>1</v>
      </c>
      <c r="P48" s="227">
        <v>21</v>
      </c>
      <c r="Q48" s="226">
        <v>274</v>
      </c>
      <c r="R48" s="227">
        <v>2674</v>
      </c>
      <c r="S48" s="226">
        <v>28081</v>
      </c>
      <c r="T48" s="227">
        <v>272347</v>
      </c>
      <c r="V48" s="228"/>
      <c r="X48" s="274"/>
    </row>
    <row r="49" spans="1:24" x14ac:dyDescent="0.15">
      <c r="A49" s="178"/>
      <c r="B49" s="179">
        <v>39228</v>
      </c>
      <c r="C49" s="180" t="s">
        <v>363</v>
      </c>
      <c r="D49" s="19">
        <v>5</v>
      </c>
      <c r="E49" s="19">
        <v>8</v>
      </c>
      <c r="F49" s="19">
        <v>3</v>
      </c>
      <c r="G49" s="19">
        <v>4</v>
      </c>
      <c r="H49" s="19">
        <v>7</v>
      </c>
      <c r="I49" s="19">
        <v>3</v>
      </c>
      <c r="J49" s="13">
        <v>1</v>
      </c>
      <c r="K49" s="229">
        <v>11783287.5</v>
      </c>
      <c r="L49" s="230" t="s">
        <v>23</v>
      </c>
      <c r="M49" s="229"/>
      <c r="N49" s="231">
        <v>2302218.1</v>
      </c>
      <c r="O49" s="232">
        <v>7</v>
      </c>
      <c r="P49" s="233">
        <v>72</v>
      </c>
      <c r="Q49" s="232">
        <v>726</v>
      </c>
      <c r="R49" s="233">
        <v>6931</v>
      </c>
      <c r="S49" s="232">
        <v>64362</v>
      </c>
      <c r="T49" s="233">
        <v>621171</v>
      </c>
      <c r="V49" s="228"/>
      <c r="X49" s="274"/>
    </row>
    <row r="50" spans="1:24" x14ac:dyDescent="0.15">
      <c r="A50" s="172">
        <v>22</v>
      </c>
      <c r="B50" s="173">
        <v>39232</v>
      </c>
      <c r="C50" s="174" t="s">
        <v>362</v>
      </c>
      <c r="D50" s="27">
        <v>6</v>
      </c>
      <c r="E50" s="27">
        <v>7</v>
      </c>
      <c r="F50" s="27">
        <v>8</v>
      </c>
      <c r="G50" s="27">
        <v>6</v>
      </c>
      <c r="H50" s="27">
        <v>9</v>
      </c>
      <c r="I50" s="27">
        <v>1</v>
      </c>
      <c r="J50" s="7">
        <v>3</v>
      </c>
      <c r="K50" s="222">
        <v>4480302</v>
      </c>
      <c r="L50" s="223" t="s">
        <v>23</v>
      </c>
      <c r="M50" s="224"/>
      <c r="N50" s="225">
        <v>2601054.2000000002</v>
      </c>
      <c r="O50" s="226">
        <v>3</v>
      </c>
      <c r="P50" s="227">
        <v>38</v>
      </c>
      <c r="Q50" s="226">
        <v>352</v>
      </c>
      <c r="R50" s="227">
        <v>3297</v>
      </c>
      <c r="S50" s="226">
        <v>32999</v>
      </c>
      <c r="T50" s="227">
        <v>273148</v>
      </c>
      <c r="V50" s="228"/>
      <c r="X50" s="274"/>
    </row>
    <row r="51" spans="1:24" x14ac:dyDescent="0.15">
      <c r="A51" s="178"/>
      <c r="B51" s="179">
        <v>39235</v>
      </c>
      <c r="C51" s="180" t="s">
        <v>363</v>
      </c>
      <c r="D51" s="19">
        <v>5</v>
      </c>
      <c r="E51" s="19">
        <v>3</v>
      </c>
      <c r="F51" s="19">
        <v>9</v>
      </c>
      <c r="G51" s="19">
        <v>4</v>
      </c>
      <c r="H51" s="19">
        <v>6</v>
      </c>
      <c r="I51" s="19">
        <v>1</v>
      </c>
      <c r="J51" s="13">
        <v>5</v>
      </c>
      <c r="K51" s="229">
        <v>12493396.5</v>
      </c>
      <c r="L51" s="230">
        <v>2</v>
      </c>
      <c r="M51" s="229">
        <v>1670000</v>
      </c>
      <c r="N51" s="231">
        <v>94363.7</v>
      </c>
      <c r="O51" s="232">
        <v>3</v>
      </c>
      <c r="P51" s="233">
        <v>78</v>
      </c>
      <c r="Q51" s="232">
        <v>848</v>
      </c>
      <c r="R51" s="233">
        <v>7863</v>
      </c>
      <c r="S51" s="232">
        <v>80134</v>
      </c>
      <c r="T51" s="233">
        <v>849658</v>
      </c>
      <c r="V51" s="228"/>
      <c r="X51" s="274"/>
    </row>
    <row r="52" spans="1:24" x14ac:dyDescent="0.15">
      <c r="A52" s="172">
        <v>23</v>
      </c>
      <c r="B52" s="173">
        <v>39239</v>
      </c>
      <c r="C52" s="174" t="s">
        <v>362</v>
      </c>
      <c r="D52" s="27">
        <v>7</v>
      </c>
      <c r="E52" s="27">
        <v>1</v>
      </c>
      <c r="F52" s="27">
        <v>7</v>
      </c>
      <c r="G52" s="27">
        <v>4</v>
      </c>
      <c r="H52" s="27">
        <v>6</v>
      </c>
      <c r="I52" s="27">
        <v>8</v>
      </c>
      <c r="J52" s="7">
        <v>1</v>
      </c>
      <c r="K52" s="222">
        <v>5310405</v>
      </c>
      <c r="L52" s="223" t="s">
        <v>23</v>
      </c>
      <c r="M52" s="224"/>
      <c r="N52" s="225">
        <v>448567.7</v>
      </c>
      <c r="O52" s="226">
        <v>3</v>
      </c>
      <c r="P52" s="227">
        <v>29</v>
      </c>
      <c r="Q52" s="226">
        <v>282</v>
      </c>
      <c r="R52" s="227">
        <v>2756</v>
      </c>
      <c r="S52" s="226">
        <v>27464</v>
      </c>
      <c r="T52" s="227">
        <v>286406</v>
      </c>
      <c r="V52" s="228"/>
      <c r="X52" s="274"/>
    </row>
    <row r="53" spans="1:24" x14ac:dyDescent="0.15">
      <c r="A53" s="178"/>
      <c r="B53" s="179">
        <v>39242</v>
      </c>
      <c r="C53" s="180" t="s">
        <v>363</v>
      </c>
      <c r="D53" s="19">
        <v>4</v>
      </c>
      <c r="E53" s="19">
        <v>3</v>
      </c>
      <c r="F53" s="19">
        <v>2</v>
      </c>
      <c r="G53" s="19">
        <v>4</v>
      </c>
      <c r="H53" s="19">
        <v>1</v>
      </c>
      <c r="I53" s="19">
        <v>5</v>
      </c>
      <c r="J53" s="13">
        <v>2</v>
      </c>
      <c r="K53" s="229">
        <v>12954129</v>
      </c>
      <c r="L53" s="237">
        <v>1</v>
      </c>
      <c r="M53" s="229">
        <v>1270000</v>
      </c>
      <c r="N53" s="231">
        <v>42608.1</v>
      </c>
      <c r="O53" s="232">
        <v>11</v>
      </c>
      <c r="P53" s="233">
        <v>65</v>
      </c>
      <c r="Q53" s="232">
        <v>720</v>
      </c>
      <c r="R53" s="233">
        <v>7144</v>
      </c>
      <c r="S53" s="232">
        <v>73112</v>
      </c>
      <c r="T53" s="233">
        <v>688961</v>
      </c>
      <c r="V53" s="228"/>
      <c r="X53" s="274"/>
    </row>
    <row r="54" spans="1:24" x14ac:dyDescent="0.15">
      <c r="A54" s="172">
        <v>24</v>
      </c>
      <c r="B54" s="173">
        <v>39246</v>
      </c>
      <c r="C54" s="174" t="s">
        <v>362</v>
      </c>
      <c r="D54" s="27">
        <v>2</v>
      </c>
      <c r="E54" s="27">
        <v>7</v>
      </c>
      <c r="F54" s="27">
        <v>6</v>
      </c>
      <c r="G54" s="27">
        <v>2</v>
      </c>
      <c r="H54" s="27">
        <v>5</v>
      </c>
      <c r="I54" s="27">
        <v>8</v>
      </c>
      <c r="J54" s="7">
        <v>1</v>
      </c>
      <c r="K54" s="222">
        <v>6345601.5</v>
      </c>
      <c r="L54" s="223">
        <v>1</v>
      </c>
      <c r="M54" s="224">
        <v>370000</v>
      </c>
      <c r="N54" s="225">
        <v>95859.7</v>
      </c>
      <c r="O54" s="226">
        <v>5</v>
      </c>
      <c r="P54" s="227">
        <v>34</v>
      </c>
      <c r="Q54" s="226">
        <v>382</v>
      </c>
      <c r="R54" s="227">
        <v>3418</v>
      </c>
      <c r="S54" s="226">
        <v>33733</v>
      </c>
      <c r="T54" s="227">
        <v>348636</v>
      </c>
      <c r="V54" s="228"/>
      <c r="X54" s="274"/>
    </row>
    <row r="55" spans="1:24" x14ac:dyDescent="0.15">
      <c r="A55" s="178"/>
      <c r="B55" s="179">
        <v>39249</v>
      </c>
      <c r="C55" s="180" t="s">
        <v>363</v>
      </c>
      <c r="D55" s="19">
        <v>2</v>
      </c>
      <c r="E55" s="19">
        <v>6</v>
      </c>
      <c r="F55" s="19">
        <v>2</v>
      </c>
      <c r="G55" s="19">
        <v>5</v>
      </c>
      <c r="H55" s="19">
        <v>4</v>
      </c>
      <c r="I55" s="19">
        <v>4</v>
      </c>
      <c r="J55" s="13">
        <v>2</v>
      </c>
      <c r="K55" s="229">
        <v>12167595</v>
      </c>
      <c r="L55" s="230">
        <v>2</v>
      </c>
      <c r="M55" s="229">
        <v>370000</v>
      </c>
      <c r="N55" s="231">
        <v>167438.29999999999</v>
      </c>
      <c r="O55" s="232">
        <v>8</v>
      </c>
      <c r="P55" s="233">
        <v>63</v>
      </c>
      <c r="Q55" s="232">
        <v>617</v>
      </c>
      <c r="R55" s="233">
        <v>6415</v>
      </c>
      <c r="S55" s="232">
        <v>66310</v>
      </c>
      <c r="T55" s="233">
        <v>647531</v>
      </c>
      <c r="V55" s="228"/>
      <c r="X55" s="274"/>
    </row>
    <row r="56" spans="1:24" x14ac:dyDescent="0.15">
      <c r="A56" s="172">
        <v>25</v>
      </c>
      <c r="B56" s="173">
        <v>39253</v>
      </c>
      <c r="C56" s="174" t="s">
        <v>362</v>
      </c>
      <c r="D56" s="27">
        <v>5</v>
      </c>
      <c r="E56" s="27">
        <v>1</v>
      </c>
      <c r="F56" s="27">
        <v>9</v>
      </c>
      <c r="G56" s="27">
        <v>7</v>
      </c>
      <c r="H56" s="27">
        <v>0</v>
      </c>
      <c r="I56" s="27">
        <v>1</v>
      </c>
      <c r="J56" s="7">
        <v>8</v>
      </c>
      <c r="K56" s="222">
        <v>4690555.5</v>
      </c>
      <c r="L56" s="234" t="s">
        <v>23</v>
      </c>
      <c r="M56" s="224"/>
      <c r="N56" s="225">
        <v>480298.4</v>
      </c>
      <c r="O56" s="226">
        <v>3</v>
      </c>
      <c r="P56" s="227">
        <v>29</v>
      </c>
      <c r="Q56" s="226">
        <v>326</v>
      </c>
      <c r="R56" s="227">
        <v>2971</v>
      </c>
      <c r="S56" s="226">
        <v>32471</v>
      </c>
      <c r="T56" s="227">
        <v>328106</v>
      </c>
      <c r="U56" s="240"/>
      <c r="V56" s="275"/>
      <c r="X56" s="274"/>
    </row>
    <row r="57" spans="1:24" x14ac:dyDescent="0.15">
      <c r="A57" s="178"/>
      <c r="B57" s="179">
        <v>39256</v>
      </c>
      <c r="C57" s="180" t="s">
        <v>363</v>
      </c>
      <c r="D57" s="19">
        <v>9</v>
      </c>
      <c r="E57" s="19">
        <v>0</v>
      </c>
      <c r="F57" s="19">
        <v>4</v>
      </c>
      <c r="G57" s="19">
        <v>5</v>
      </c>
      <c r="H57" s="19">
        <v>4</v>
      </c>
      <c r="I57" s="19">
        <v>4</v>
      </c>
      <c r="J57" s="13">
        <v>9</v>
      </c>
      <c r="K57" s="229">
        <v>12235654.5</v>
      </c>
      <c r="L57" s="230">
        <v>2</v>
      </c>
      <c r="M57" s="229">
        <v>570000</v>
      </c>
      <c r="N57" s="231">
        <v>156416.6</v>
      </c>
      <c r="O57" s="232">
        <v>10</v>
      </c>
      <c r="P57" s="233">
        <v>68</v>
      </c>
      <c r="Q57" s="232">
        <v>734</v>
      </c>
      <c r="R57" s="233">
        <v>7127</v>
      </c>
      <c r="S57" s="232">
        <v>76283</v>
      </c>
      <c r="T57" s="233">
        <v>708626</v>
      </c>
      <c r="V57" s="228"/>
      <c r="X57" s="274"/>
    </row>
    <row r="58" spans="1:24" x14ac:dyDescent="0.15">
      <c r="A58" s="172">
        <v>26</v>
      </c>
      <c r="B58" s="173">
        <v>39260</v>
      </c>
      <c r="C58" s="174" t="s">
        <v>362</v>
      </c>
      <c r="D58" s="27">
        <v>5</v>
      </c>
      <c r="E58" s="27">
        <v>0</v>
      </c>
      <c r="F58" s="27">
        <v>8</v>
      </c>
      <c r="G58" s="27">
        <v>5</v>
      </c>
      <c r="H58" s="27">
        <v>6</v>
      </c>
      <c r="I58" s="27">
        <v>4</v>
      </c>
      <c r="J58" s="7">
        <v>8</v>
      </c>
      <c r="K58" s="222">
        <v>5241169.5</v>
      </c>
      <c r="L58" s="223">
        <v>1</v>
      </c>
      <c r="M58" s="224">
        <v>470000</v>
      </c>
      <c r="N58" s="225">
        <v>36002.6</v>
      </c>
      <c r="O58" s="226">
        <v>3</v>
      </c>
      <c r="P58" s="227">
        <v>40</v>
      </c>
      <c r="Q58" s="226">
        <v>379</v>
      </c>
      <c r="R58" s="227">
        <v>3894</v>
      </c>
      <c r="S58" s="226">
        <v>38239</v>
      </c>
      <c r="T58" s="227">
        <v>359819</v>
      </c>
      <c r="V58" s="228"/>
      <c r="X58" s="274"/>
    </row>
    <row r="59" spans="1:24" x14ac:dyDescent="0.15">
      <c r="A59" s="178"/>
      <c r="B59" s="179">
        <v>39263</v>
      </c>
      <c r="C59" s="180" t="s">
        <v>363</v>
      </c>
      <c r="D59" s="38">
        <v>3</v>
      </c>
      <c r="E59" s="38">
        <v>9</v>
      </c>
      <c r="F59" s="38">
        <v>6</v>
      </c>
      <c r="G59" s="38">
        <v>7</v>
      </c>
      <c r="H59" s="38">
        <v>9</v>
      </c>
      <c r="I59" s="38">
        <v>1</v>
      </c>
      <c r="J59" s="39">
        <v>3</v>
      </c>
      <c r="K59" s="229">
        <v>13570617</v>
      </c>
      <c r="L59" s="230">
        <v>3</v>
      </c>
      <c r="M59" s="229">
        <v>270000</v>
      </c>
      <c r="N59" s="231">
        <v>131162.79999999999</v>
      </c>
      <c r="O59" s="232">
        <v>11</v>
      </c>
      <c r="P59" s="233">
        <v>99</v>
      </c>
      <c r="Q59" s="232">
        <v>1003</v>
      </c>
      <c r="R59" s="233">
        <v>9694</v>
      </c>
      <c r="S59" s="232">
        <v>96912</v>
      </c>
      <c r="T59" s="233">
        <v>813881</v>
      </c>
      <c r="V59" s="228"/>
      <c r="X59" s="274"/>
    </row>
    <row r="60" spans="1:24" x14ac:dyDescent="0.15">
      <c r="A60" s="45"/>
      <c r="B60" s="46"/>
      <c r="C60" s="46"/>
      <c r="D60" s="276"/>
      <c r="E60" s="276"/>
      <c r="F60" s="276"/>
      <c r="G60" s="276"/>
      <c r="H60" s="276"/>
      <c r="I60" s="276" t="s">
        <v>24</v>
      </c>
      <c r="J60" s="276"/>
      <c r="K60" s="277"/>
      <c r="L60" s="278">
        <f>SUM(L8:L59)</f>
        <v>36</v>
      </c>
      <c r="M60" s="229"/>
      <c r="N60" s="278"/>
      <c r="O60" s="278">
        <f t="shared" ref="O60:T60" si="0">SUM(O8:O59)</f>
        <v>296</v>
      </c>
      <c r="P60" s="278">
        <f t="shared" si="0"/>
        <v>2783</v>
      </c>
      <c r="Q60" s="278">
        <f t="shared" si="0"/>
        <v>28369</v>
      </c>
      <c r="R60" s="278">
        <f t="shared" si="0"/>
        <v>278941</v>
      </c>
      <c r="S60" s="278">
        <f t="shared" si="0"/>
        <v>2789994</v>
      </c>
      <c r="T60" s="272">
        <f t="shared" si="0"/>
        <v>27328177</v>
      </c>
      <c r="V60" s="228"/>
      <c r="X60" s="274"/>
    </row>
    <row r="63" spans="1:24" x14ac:dyDescent="0.15">
      <c r="K63" s="254"/>
    </row>
    <row r="64" spans="1:24" ht="12.75" x14ac:dyDescent="0.2">
      <c r="A64" s="1" t="s">
        <v>364</v>
      </c>
      <c r="T64" s="3" t="s">
        <v>414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2007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366</v>
      </c>
      <c r="M68" s="18"/>
      <c r="N68" s="13" t="s">
        <v>367</v>
      </c>
      <c r="O68" s="239">
        <v>70000</v>
      </c>
      <c r="P68" s="239">
        <v>7000</v>
      </c>
      <c r="Q68" s="239">
        <v>700</v>
      </c>
      <c r="R68" s="239">
        <v>70</v>
      </c>
      <c r="S68" s="239">
        <v>7</v>
      </c>
      <c r="T68" s="239">
        <v>2.5</v>
      </c>
    </row>
    <row r="69" spans="1:24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39267</v>
      </c>
      <c r="C70" s="174" t="s">
        <v>362</v>
      </c>
      <c r="D70" s="27">
        <v>8</v>
      </c>
      <c r="E70" s="27">
        <v>2</v>
      </c>
      <c r="F70" s="27">
        <v>3</v>
      </c>
      <c r="G70" s="27">
        <v>8</v>
      </c>
      <c r="H70" s="27">
        <v>3</v>
      </c>
      <c r="I70" s="27">
        <v>7</v>
      </c>
      <c r="J70" s="7">
        <v>6</v>
      </c>
      <c r="K70" s="222">
        <v>6774105</v>
      </c>
      <c r="L70" s="223" t="s">
        <v>23</v>
      </c>
      <c r="M70" s="224"/>
      <c r="N70" s="225">
        <v>582995.6</v>
      </c>
      <c r="O70" s="226">
        <v>5</v>
      </c>
      <c r="P70" s="227">
        <v>48</v>
      </c>
      <c r="Q70" s="226">
        <v>420</v>
      </c>
      <c r="R70" s="227">
        <v>4277</v>
      </c>
      <c r="S70" s="226">
        <v>42356</v>
      </c>
      <c r="T70" s="227">
        <v>433178</v>
      </c>
      <c r="U70" s="240"/>
      <c r="V70" s="275"/>
      <c r="X70" s="274"/>
    </row>
    <row r="71" spans="1:24" x14ac:dyDescent="0.15">
      <c r="A71" s="178"/>
      <c r="B71" s="179">
        <v>39270</v>
      </c>
      <c r="C71" s="180" t="s">
        <v>363</v>
      </c>
      <c r="D71" s="19">
        <v>0</v>
      </c>
      <c r="E71" s="19">
        <v>7</v>
      </c>
      <c r="F71" s="19">
        <v>3</v>
      </c>
      <c r="G71" s="19">
        <v>9</v>
      </c>
      <c r="H71" s="19">
        <v>1</v>
      </c>
      <c r="I71" s="19">
        <v>9</v>
      </c>
      <c r="J71" s="13">
        <v>7</v>
      </c>
      <c r="K71" s="229">
        <v>15187167</v>
      </c>
      <c r="L71" s="230" t="s">
        <v>23</v>
      </c>
      <c r="M71" s="229"/>
      <c r="N71" s="231">
        <v>1595979.6</v>
      </c>
      <c r="O71" s="232">
        <v>12</v>
      </c>
      <c r="P71" s="233">
        <v>98</v>
      </c>
      <c r="Q71" s="232">
        <v>910</v>
      </c>
      <c r="R71" s="233">
        <v>9931</v>
      </c>
      <c r="S71" s="232">
        <v>97698</v>
      </c>
      <c r="T71" s="233">
        <v>1030898</v>
      </c>
      <c r="V71" s="228"/>
      <c r="X71" s="274"/>
    </row>
    <row r="72" spans="1:24" x14ac:dyDescent="0.15">
      <c r="A72" s="172">
        <v>28</v>
      </c>
      <c r="B72" s="173">
        <v>39274</v>
      </c>
      <c r="C72" s="174" t="s">
        <v>362</v>
      </c>
      <c r="D72" s="27">
        <v>9</v>
      </c>
      <c r="E72" s="27">
        <v>2</v>
      </c>
      <c r="F72" s="27">
        <v>1</v>
      </c>
      <c r="G72" s="27">
        <v>1</v>
      </c>
      <c r="H72" s="27">
        <v>8</v>
      </c>
      <c r="I72" s="27">
        <v>5</v>
      </c>
      <c r="J72" s="7">
        <v>2</v>
      </c>
      <c r="K72" s="222">
        <v>4958239.5</v>
      </c>
      <c r="L72" s="223">
        <v>1</v>
      </c>
      <c r="M72" s="224">
        <v>1870000</v>
      </c>
      <c r="N72" s="225">
        <v>56694.2</v>
      </c>
      <c r="O72" s="226">
        <v>5</v>
      </c>
      <c r="P72" s="227">
        <v>33</v>
      </c>
      <c r="Q72" s="226">
        <v>278</v>
      </c>
      <c r="R72" s="227">
        <v>2844</v>
      </c>
      <c r="S72" s="226">
        <v>27873</v>
      </c>
      <c r="T72" s="227">
        <v>265660</v>
      </c>
      <c r="V72" s="228"/>
      <c r="X72" s="274"/>
    </row>
    <row r="73" spans="1:24" x14ac:dyDescent="0.15">
      <c r="A73" s="178"/>
      <c r="B73" s="179">
        <v>39277</v>
      </c>
      <c r="C73" s="180" t="s">
        <v>363</v>
      </c>
      <c r="D73" s="19">
        <v>6</v>
      </c>
      <c r="E73" s="19">
        <v>8</v>
      </c>
      <c r="F73" s="19">
        <v>1</v>
      </c>
      <c r="G73" s="19">
        <v>0</v>
      </c>
      <c r="H73" s="19">
        <v>5</v>
      </c>
      <c r="I73" s="19">
        <v>1</v>
      </c>
      <c r="J73" s="13">
        <v>4</v>
      </c>
      <c r="K73" s="229">
        <v>12466302</v>
      </c>
      <c r="L73" s="230">
        <v>3</v>
      </c>
      <c r="M73" s="229">
        <v>270000</v>
      </c>
      <c r="N73" s="231">
        <v>78196.5</v>
      </c>
      <c r="O73" s="232">
        <v>9</v>
      </c>
      <c r="P73" s="233">
        <v>70</v>
      </c>
      <c r="Q73" s="232">
        <v>684</v>
      </c>
      <c r="R73" s="233">
        <v>7081</v>
      </c>
      <c r="S73" s="232">
        <v>71092</v>
      </c>
      <c r="T73" s="233">
        <v>720262</v>
      </c>
      <c r="V73" s="228"/>
      <c r="X73" s="274"/>
    </row>
    <row r="74" spans="1:24" x14ac:dyDescent="0.15">
      <c r="A74" s="172">
        <v>29</v>
      </c>
      <c r="B74" s="173">
        <v>39281</v>
      </c>
      <c r="C74" s="174" t="s">
        <v>362</v>
      </c>
      <c r="D74" s="27">
        <v>2</v>
      </c>
      <c r="E74" s="27">
        <v>2</v>
      </c>
      <c r="F74" s="27">
        <v>1</v>
      </c>
      <c r="G74" s="27">
        <v>4</v>
      </c>
      <c r="H74" s="27">
        <v>6</v>
      </c>
      <c r="I74" s="27">
        <v>8</v>
      </c>
      <c r="J74" s="7">
        <v>1</v>
      </c>
      <c r="K74" s="222">
        <v>4563522</v>
      </c>
      <c r="L74" s="223" t="s">
        <v>23</v>
      </c>
      <c r="M74" s="224"/>
      <c r="N74" s="225">
        <v>382583.4</v>
      </c>
      <c r="O74" s="226">
        <v>2</v>
      </c>
      <c r="P74" s="227">
        <v>21</v>
      </c>
      <c r="Q74" s="226">
        <v>243</v>
      </c>
      <c r="R74" s="227">
        <v>2560</v>
      </c>
      <c r="S74" s="226">
        <v>24946</v>
      </c>
      <c r="T74" s="227">
        <v>255137</v>
      </c>
      <c r="V74" s="228"/>
      <c r="X74" s="274"/>
    </row>
    <row r="75" spans="1:24" x14ac:dyDescent="0.15">
      <c r="A75" s="178"/>
      <c r="B75" s="179">
        <v>39284</v>
      </c>
      <c r="C75" s="180" t="s">
        <v>363</v>
      </c>
      <c r="D75" s="19">
        <v>7</v>
      </c>
      <c r="E75" s="19">
        <v>3</v>
      </c>
      <c r="F75" s="19">
        <v>5</v>
      </c>
      <c r="G75" s="19">
        <v>7</v>
      </c>
      <c r="H75" s="19">
        <v>1</v>
      </c>
      <c r="I75" s="19">
        <v>2</v>
      </c>
      <c r="J75" s="13">
        <v>2</v>
      </c>
      <c r="K75" s="229">
        <v>11963788.5</v>
      </c>
      <c r="L75" s="230">
        <v>1</v>
      </c>
      <c r="M75" s="229">
        <v>1170000</v>
      </c>
      <c r="N75" s="231">
        <v>10568.1</v>
      </c>
      <c r="O75" s="232">
        <v>7</v>
      </c>
      <c r="P75" s="233">
        <v>56</v>
      </c>
      <c r="Q75" s="232">
        <v>649</v>
      </c>
      <c r="R75" s="233">
        <v>6386</v>
      </c>
      <c r="S75" s="232">
        <v>65363</v>
      </c>
      <c r="T75" s="233">
        <v>637967</v>
      </c>
      <c r="V75" s="228"/>
      <c r="X75" s="274"/>
    </row>
    <row r="76" spans="1:24" x14ac:dyDescent="0.15">
      <c r="A76" s="172">
        <v>30</v>
      </c>
      <c r="B76" s="173">
        <v>39288</v>
      </c>
      <c r="C76" s="174" t="s">
        <v>362</v>
      </c>
      <c r="D76" s="27">
        <v>2</v>
      </c>
      <c r="E76" s="27">
        <v>1</v>
      </c>
      <c r="F76" s="27">
        <v>6</v>
      </c>
      <c r="G76" s="27">
        <v>5</v>
      </c>
      <c r="H76" s="27">
        <v>1</v>
      </c>
      <c r="I76" s="27">
        <v>5</v>
      </c>
      <c r="J76" s="7">
        <v>6</v>
      </c>
      <c r="K76" s="222">
        <v>4812823.5</v>
      </c>
      <c r="L76" s="223" t="s">
        <v>23</v>
      </c>
      <c r="M76" s="224"/>
      <c r="N76" s="225">
        <v>331583.40000000002</v>
      </c>
      <c r="O76" s="226">
        <v>1</v>
      </c>
      <c r="P76" s="227">
        <v>40</v>
      </c>
      <c r="Q76" s="226">
        <v>301</v>
      </c>
      <c r="R76" s="227">
        <v>3270</v>
      </c>
      <c r="S76" s="226">
        <v>32360</v>
      </c>
      <c r="T76" s="227">
        <v>308501</v>
      </c>
      <c r="V76" s="228"/>
      <c r="X76" s="274"/>
    </row>
    <row r="77" spans="1:24" x14ac:dyDescent="0.15">
      <c r="A77" s="178"/>
      <c r="B77" s="179">
        <v>39291</v>
      </c>
      <c r="C77" s="180" t="s">
        <v>363</v>
      </c>
      <c r="D77" s="19">
        <v>7</v>
      </c>
      <c r="E77" s="19">
        <v>4</v>
      </c>
      <c r="F77" s="19">
        <v>6</v>
      </c>
      <c r="G77" s="19">
        <v>3</v>
      </c>
      <c r="H77" s="19">
        <v>4</v>
      </c>
      <c r="I77" s="19">
        <v>4</v>
      </c>
      <c r="J77" s="13">
        <v>0</v>
      </c>
      <c r="K77" s="229">
        <v>11797867.5</v>
      </c>
      <c r="L77" s="230">
        <v>1</v>
      </c>
      <c r="M77" s="229">
        <v>1070000</v>
      </c>
      <c r="N77" s="231">
        <v>48501.2</v>
      </c>
      <c r="O77" s="232">
        <v>2</v>
      </c>
      <c r="P77" s="233">
        <v>52</v>
      </c>
      <c r="Q77" s="232">
        <v>591</v>
      </c>
      <c r="R77" s="233">
        <v>5568</v>
      </c>
      <c r="S77" s="232">
        <v>53915</v>
      </c>
      <c r="T77" s="233">
        <v>544576</v>
      </c>
      <c r="V77" s="228"/>
      <c r="X77" s="274"/>
    </row>
    <row r="78" spans="1:24" x14ac:dyDescent="0.15">
      <c r="A78" s="172">
        <v>31</v>
      </c>
      <c r="B78" s="173">
        <v>39296</v>
      </c>
      <c r="C78" s="174" t="s">
        <v>362</v>
      </c>
      <c r="D78" s="27">
        <v>7</v>
      </c>
      <c r="E78" s="27">
        <v>1</v>
      </c>
      <c r="F78" s="27">
        <v>4</v>
      </c>
      <c r="G78" s="27">
        <v>4</v>
      </c>
      <c r="H78" s="27">
        <v>9</v>
      </c>
      <c r="I78" s="27">
        <v>6</v>
      </c>
      <c r="J78" s="7">
        <v>8</v>
      </c>
      <c r="K78" s="222">
        <v>4775443.5</v>
      </c>
      <c r="L78" s="223"/>
      <c r="M78" s="224"/>
      <c r="N78" s="225">
        <v>367023.3</v>
      </c>
      <c r="O78" s="226">
        <v>3</v>
      </c>
      <c r="P78" s="227">
        <v>37</v>
      </c>
      <c r="Q78" s="226">
        <v>348</v>
      </c>
      <c r="R78" s="227">
        <v>3690</v>
      </c>
      <c r="S78" s="226">
        <v>34204</v>
      </c>
      <c r="T78" s="227">
        <v>332826</v>
      </c>
      <c r="V78" s="228"/>
      <c r="X78" s="274"/>
    </row>
    <row r="79" spans="1:24" x14ac:dyDescent="0.15">
      <c r="A79" s="178"/>
      <c r="B79" s="179">
        <v>39298</v>
      </c>
      <c r="C79" s="180" t="s">
        <v>363</v>
      </c>
      <c r="D79" s="19">
        <v>6</v>
      </c>
      <c r="E79" s="19">
        <v>1</v>
      </c>
      <c r="F79" s="19">
        <v>3</v>
      </c>
      <c r="G79" s="19">
        <v>6</v>
      </c>
      <c r="H79" s="19">
        <v>7</v>
      </c>
      <c r="I79" s="19">
        <v>5</v>
      </c>
      <c r="J79" s="13">
        <v>9</v>
      </c>
      <c r="K79" s="229">
        <v>11904418.5</v>
      </c>
      <c r="L79" s="230" t="s">
        <v>23</v>
      </c>
      <c r="M79" s="229"/>
      <c r="N79" s="231">
        <v>1161048</v>
      </c>
      <c r="O79" s="232">
        <v>8</v>
      </c>
      <c r="P79" s="233">
        <v>78</v>
      </c>
      <c r="Q79" s="232">
        <v>712</v>
      </c>
      <c r="R79" s="233">
        <v>7188</v>
      </c>
      <c r="S79" s="232">
        <v>71678</v>
      </c>
      <c r="T79" s="233">
        <v>690265</v>
      </c>
      <c r="V79" s="228"/>
      <c r="X79" s="274"/>
    </row>
    <row r="80" spans="1:24" x14ac:dyDescent="0.15">
      <c r="A80" s="172">
        <v>32</v>
      </c>
      <c r="B80" s="173">
        <v>39302</v>
      </c>
      <c r="C80" s="174" t="s">
        <v>362</v>
      </c>
      <c r="D80" s="27">
        <v>1</v>
      </c>
      <c r="E80" s="27">
        <v>3</v>
      </c>
      <c r="F80" s="27">
        <v>7</v>
      </c>
      <c r="G80" s="27">
        <v>5</v>
      </c>
      <c r="H80" s="27">
        <v>1</v>
      </c>
      <c r="I80" s="27">
        <v>1</v>
      </c>
      <c r="J80" s="7">
        <v>4</v>
      </c>
      <c r="K80" s="222">
        <v>4683615</v>
      </c>
      <c r="L80" s="234" t="s">
        <v>23</v>
      </c>
      <c r="M80" s="224"/>
      <c r="N80" s="225">
        <v>1473445.1</v>
      </c>
      <c r="O80" s="236">
        <v>2</v>
      </c>
      <c r="P80" s="227">
        <v>37</v>
      </c>
      <c r="Q80" s="226">
        <v>259</v>
      </c>
      <c r="R80" s="227">
        <v>2517</v>
      </c>
      <c r="S80" s="226">
        <v>26866</v>
      </c>
      <c r="T80" s="227">
        <v>270129</v>
      </c>
      <c r="V80" s="228"/>
      <c r="X80" s="274"/>
    </row>
    <row r="81" spans="1:24" x14ac:dyDescent="0.15">
      <c r="A81" s="178"/>
      <c r="B81" s="179">
        <v>39305</v>
      </c>
      <c r="C81" s="180" t="s">
        <v>363</v>
      </c>
      <c r="D81" s="19">
        <v>3</v>
      </c>
      <c r="E81" s="19">
        <v>3</v>
      </c>
      <c r="F81" s="19">
        <v>3</v>
      </c>
      <c r="G81" s="19">
        <v>5</v>
      </c>
      <c r="H81" s="19">
        <v>5</v>
      </c>
      <c r="I81" s="19">
        <v>6</v>
      </c>
      <c r="J81" s="13">
        <v>7</v>
      </c>
      <c r="K81" s="229">
        <v>12372697.5</v>
      </c>
      <c r="L81" s="230">
        <v>1</v>
      </c>
      <c r="M81" s="229">
        <v>2270000</v>
      </c>
      <c r="N81" s="231">
        <v>28704</v>
      </c>
      <c r="O81" s="232">
        <v>9</v>
      </c>
      <c r="P81" s="233">
        <v>79</v>
      </c>
      <c r="Q81" s="232">
        <v>842</v>
      </c>
      <c r="R81" s="233">
        <v>8627</v>
      </c>
      <c r="S81" s="232">
        <v>81593</v>
      </c>
      <c r="T81" s="233">
        <v>830016</v>
      </c>
      <c r="V81" s="228"/>
      <c r="X81" s="274"/>
    </row>
    <row r="82" spans="1:24" x14ac:dyDescent="0.15">
      <c r="A82" s="172">
        <v>33</v>
      </c>
      <c r="B82" s="173">
        <v>39309</v>
      </c>
      <c r="C82" s="174" t="s">
        <v>362</v>
      </c>
      <c r="D82" s="27">
        <v>0</v>
      </c>
      <c r="E82" s="27">
        <v>8</v>
      </c>
      <c r="F82" s="27">
        <v>3</v>
      </c>
      <c r="G82" s="27">
        <v>4</v>
      </c>
      <c r="H82" s="27">
        <v>0</v>
      </c>
      <c r="I82" s="27">
        <v>2</v>
      </c>
      <c r="J82" s="7">
        <v>5</v>
      </c>
      <c r="K82" s="222">
        <v>4481554.5</v>
      </c>
      <c r="L82" s="223" t="s">
        <v>23</v>
      </c>
      <c r="M82" s="279"/>
      <c r="N82" s="225">
        <v>327623.7</v>
      </c>
      <c r="O82" s="226">
        <v>1</v>
      </c>
      <c r="P82" s="227">
        <v>31</v>
      </c>
      <c r="Q82" s="226">
        <v>276</v>
      </c>
      <c r="R82" s="227">
        <v>2916</v>
      </c>
      <c r="S82" s="226">
        <v>31494</v>
      </c>
      <c r="T82" s="227">
        <v>305862</v>
      </c>
      <c r="V82" s="228"/>
      <c r="X82" s="274"/>
    </row>
    <row r="83" spans="1:24" x14ac:dyDescent="0.15">
      <c r="A83" s="178"/>
      <c r="B83" s="179">
        <v>39312</v>
      </c>
      <c r="C83" s="180" t="s">
        <v>363</v>
      </c>
      <c r="D83" s="19">
        <v>5</v>
      </c>
      <c r="E83" s="19">
        <v>9</v>
      </c>
      <c r="F83" s="19">
        <v>7</v>
      </c>
      <c r="G83" s="19">
        <v>5</v>
      </c>
      <c r="H83" s="19">
        <v>3</v>
      </c>
      <c r="I83" s="19">
        <v>7</v>
      </c>
      <c r="J83" s="13">
        <v>3</v>
      </c>
      <c r="K83" s="229">
        <v>11838520.5</v>
      </c>
      <c r="L83" s="230">
        <v>1</v>
      </c>
      <c r="M83" s="229">
        <v>1070000</v>
      </c>
      <c r="N83" s="231">
        <v>47253</v>
      </c>
      <c r="O83" s="232">
        <v>6</v>
      </c>
      <c r="P83" s="233">
        <v>82</v>
      </c>
      <c r="Q83" s="232">
        <v>707</v>
      </c>
      <c r="R83" s="233">
        <v>7333</v>
      </c>
      <c r="S83" s="232">
        <v>71827</v>
      </c>
      <c r="T83" s="233">
        <v>722731</v>
      </c>
      <c r="V83" s="228"/>
      <c r="X83" s="274"/>
    </row>
    <row r="84" spans="1:24" x14ac:dyDescent="0.15">
      <c r="A84" s="172">
        <v>34</v>
      </c>
      <c r="B84" s="173">
        <v>39316</v>
      </c>
      <c r="C84" s="174" t="s">
        <v>362</v>
      </c>
      <c r="D84" s="27">
        <v>7</v>
      </c>
      <c r="E84" s="27">
        <v>8</v>
      </c>
      <c r="F84" s="27">
        <v>4</v>
      </c>
      <c r="G84" s="27">
        <v>3</v>
      </c>
      <c r="H84" s="27">
        <v>3</v>
      </c>
      <c r="I84" s="27">
        <v>0</v>
      </c>
      <c r="J84" s="7">
        <v>6</v>
      </c>
      <c r="K84" s="222">
        <v>4626322.5</v>
      </c>
      <c r="L84" s="223">
        <v>1</v>
      </c>
      <c r="M84" s="224">
        <v>270000</v>
      </c>
      <c r="N84" s="225">
        <v>85828.7</v>
      </c>
      <c r="O84" s="226">
        <v>5</v>
      </c>
      <c r="P84" s="227">
        <v>22</v>
      </c>
      <c r="Q84" s="226">
        <v>287</v>
      </c>
      <c r="R84" s="227">
        <v>2695</v>
      </c>
      <c r="S84" s="226">
        <v>26581</v>
      </c>
      <c r="T84" s="227">
        <v>301836</v>
      </c>
      <c r="V84" s="228"/>
      <c r="X84" s="274"/>
    </row>
    <row r="85" spans="1:24" x14ac:dyDescent="0.15">
      <c r="A85" s="178"/>
      <c r="B85" s="179">
        <v>39319</v>
      </c>
      <c r="C85" s="180" t="s">
        <v>363</v>
      </c>
      <c r="D85" s="19">
        <v>7</v>
      </c>
      <c r="E85" s="19">
        <v>9</v>
      </c>
      <c r="F85" s="19">
        <v>6</v>
      </c>
      <c r="G85" s="19">
        <v>1</v>
      </c>
      <c r="H85" s="19">
        <v>5</v>
      </c>
      <c r="I85" s="19">
        <v>3</v>
      </c>
      <c r="J85" s="13">
        <v>7</v>
      </c>
      <c r="K85" s="229">
        <v>12199294.5</v>
      </c>
      <c r="L85" s="230" t="s">
        <v>23</v>
      </c>
      <c r="M85" s="229"/>
      <c r="N85" s="231">
        <v>899521.6</v>
      </c>
      <c r="O85" s="232">
        <v>10</v>
      </c>
      <c r="P85" s="233">
        <v>87</v>
      </c>
      <c r="Q85" s="232">
        <v>798</v>
      </c>
      <c r="R85" s="233">
        <v>8296</v>
      </c>
      <c r="S85" s="232">
        <v>81173</v>
      </c>
      <c r="T85" s="233">
        <v>818542</v>
      </c>
      <c r="V85" s="228"/>
      <c r="X85" s="274"/>
    </row>
    <row r="86" spans="1:24" x14ac:dyDescent="0.15">
      <c r="A86" s="172">
        <v>35</v>
      </c>
      <c r="B86" s="173">
        <v>39323</v>
      </c>
      <c r="C86" s="174" t="s">
        <v>362</v>
      </c>
      <c r="D86" s="27">
        <v>2</v>
      </c>
      <c r="E86" s="27">
        <v>2</v>
      </c>
      <c r="F86" s="27">
        <v>1</v>
      </c>
      <c r="G86" s="27">
        <v>5</v>
      </c>
      <c r="H86" s="27">
        <v>2</v>
      </c>
      <c r="I86" s="27">
        <v>1</v>
      </c>
      <c r="J86" s="7">
        <v>9</v>
      </c>
      <c r="K86" s="222">
        <v>5148031.5</v>
      </c>
      <c r="L86" s="223" t="s">
        <v>23</v>
      </c>
      <c r="M86" s="224"/>
      <c r="N86" s="225">
        <v>1242895.3</v>
      </c>
      <c r="O86" s="226">
        <v>3</v>
      </c>
      <c r="P86" s="227">
        <v>31</v>
      </c>
      <c r="Q86" s="226">
        <v>283</v>
      </c>
      <c r="R86" s="227">
        <v>2943</v>
      </c>
      <c r="S86" s="226">
        <v>28059</v>
      </c>
      <c r="T86" s="227">
        <v>290211</v>
      </c>
      <c r="V86" s="228"/>
      <c r="X86" s="274"/>
    </row>
    <row r="87" spans="1:24" x14ac:dyDescent="0.15">
      <c r="A87" s="178"/>
      <c r="B87" s="179">
        <v>39326</v>
      </c>
      <c r="C87" s="180" t="s">
        <v>363</v>
      </c>
      <c r="D87" s="19">
        <v>0</v>
      </c>
      <c r="E87" s="19">
        <v>2</v>
      </c>
      <c r="F87" s="19">
        <v>0</v>
      </c>
      <c r="G87" s="19">
        <v>9</v>
      </c>
      <c r="H87" s="19">
        <v>9</v>
      </c>
      <c r="I87" s="19">
        <v>5</v>
      </c>
      <c r="J87" s="13">
        <v>7</v>
      </c>
      <c r="K87" s="229">
        <v>13504417.5</v>
      </c>
      <c r="L87" s="230">
        <v>3</v>
      </c>
      <c r="M87" s="229">
        <v>670000</v>
      </c>
      <c r="N87" s="231">
        <v>133639.9</v>
      </c>
      <c r="O87" s="232">
        <v>9</v>
      </c>
      <c r="P87" s="233">
        <v>85</v>
      </c>
      <c r="Q87" s="232">
        <v>909</v>
      </c>
      <c r="R87" s="233">
        <v>9759</v>
      </c>
      <c r="S87" s="232">
        <v>93338</v>
      </c>
      <c r="T87" s="233">
        <v>903286</v>
      </c>
      <c r="V87" s="228"/>
      <c r="X87" s="274"/>
    </row>
    <row r="88" spans="1:24" x14ac:dyDescent="0.15">
      <c r="A88" s="172">
        <v>36</v>
      </c>
      <c r="B88" s="173">
        <v>39330</v>
      </c>
      <c r="C88" s="174" t="s">
        <v>362</v>
      </c>
      <c r="D88" s="27">
        <v>9</v>
      </c>
      <c r="E88" s="27">
        <v>8</v>
      </c>
      <c r="F88" s="27">
        <v>5</v>
      </c>
      <c r="G88" s="27">
        <v>4</v>
      </c>
      <c r="H88" s="27">
        <v>5</v>
      </c>
      <c r="I88" s="27">
        <v>5</v>
      </c>
      <c r="J88" s="7">
        <v>9</v>
      </c>
      <c r="K88" s="222">
        <v>6530794.5</v>
      </c>
      <c r="L88" s="223" t="s">
        <v>23</v>
      </c>
      <c r="M88" s="224"/>
      <c r="N88" s="225">
        <v>569243.9</v>
      </c>
      <c r="O88" s="226" t="s">
        <v>17</v>
      </c>
      <c r="P88" s="227">
        <v>38</v>
      </c>
      <c r="Q88" s="226">
        <v>401</v>
      </c>
      <c r="R88" s="227">
        <v>3700</v>
      </c>
      <c r="S88" s="226">
        <v>38587</v>
      </c>
      <c r="T88" s="227">
        <v>369681</v>
      </c>
      <c r="V88" s="228"/>
      <c r="X88" s="274"/>
    </row>
    <row r="89" spans="1:24" x14ac:dyDescent="0.15">
      <c r="A89" s="178"/>
      <c r="B89" s="179">
        <v>39333</v>
      </c>
      <c r="C89" s="180" t="s">
        <v>363</v>
      </c>
      <c r="D89" s="19">
        <v>8</v>
      </c>
      <c r="E89" s="19">
        <v>3</v>
      </c>
      <c r="F89" s="19">
        <v>8</v>
      </c>
      <c r="G89" s="19">
        <v>9</v>
      </c>
      <c r="H89" s="19">
        <v>0</v>
      </c>
      <c r="I89" s="19">
        <v>5</v>
      </c>
      <c r="J89" s="13">
        <v>9</v>
      </c>
      <c r="K89" s="229">
        <v>15039711</v>
      </c>
      <c r="L89" s="230" t="s">
        <v>23</v>
      </c>
      <c r="M89" s="229"/>
      <c r="N89" s="231">
        <v>1572392.6</v>
      </c>
      <c r="O89" s="232">
        <v>11</v>
      </c>
      <c r="P89" s="233">
        <v>89</v>
      </c>
      <c r="Q89" s="232">
        <v>891</v>
      </c>
      <c r="R89" s="233">
        <v>8827</v>
      </c>
      <c r="S89" s="232">
        <v>92019</v>
      </c>
      <c r="T89" s="233">
        <v>879705</v>
      </c>
      <c r="V89" s="228"/>
      <c r="X89" s="274"/>
    </row>
    <row r="90" spans="1:24" x14ac:dyDescent="0.15">
      <c r="A90" s="172">
        <v>37</v>
      </c>
      <c r="B90" s="173">
        <v>39337</v>
      </c>
      <c r="C90" s="174" t="s">
        <v>362</v>
      </c>
      <c r="D90" s="27">
        <v>6</v>
      </c>
      <c r="E90" s="27">
        <v>6</v>
      </c>
      <c r="F90" s="27">
        <v>4</v>
      </c>
      <c r="G90" s="27">
        <v>3</v>
      </c>
      <c r="H90" s="27">
        <v>8</v>
      </c>
      <c r="I90" s="27">
        <v>0</v>
      </c>
      <c r="J90" s="7">
        <v>6</v>
      </c>
      <c r="K90" s="222">
        <v>4896202.5</v>
      </c>
      <c r="L90" s="223" t="s">
        <v>23</v>
      </c>
      <c r="M90" s="224"/>
      <c r="N90" s="225">
        <v>1898969.3</v>
      </c>
      <c r="O90" s="226">
        <v>4</v>
      </c>
      <c r="P90" s="227">
        <v>27</v>
      </c>
      <c r="Q90" s="226">
        <v>271</v>
      </c>
      <c r="R90" s="227">
        <v>2776</v>
      </c>
      <c r="S90" s="226">
        <v>28283</v>
      </c>
      <c r="T90" s="227">
        <v>319137</v>
      </c>
      <c r="V90" s="228"/>
      <c r="X90" s="274"/>
    </row>
    <row r="91" spans="1:24" x14ac:dyDescent="0.15">
      <c r="A91" s="178"/>
      <c r="B91" s="179">
        <v>39340</v>
      </c>
      <c r="C91" s="180" t="s">
        <v>363</v>
      </c>
      <c r="D91" s="19">
        <v>6</v>
      </c>
      <c r="E91" s="19">
        <v>2</v>
      </c>
      <c r="F91" s="19">
        <v>3</v>
      </c>
      <c r="G91" s="19">
        <v>9</v>
      </c>
      <c r="H91" s="19">
        <v>2</v>
      </c>
      <c r="I91" s="19">
        <v>8</v>
      </c>
      <c r="J91" s="13">
        <v>2</v>
      </c>
      <c r="K91" s="229">
        <v>12242835</v>
      </c>
      <c r="L91" s="230">
        <v>2</v>
      </c>
      <c r="M91" s="229">
        <v>1270000</v>
      </c>
      <c r="N91" s="231">
        <v>175566.4</v>
      </c>
      <c r="O91" s="232">
        <v>6</v>
      </c>
      <c r="P91" s="233">
        <v>57</v>
      </c>
      <c r="Q91" s="232">
        <v>645</v>
      </c>
      <c r="R91" s="233">
        <v>6523</v>
      </c>
      <c r="S91" s="232">
        <v>65592</v>
      </c>
      <c r="T91" s="233">
        <v>654520</v>
      </c>
      <c r="V91" s="228"/>
      <c r="X91" s="274"/>
    </row>
    <row r="92" spans="1:24" x14ac:dyDescent="0.15">
      <c r="A92" s="172">
        <v>38</v>
      </c>
      <c r="B92" s="173">
        <v>39344</v>
      </c>
      <c r="C92" s="174" t="s">
        <v>362</v>
      </c>
      <c r="D92" s="27">
        <v>4</v>
      </c>
      <c r="E92" s="27">
        <v>2</v>
      </c>
      <c r="F92" s="27">
        <v>0</v>
      </c>
      <c r="G92" s="27">
        <v>1</v>
      </c>
      <c r="H92" s="27">
        <v>0</v>
      </c>
      <c r="I92" s="27">
        <v>3</v>
      </c>
      <c r="J92" s="7">
        <v>1</v>
      </c>
      <c r="K92" s="222">
        <v>4584202.5</v>
      </c>
      <c r="L92" s="223">
        <v>2</v>
      </c>
      <c r="M92" s="224">
        <v>170000</v>
      </c>
      <c r="N92" s="225">
        <v>141332.70000000001</v>
      </c>
      <c r="O92" s="226">
        <v>2</v>
      </c>
      <c r="P92" s="227">
        <v>29</v>
      </c>
      <c r="Q92" s="226">
        <v>287</v>
      </c>
      <c r="R92" s="227">
        <v>2431</v>
      </c>
      <c r="S92" s="226">
        <v>26310</v>
      </c>
      <c r="T92" s="227">
        <v>250289</v>
      </c>
      <c r="V92" s="228"/>
      <c r="X92" s="274"/>
    </row>
    <row r="93" spans="1:24" x14ac:dyDescent="0.15">
      <c r="A93" s="178"/>
      <c r="B93" s="179">
        <v>39347</v>
      </c>
      <c r="C93" s="180" t="s">
        <v>363</v>
      </c>
      <c r="D93" s="19">
        <v>1</v>
      </c>
      <c r="E93" s="19">
        <v>4</v>
      </c>
      <c r="F93" s="19">
        <v>3</v>
      </c>
      <c r="G93" s="19">
        <v>9</v>
      </c>
      <c r="H93" s="19">
        <v>6</v>
      </c>
      <c r="I93" s="19">
        <v>9</v>
      </c>
      <c r="J93" s="13">
        <v>9</v>
      </c>
      <c r="K93" s="229">
        <v>11956720.5</v>
      </c>
      <c r="L93" s="230" t="s">
        <v>23</v>
      </c>
      <c r="M93" s="229"/>
      <c r="N93" s="231">
        <v>938846</v>
      </c>
      <c r="O93" s="232">
        <v>5</v>
      </c>
      <c r="P93" s="233">
        <v>58</v>
      </c>
      <c r="Q93" s="232">
        <v>719</v>
      </c>
      <c r="R93" s="233">
        <v>7014</v>
      </c>
      <c r="S93" s="232">
        <v>69407</v>
      </c>
      <c r="T93" s="233">
        <v>713615</v>
      </c>
      <c r="V93" s="228"/>
      <c r="X93" s="274"/>
    </row>
    <row r="94" spans="1:24" x14ac:dyDescent="0.15">
      <c r="A94" s="172">
        <v>39</v>
      </c>
      <c r="B94" s="173">
        <v>39351</v>
      </c>
      <c r="C94" s="174" t="s">
        <v>362</v>
      </c>
      <c r="D94" s="27">
        <v>7</v>
      </c>
      <c r="E94" s="27">
        <v>0</v>
      </c>
      <c r="F94" s="27">
        <v>3</v>
      </c>
      <c r="G94" s="27">
        <v>5</v>
      </c>
      <c r="H94" s="27">
        <v>1</v>
      </c>
      <c r="I94" s="27">
        <v>3</v>
      </c>
      <c r="J94" s="7">
        <v>6</v>
      </c>
      <c r="K94" s="222">
        <v>4839730.5</v>
      </c>
      <c r="L94" s="234">
        <v>1</v>
      </c>
      <c r="M94" s="224">
        <v>1170000</v>
      </c>
      <c r="N94" s="225">
        <v>91656</v>
      </c>
      <c r="O94" s="226">
        <v>7</v>
      </c>
      <c r="P94" s="227">
        <v>37</v>
      </c>
      <c r="Q94" s="226">
        <v>313</v>
      </c>
      <c r="R94" s="227">
        <v>3209</v>
      </c>
      <c r="S94" s="226">
        <v>32677</v>
      </c>
      <c r="T94" s="227">
        <v>312293</v>
      </c>
      <c r="V94" s="228"/>
      <c r="X94" s="274"/>
    </row>
    <row r="95" spans="1:24" x14ac:dyDescent="0.15">
      <c r="A95" s="178"/>
      <c r="B95" s="179">
        <v>39354</v>
      </c>
      <c r="C95" s="180" t="s">
        <v>363</v>
      </c>
      <c r="D95" s="19">
        <v>1</v>
      </c>
      <c r="E95" s="19">
        <v>6</v>
      </c>
      <c r="F95" s="19">
        <v>1</v>
      </c>
      <c r="G95" s="19">
        <v>4</v>
      </c>
      <c r="H95" s="19">
        <v>5</v>
      </c>
      <c r="I95" s="19">
        <v>6</v>
      </c>
      <c r="J95" s="13">
        <v>8</v>
      </c>
      <c r="K95" s="229">
        <v>12718482</v>
      </c>
      <c r="L95" s="230" t="s">
        <v>23</v>
      </c>
      <c r="M95" s="229"/>
      <c r="N95" s="231">
        <v>939978.7</v>
      </c>
      <c r="O95" s="232">
        <v>10</v>
      </c>
      <c r="P95" s="233">
        <v>94</v>
      </c>
      <c r="Q95" s="232">
        <v>917</v>
      </c>
      <c r="R95" s="233">
        <v>9274</v>
      </c>
      <c r="S95" s="232">
        <v>91637</v>
      </c>
      <c r="T95" s="233">
        <v>874339</v>
      </c>
      <c r="V95" s="228"/>
      <c r="X95" s="274"/>
    </row>
    <row r="96" spans="1:24" x14ac:dyDescent="0.15">
      <c r="A96" s="172">
        <v>40</v>
      </c>
      <c r="B96" s="173">
        <v>39358</v>
      </c>
      <c r="C96" s="174" t="s">
        <v>362</v>
      </c>
      <c r="D96" s="27">
        <v>5</v>
      </c>
      <c r="E96" s="27">
        <v>6</v>
      </c>
      <c r="F96" s="27">
        <v>4</v>
      </c>
      <c r="G96" s="27">
        <v>4</v>
      </c>
      <c r="H96" s="27">
        <v>8</v>
      </c>
      <c r="I96" s="27">
        <v>9</v>
      </c>
      <c r="J96" s="7">
        <v>7</v>
      </c>
      <c r="K96" s="222">
        <v>5565858</v>
      </c>
      <c r="L96" s="234" t="s">
        <v>23</v>
      </c>
      <c r="M96" s="224"/>
      <c r="N96" s="225">
        <v>1311221.3999999999</v>
      </c>
      <c r="O96" s="226">
        <v>6</v>
      </c>
      <c r="P96" s="227">
        <v>33</v>
      </c>
      <c r="Q96" s="226">
        <v>335</v>
      </c>
      <c r="R96" s="227">
        <v>3497</v>
      </c>
      <c r="S96" s="226">
        <v>34483</v>
      </c>
      <c r="T96" s="227">
        <v>368856</v>
      </c>
      <c r="V96" s="228"/>
      <c r="X96" s="274"/>
    </row>
    <row r="97" spans="1:24" x14ac:dyDescent="0.15">
      <c r="A97" s="178"/>
      <c r="B97" s="179">
        <v>39361</v>
      </c>
      <c r="C97" s="180" t="s">
        <v>363</v>
      </c>
      <c r="D97" s="19">
        <v>9</v>
      </c>
      <c r="E97" s="19">
        <v>8</v>
      </c>
      <c r="F97" s="19">
        <v>7</v>
      </c>
      <c r="G97" s="19">
        <v>7</v>
      </c>
      <c r="H97" s="19">
        <v>2</v>
      </c>
      <c r="I97" s="19">
        <v>5</v>
      </c>
      <c r="J97" s="13">
        <v>4</v>
      </c>
      <c r="K97" s="229">
        <v>13765713</v>
      </c>
      <c r="L97" s="230">
        <v>1</v>
      </c>
      <c r="M97" s="229">
        <v>2170000</v>
      </c>
      <c r="N97" s="231">
        <v>59394.5</v>
      </c>
      <c r="O97" s="232">
        <v>5</v>
      </c>
      <c r="P97" s="233">
        <v>70</v>
      </c>
      <c r="Q97" s="232">
        <v>876</v>
      </c>
      <c r="R97" s="233">
        <v>8295</v>
      </c>
      <c r="S97" s="232">
        <v>83378</v>
      </c>
      <c r="T97" s="233">
        <v>790763</v>
      </c>
      <c r="V97" s="228"/>
      <c r="X97" s="274"/>
    </row>
    <row r="98" spans="1:24" x14ac:dyDescent="0.15">
      <c r="A98" s="172">
        <v>41</v>
      </c>
      <c r="B98" s="173">
        <v>39365</v>
      </c>
      <c r="C98" s="174" t="s">
        <v>362</v>
      </c>
      <c r="D98" s="27">
        <v>9</v>
      </c>
      <c r="E98" s="27">
        <v>3</v>
      </c>
      <c r="F98" s="27">
        <v>7</v>
      </c>
      <c r="G98" s="27">
        <v>3</v>
      </c>
      <c r="H98" s="27">
        <v>4</v>
      </c>
      <c r="I98" s="27">
        <v>6</v>
      </c>
      <c r="J98" s="7">
        <v>8</v>
      </c>
      <c r="K98" s="222">
        <v>4734241.5</v>
      </c>
      <c r="L98" s="223">
        <v>1</v>
      </c>
      <c r="M98" s="224">
        <v>370000</v>
      </c>
      <c r="N98" s="225">
        <v>5168.3999999999996</v>
      </c>
      <c r="O98" s="226">
        <v>1</v>
      </c>
      <c r="P98" s="227">
        <v>37</v>
      </c>
      <c r="Q98" s="226">
        <v>345</v>
      </c>
      <c r="R98" s="227">
        <v>3647</v>
      </c>
      <c r="S98" s="226">
        <v>34033</v>
      </c>
      <c r="T98" s="227">
        <v>325471</v>
      </c>
      <c r="V98" s="228"/>
      <c r="X98" s="274"/>
    </row>
    <row r="99" spans="1:24" x14ac:dyDescent="0.15">
      <c r="A99" s="178"/>
      <c r="B99" s="179">
        <v>39368</v>
      </c>
      <c r="C99" s="180" t="s">
        <v>363</v>
      </c>
      <c r="D99" s="19">
        <v>5</v>
      </c>
      <c r="E99" s="19">
        <v>9</v>
      </c>
      <c r="F99" s="19">
        <v>6</v>
      </c>
      <c r="G99" s="19">
        <v>9</v>
      </c>
      <c r="H99" s="19">
        <v>1</v>
      </c>
      <c r="I99" s="19">
        <v>9</v>
      </c>
      <c r="J99" s="13">
        <v>5</v>
      </c>
      <c r="K99" s="229">
        <v>12236520</v>
      </c>
      <c r="L99" s="230" t="s">
        <v>23</v>
      </c>
      <c r="M99" s="229"/>
      <c r="N99" s="231">
        <v>821344.3</v>
      </c>
      <c r="O99" s="232">
        <v>10</v>
      </c>
      <c r="P99" s="233">
        <v>88</v>
      </c>
      <c r="Q99" s="232">
        <v>762</v>
      </c>
      <c r="R99" s="233">
        <v>8096</v>
      </c>
      <c r="S99" s="232">
        <v>79220</v>
      </c>
      <c r="T99" s="233">
        <v>835689</v>
      </c>
      <c r="V99" s="228"/>
      <c r="X99" s="274"/>
    </row>
    <row r="100" spans="1:24" x14ac:dyDescent="0.15">
      <c r="A100" s="172">
        <v>42</v>
      </c>
      <c r="B100" s="173">
        <v>39372</v>
      </c>
      <c r="C100" s="174" t="s">
        <v>362</v>
      </c>
      <c r="D100" s="27">
        <v>6</v>
      </c>
      <c r="E100" s="27">
        <v>0</v>
      </c>
      <c r="F100" s="27">
        <v>7</v>
      </c>
      <c r="G100" s="27">
        <v>3</v>
      </c>
      <c r="H100" s="27">
        <v>1</v>
      </c>
      <c r="I100" s="27">
        <v>2</v>
      </c>
      <c r="J100" s="7">
        <v>5</v>
      </c>
      <c r="K100" s="222">
        <v>4538784</v>
      </c>
      <c r="L100" s="234" t="s">
        <v>23</v>
      </c>
      <c r="M100" s="224"/>
      <c r="N100" s="225">
        <v>1124081.2</v>
      </c>
      <c r="O100" s="226">
        <v>3</v>
      </c>
      <c r="P100" s="227">
        <v>30</v>
      </c>
      <c r="Q100" s="226">
        <v>343</v>
      </c>
      <c r="R100" s="227">
        <v>3067</v>
      </c>
      <c r="S100" s="226">
        <v>31514</v>
      </c>
      <c r="T100" s="227">
        <v>306107</v>
      </c>
      <c r="V100" s="228"/>
      <c r="X100" s="274"/>
    </row>
    <row r="101" spans="1:24" x14ac:dyDescent="0.15">
      <c r="A101" s="178"/>
      <c r="B101" s="179">
        <v>39375</v>
      </c>
      <c r="C101" s="180" t="s">
        <v>363</v>
      </c>
      <c r="D101" s="19">
        <v>0</v>
      </c>
      <c r="E101" s="19">
        <v>7</v>
      </c>
      <c r="F101" s="19">
        <v>6</v>
      </c>
      <c r="G101" s="19">
        <v>9</v>
      </c>
      <c r="H101" s="19">
        <v>4</v>
      </c>
      <c r="I101" s="19">
        <v>5</v>
      </c>
      <c r="J101" s="13">
        <v>5</v>
      </c>
      <c r="K101" s="229">
        <v>11813317.5</v>
      </c>
      <c r="L101" s="237" t="s">
        <v>23</v>
      </c>
      <c r="M101" s="229"/>
      <c r="N101" s="231">
        <v>1912029.5</v>
      </c>
      <c r="O101" s="232">
        <v>9</v>
      </c>
      <c r="P101" s="233">
        <v>90</v>
      </c>
      <c r="Q101" s="232">
        <v>822</v>
      </c>
      <c r="R101" s="233">
        <v>8635</v>
      </c>
      <c r="S101" s="232">
        <v>86662</v>
      </c>
      <c r="T101" s="233">
        <v>800330</v>
      </c>
      <c r="U101" s="228"/>
      <c r="V101" s="228"/>
      <c r="X101" s="274"/>
    </row>
    <row r="102" spans="1:24" x14ac:dyDescent="0.15">
      <c r="A102" s="172">
        <v>43</v>
      </c>
      <c r="B102" s="173">
        <v>39379</v>
      </c>
      <c r="C102" s="174" t="s">
        <v>362</v>
      </c>
      <c r="D102" s="27">
        <v>2</v>
      </c>
      <c r="E102" s="27">
        <v>0</v>
      </c>
      <c r="F102" s="27">
        <v>0</v>
      </c>
      <c r="G102" s="27">
        <v>2</v>
      </c>
      <c r="H102" s="27">
        <v>5</v>
      </c>
      <c r="I102" s="27">
        <v>4</v>
      </c>
      <c r="J102" s="7">
        <v>4</v>
      </c>
      <c r="K102" s="222">
        <v>4438786.5</v>
      </c>
      <c r="L102" s="223" t="s">
        <v>23</v>
      </c>
      <c r="M102" s="224"/>
      <c r="N102" s="225">
        <v>2208096.6</v>
      </c>
      <c r="O102" s="226">
        <v>2</v>
      </c>
      <c r="P102" s="227">
        <v>22</v>
      </c>
      <c r="Q102" s="226">
        <v>256</v>
      </c>
      <c r="R102" s="227">
        <v>2565</v>
      </c>
      <c r="S102" s="226">
        <v>26971</v>
      </c>
      <c r="T102" s="227">
        <v>253230</v>
      </c>
      <c r="V102" s="228"/>
      <c r="X102" s="274"/>
    </row>
    <row r="103" spans="1:24" x14ac:dyDescent="0.15">
      <c r="A103" s="178"/>
      <c r="B103" s="179">
        <v>39382</v>
      </c>
      <c r="C103" s="180" t="s">
        <v>363</v>
      </c>
      <c r="D103" s="19">
        <v>5</v>
      </c>
      <c r="E103" s="19">
        <v>6</v>
      </c>
      <c r="F103" s="19">
        <v>6</v>
      </c>
      <c r="G103" s="19">
        <v>7</v>
      </c>
      <c r="H103" s="19">
        <v>4</v>
      </c>
      <c r="I103" s="19">
        <v>3</v>
      </c>
      <c r="J103" s="13">
        <v>8</v>
      </c>
      <c r="K103" s="229">
        <v>11950276.5</v>
      </c>
      <c r="L103" s="237">
        <v>1</v>
      </c>
      <c r="M103" s="229">
        <v>2970000</v>
      </c>
      <c r="N103" s="231">
        <v>35180</v>
      </c>
      <c r="O103" s="232">
        <v>6</v>
      </c>
      <c r="P103" s="233">
        <v>85</v>
      </c>
      <c r="Q103" s="232">
        <v>882</v>
      </c>
      <c r="R103" s="233">
        <v>8574</v>
      </c>
      <c r="S103" s="232">
        <v>83822</v>
      </c>
      <c r="T103" s="233">
        <v>824731</v>
      </c>
      <c r="V103" s="228"/>
      <c r="X103" s="274"/>
    </row>
    <row r="104" spans="1:24" x14ac:dyDescent="0.15">
      <c r="A104" s="172">
        <v>44</v>
      </c>
      <c r="B104" s="173">
        <v>39386</v>
      </c>
      <c r="C104" s="174" t="s">
        <v>362</v>
      </c>
      <c r="D104" s="27">
        <v>3</v>
      </c>
      <c r="E104" s="27">
        <v>7</v>
      </c>
      <c r="F104" s="27">
        <v>4</v>
      </c>
      <c r="G104" s="27">
        <v>0</v>
      </c>
      <c r="H104" s="27">
        <v>8</v>
      </c>
      <c r="I104" s="27">
        <v>4</v>
      </c>
      <c r="J104" s="7">
        <v>8</v>
      </c>
      <c r="K104" s="222">
        <v>4918200</v>
      </c>
      <c r="L104" s="234">
        <v>1</v>
      </c>
      <c r="M104" s="224">
        <v>270000</v>
      </c>
      <c r="N104" s="225">
        <v>93223.9</v>
      </c>
      <c r="O104" s="226">
        <v>1</v>
      </c>
      <c r="P104" s="227">
        <v>45</v>
      </c>
      <c r="Q104" s="226">
        <v>369</v>
      </c>
      <c r="R104" s="227">
        <v>3854</v>
      </c>
      <c r="S104" s="226">
        <v>35929</v>
      </c>
      <c r="T104" s="227">
        <v>335807</v>
      </c>
      <c r="V104" s="228"/>
      <c r="X104" s="274"/>
    </row>
    <row r="105" spans="1:24" x14ac:dyDescent="0.15">
      <c r="A105" s="178"/>
      <c r="B105" s="179">
        <v>39389</v>
      </c>
      <c r="C105" s="180" t="s">
        <v>363</v>
      </c>
      <c r="D105" s="19">
        <v>9</v>
      </c>
      <c r="E105" s="19">
        <v>3</v>
      </c>
      <c r="F105" s="19">
        <v>5</v>
      </c>
      <c r="G105" s="19">
        <v>9</v>
      </c>
      <c r="H105" s="19">
        <v>8</v>
      </c>
      <c r="I105" s="19">
        <v>8</v>
      </c>
      <c r="J105" s="13">
        <v>8</v>
      </c>
      <c r="K105" s="229">
        <v>12590745</v>
      </c>
      <c r="L105" s="237">
        <v>1</v>
      </c>
      <c r="M105" s="229">
        <v>870000</v>
      </c>
      <c r="N105" s="231">
        <v>63026.6</v>
      </c>
      <c r="O105" s="232">
        <v>15</v>
      </c>
      <c r="P105" s="233">
        <v>113</v>
      </c>
      <c r="Q105" s="232">
        <v>1019</v>
      </c>
      <c r="R105" s="233">
        <v>10833</v>
      </c>
      <c r="S105" s="232">
        <v>86548</v>
      </c>
      <c r="T105" s="233">
        <v>865032</v>
      </c>
      <c r="V105" s="228"/>
      <c r="X105" s="274"/>
    </row>
    <row r="106" spans="1:24" x14ac:dyDescent="0.15">
      <c r="A106" s="172">
        <v>45</v>
      </c>
      <c r="B106" s="173">
        <v>39393</v>
      </c>
      <c r="C106" s="174" t="s">
        <v>362</v>
      </c>
      <c r="D106" s="27">
        <v>3</v>
      </c>
      <c r="E106" s="27">
        <v>0</v>
      </c>
      <c r="F106" s="27">
        <v>1</v>
      </c>
      <c r="G106" s="27">
        <v>4</v>
      </c>
      <c r="H106" s="27">
        <v>7</v>
      </c>
      <c r="I106" s="27">
        <v>0</v>
      </c>
      <c r="J106" s="7">
        <v>4</v>
      </c>
      <c r="K106" s="222">
        <v>5746084.5</v>
      </c>
      <c r="L106" s="223" t="s">
        <v>23</v>
      </c>
      <c r="M106" s="224"/>
      <c r="N106" s="225">
        <v>446290.4</v>
      </c>
      <c r="O106" s="226">
        <v>5</v>
      </c>
      <c r="P106" s="227">
        <v>31</v>
      </c>
      <c r="Q106" s="226">
        <v>324</v>
      </c>
      <c r="R106" s="227">
        <v>3010</v>
      </c>
      <c r="S106" s="226">
        <v>29971</v>
      </c>
      <c r="T106" s="227">
        <v>336530</v>
      </c>
      <c r="V106" s="228"/>
      <c r="X106" s="274"/>
    </row>
    <row r="107" spans="1:24" x14ac:dyDescent="0.15">
      <c r="A107" s="178"/>
      <c r="B107" s="179">
        <v>39396</v>
      </c>
      <c r="C107" s="180" t="s">
        <v>363</v>
      </c>
      <c r="D107" s="19">
        <v>6</v>
      </c>
      <c r="E107" s="19">
        <v>7</v>
      </c>
      <c r="F107" s="19">
        <v>0</v>
      </c>
      <c r="G107" s="19">
        <v>3</v>
      </c>
      <c r="H107" s="19">
        <v>4</v>
      </c>
      <c r="I107" s="19">
        <v>2</v>
      </c>
      <c r="J107" s="13">
        <v>7</v>
      </c>
      <c r="K107" s="229">
        <v>13962898.5</v>
      </c>
      <c r="L107" s="237">
        <v>2</v>
      </c>
      <c r="M107" s="229">
        <v>670000</v>
      </c>
      <c r="N107" s="231">
        <v>37615.699999999997</v>
      </c>
      <c r="O107" s="232">
        <v>10</v>
      </c>
      <c r="P107" s="233">
        <v>96</v>
      </c>
      <c r="Q107" s="232">
        <v>965</v>
      </c>
      <c r="R107" s="233">
        <v>9695</v>
      </c>
      <c r="S107" s="232">
        <v>95502</v>
      </c>
      <c r="T107" s="233">
        <v>935613</v>
      </c>
      <c r="V107" s="228"/>
      <c r="X107" s="274"/>
    </row>
    <row r="108" spans="1:24" x14ac:dyDescent="0.15">
      <c r="A108" s="172">
        <v>46</v>
      </c>
      <c r="B108" s="173">
        <v>39400</v>
      </c>
      <c r="C108" s="174" t="s">
        <v>362</v>
      </c>
      <c r="D108" s="27">
        <v>9</v>
      </c>
      <c r="E108" s="27">
        <v>4</v>
      </c>
      <c r="F108" s="27">
        <v>5</v>
      </c>
      <c r="G108" s="27">
        <v>7</v>
      </c>
      <c r="H108" s="27">
        <v>3</v>
      </c>
      <c r="I108" s="27">
        <v>1</v>
      </c>
      <c r="J108" s="7">
        <v>4</v>
      </c>
      <c r="K108" s="222">
        <v>6775788</v>
      </c>
      <c r="L108" s="234">
        <v>3</v>
      </c>
      <c r="M108" s="224">
        <v>170000</v>
      </c>
      <c r="N108" s="225">
        <v>0</v>
      </c>
      <c r="O108" s="226" t="s">
        <v>17</v>
      </c>
      <c r="P108" s="227">
        <v>40</v>
      </c>
      <c r="Q108" s="226">
        <v>405</v>
      </c>
      <c r="R108" s="227">
        <v>4103</v>
      </c>
      <c r="S108" s="226">
        <v>39383</v>
      </c>
      <c r="T108" s="227">
        <v>393818</v>
      </c>
      <c r="V108" s="228"/>
      <c r="X108" s="274"/>
    </row>
    <row r="109" spans="1:24" x14ac:dyDescent="0.15">
      <c r="A109" s="178"/>
      <c r="B109" s="179">
        <v>39403</v>
      </c>
      <c r="C109" s="180" t="s">
        <v>363</v>
      </c>
      <c r="D109" s="19">
        <v>9</v>
      </c>
      <c r="E109" s="19">
        <v>9</v>
      </c>
      <c r="F109" s="19">
        <v>3</v>
      </c>
      <c r="G109" s="19">
        <v>8</v>
      </c>
      <c r="H109" s="19">
        <v>0</v>
      </c>
      <c r="I109" s="19">
        <v>3</v>
      </c>
      <c r="J109" s="13">
        <v>3</v>
      </c>
      <c r="K109" s="229">
        <v>15780930</v>
      </c>
      <c r="L109" s="230" t="s">
        <v>23</v>
      </c>
      <c r="M109" s="229"/>
      <c r="N109" s="231">
        <v>1052588</v>
      </c>
      <c r="O109" s="232">
        <v>11</v>
      </c>
      <c r="P109" s="233">
        <v>88</v>
      </c>
      <c r="Q109" s="232">
        <v>937</v>
      </c>
      <c r="R109" s="233">
        <v>9061</v>
      </c>
      <c r="S109" s="232">
        <v>96184</v>
      </c>
      <c r="T109" s="233">
        <v>961002</v>
      </c>
      <c r="V109" s="228"/>
      <c r="X109" s="274"/>
    </row>
    <row r="110" spans="1:24" x14ac:dyDescent="0.15">
      <c r="A110" s="172">
        <v>47</v>
      </c>
      <c r="B110" s="173">
        <v>39407</v>
      </c>
      <c r="C110" s="174" t="s">
        <v>362</v>
      </c>
      <c r="D110" s="27">
        <v>0</v>
      </c>
      <c r="E110" s="27">
        <v>8</v>
      </c>
      <c r="F110" s="27">
        <v>8</v>
      </c>
      <c r="G110" s="27">
        <v>2</v>
      </c>
      <c r="H110" s="27">
        <v>3</v>
      </c>
      <c r="I110" s="27">
        <v>0</v>
      </c>
      <c r="J110" s="7">
        <v>0</v>
      </c>
      <c r="K110" s="222">
        <v>9066453</v>
      </c>
      <c r="L110" s="234">
        <v>1</v>
      </c>
      <c r="M110" s="224">
        <v>1570000</v>
      </c>
      <c r="N110" s="225">
        <v>87320.4</v>
      </c>
      <c r="O110" s="226">
        <v>7</v>
      </c>
      <c r="P110" s="227">
        <v>40</v>
      </c>
      <c r="Q110" s="226">
        <v>448</v>
      </c>
      <c r="R110" s="227">
        <v>4648</v>
      </c>
      <c r="S110" s="226">
        <v>47848</v>
      </c>
      <c r="T110" s="227">
        <v>440534</v>
      </c>
      <c r="V110" s="228"/>
      <c r="X110" s="274"/>
    </row>
    <row r="111" spans="1:24" x14ac:dyDescent="0.15">
      <c r="A111" s="178"/>
      <c r="B111" s="179">
        <v>39410</v>
      </c>
      <c r="C111" s="180" t="s">
        <v>363</v>
      </c>
      <c r="D111" s="19">
        <v>0</v>
      </c>
      <c r="E111" s="19">
        <v>1</v>
      </c>
      <c r="F111" s="19">
        <v>6</v>
      </c>
      <c r="G111" s="19">
        <v>4</v>
      </c>
      <c r="H111" s="19">
        <v>4</v>
      </c>
      <c r="I111" s="19">
        <v>0</v>
      </c>
      <c r="J111" s="13">
        <v>5</v>
      </c>
      <c r="K111" s="229">
        <v>19346794.5</v>
      </c>
      <c r="L111" s="230" t="s">
        <v>23</v>
      </c>
      <c r="M111" s="229"/>
      <c r="N111" s="231">
        <v>1377751.6</v>
      </c>
      <c r="O111" s="232">
        <v>16</v>
      </c>
      <c r="P111" s="233">
        <v>103</v>
      </c>
      <c r="Q111" s="232">
        <v>1126</v>
      </c>
      <c r="R111" s="233">
        <v>11192</v>
      </c>
      <c r="S111" s="232">
        <v>112356</v>
      </c>
      <c r="T111" s="233">
        <v>1298730</v>
      </c>
      <c r="V111" s="228"/>
      <c r="X111" s="274"/>
    </row>
    <row r="112" spans="1:24" x14ac:dyDescent="0.15">
      <c r="A112" s="172">
        <v>48</v>
      </c>
      <c r="B112" s="173">
        <v>39414</v>
      </c>
      <c r="C112" s="174" t="s">
        <v>362</v>
      </c>
      <c r="D112" s="27">
        <v>9</v>
      </c>
      <c r="E112" s="27">
        <v>0</v>
      </c>
      <c r="F112" s="27">
        <v>7</v>
      </c>
      <c r="G112" s="27">
        <v>0</v>
      </c>
      <c r="H112" s="27">
        <v>2</v>
      </c>
      <c r="I112" s="27">
        <v>7</v>
      </c>
      <c r="J112" s="7">
        <v>5</v>
      </c>
      <c r="K112" s="222">
        <v>15248980.5</v>
      </c>
      <c r="L112" s="223">
        <v>1</v>
      </c>
      <c r="M112" s="224">
        <v>2370000</v>
      </c>
      <c r="N112" s="225">
        <v>24858.6</v>
      </c>
      <c r="O112" s="226">
        <v>6</v>
      </c>
      <c r="P112" s="227">
        <v>94</v>
      </c>
      <c r="Q112" s="226">
        <v>1009</v>
      </c>
      <c r="R112" s="227">
        <v>9975</v>
      </c>
      <c r="S112" s="226">
        <v>98321</v>
      </c>
      <c r="T112" s="227">
        <v>973353</v>
      </c>
      <c r="V112" s="228"/>
      <c r="X112" s="274"/>
    </row>
    <row r="113" spans="1:24" x14ac:dyDescent="0.15">
      <c r="A113" s="178"/>
      <c r="B113" s="179">
        <v>39417</v>
      </c>
      <c r="C113" s="180" t="s">
        <v>363</v>
      </c>
      <c r="D113" s="19">
        <v>5</v>
      </c>
      <c r="E113" s="19">
        <v>3</v>
      </c>
      <c r="F113" s="19">
        <v>9</v>
      </c>
      <c r="G113" s="19">
        <v>7</v>
      </c>
      <c r="H113" s="19">
        <v>1</v>
      </c>
      <c r="I113" s="19">
        <v>7</v>
      </c>
      <c r="J113" s="13">
        <v>8</v>
      </c>
      <c r="K113" s="229">
        <v>28369783.5</v>
      </c>
      <c r="L113" s="230">
        <v>2</v>
      </c>
      <c r="M113" s="229">
        <v>870000</v>
      </c>
      <c r="N113" s="231">
        <v>177123.20000000001</v>
      </c>
      <c r="O113" s="232">
        <v>19</v>
      </c>
      <c r="P113" s="233">
        <v>202</v>
      </c>
      <c r="Q113" s="232">
        <v>1834</v>
      </c>
      <c r="R113" s="233">
        <v>19018</v>
      </c>
      <c r="S113" s="232">
        <v>186842</v>
      </c>
      <c r="T113" s="233">
        <v>1848071</v>
      </c>
      <c r="V113" s="228"/>
      <c r="X113" s="274"/>
    </row>
    <row r="114" spans="1:24" x14ac:dyDescent="0.15">
      <c r="A114" s="172">
        <v>49</v>
      </c>
      <c r="B114" s="173">
        <v>39421</v>
      </c>
      <c r="C114" s="174" t="s">
        <v>362</v>
      </c>
      <c r="D114" s="27">
        <v>1</v>
      </c>
      <c r="E114" s="27">
        <v>9</v>
      </c>
      <c r="F114" s="27">
        <v>6</v>
      </c>
      <c r="G114" s="27">
        <v>2</v>
      </c>
      <c r="H114" s="27">
        <v>3</v>
      </c>
      <c r="I114" s="27">
        <v>8</v>
      </c>
      <c r="J114" s="7">
        <v>7</v>
      </c>
      <c r="K114" s="222">
        <v>24544129.5</v>
      </c>
      <c r="L114" s="223" t="s">
        <v>23</v>
      </c>
      <c r="M114" s="224"/>
      <c r="N114" s="225">
        <v>1814216.6</v>
      </c>
      <c r="O114" s="226">
        <v>15</v>
      </c>
      <c r="P114" s="227">
        <v>168</v>
      </c>
      <c r="Q114" s="226">
        <v>1625</v>
      </c>
      <c r="R114" s="227">
        <v>15637</v>
      </c>
      <c r="S114" s="226">
        <v>156064</v>
      </c>
      <c r="T114" s="227">
        <v>1590979</v>
      </c>
      <c r="V114" s="228"/>
      <c r="X114" s="274"/>
    </row>
    <row r="115" spans="1:24" x14ac:dyDescent="0.15">
      <c r="A115" s="178"/>
      <c r="B115" s="179">
        <v>39424</v>
      </c>
      <c r="C115" s="180" t="s">
        <v>363</v>
      </c>
      <c r="D115" s="19">
        <v>6</v>
      </c>
      <c r="E115" s="19">
        <v>9</v>
      </c>
      <c r="F115" s="19">
        <v>7</v>
      </c>
      <c r="G115" s="19">
        <v>6</v>
      </c>
      <c r="H115" s="19">
        <v>2</v>
      </c>
      <c r="I115" s="19">
        <v>1</v>
      </c>
      <c r="J115" s="13">
        <v>0</v>
      </c>
      <c r="K115" s="229">
        <v>17486991</v>
      </c>
      <c r="L115" s="230">
        <v>1</v>
      </c>
      <c r="M115" s="229">
        <v>2970000</v>
      </c>
      <c r="N115" s="231">
        <v>10598.9</v>
      </c>
      <c r="O115" s="232">
        <v>8</v>
      </c>
      <c r="P115" s="233">
        <v>77</v>
      </c>
      <c r="Q115" s="232">
        <v>820</v>
      </c>
      <c r="R115" s="233">
        <v>8308</v>
      </c>
      <c r="S115" s="232">
        <v>81819</v>
      </c>
      <c r="T115" s="233">
        <v>837950</v>
      </c>
      <c r="V115" s="228"/>
      <c r="X115" s="274"/>
    </row>
    <row r="116" spans="1:24" x14ac:dyDescent="0.15">
      <c r="A116" s="172">
        <v>50</v>
      </c>
      <c r="B116" s="173">
        <v>39428</v>
      </c>
      <c r="C116" s="174" t="s">
        <v>362</v>
      </c>
      <c r="D116" s="27">
        <v>7</v>
      </c>
      <c r="E116" s="27">
        <v>5</v>
      </c>
      <c r="F116" s="27">
        <v>7</v>
      </c>
      <c r="G116" s="27">
        <v>1</v>
      </c>
      <c r="H116" s="27">
        <v>7</v>
      </c>
      <c r="I116" s="27">
        <v>4</v>
      </c>
      <c r="J116" s="7">
        <v>1</v>
      </c>
      <c r="K116" s="222">
        <v>6531277.5</v>
      </c>
      <c r="L116" s="223" t="s">
        <v>23</v>
      </c>
      <c r="M116" s="224"/>
      <c r="N116" s="225">
        <v>446235.1</v>
      </c>
      <c r="O116" s="226">
        <v>4</v>
      </c>
      <c r="P116" s="227">
        <v>40</v>
      </c>
      <c r="Q116" s="226">
        <v>361</v>
      </c>
      <c r="R116" s="227">
        <v>3484</v>
      </c>
      <c r="S116" s="226">
        <v>34625</v>
      </c>
      <c r="T116" s="227">
        <v>355630</v>
      </c>
      <c r="V116" s="228"/>
      <c r="X116" s="274"/>
    </row>
    <row r="117" spans="1:24" x14ac:dyDescent="0.15">
      <c r="A117" s="178"/>
      <c r="B117" s="179">
        <v>39431</v>
      </c>
      <c r="C117" s="180" t="s">
        <v>363</v>
      </c>
      <c r="D117" s="19">
        <v>5</v>
      </c>
      <c r="E117" s="19">
        <v>1</v>
      </c>
      <c r="F117" s="19">
        <v>4</v>
      </c>
      <c r="G117" s="19">
        <v>1</v>
      </c>
      <c r="H117" s="19">
        <v>5</v>
      </c>
      <c r="I117" s="19">
        <v>9</v>
      </c>
      <c r="J117" s="13">
        <v>1</v>
      </c>
      <c r="K117" s="229">
        <v>14291670</v>
      </c>
      <c r="L117" s="230" t="s">
        <v>23</v>
      </c>
      <c r="M117" s="229"/>
      <c r="N117" s="231">
        <v>1399489.5</v>
      </c>
      <c r="O117" s="232">
        <v>12</v>
      </c>
      <c r="P117" s="233">
        <v>85</v>
      </c>
      <c r="Q117" s="232">
        <v>667</v>
      </c>
      <c r="R117" s="233">
        <v>7208</v>
      </c>
      <c r="S117" s="232">
        <v>72001</v>
      </c>
      <c r="T117" s="233">
        <v>764400</v>
      </c>
      <c r="V117" s="228"/>
      <c r="X117" s="274"/>
    </row>
    <row r="118" spans="1:24" x14ac:dyDescent="0.15">
      <c r="A118" s="172">
        <v>51</v>
      </c>
      <c r="B118" s="173">
        <v>39435</v>
      </c>
      <c r="C118" s="174" t="s">
        <v>362</v>
      </c>
      <c r="D118" s="27">
        <v>3</v>
      </c>
      <c r="E118" s="27">
        <v>4</v>
      </c>
      <c r="F118" s="27">
        <v>2</v>
      </c>
      <c r="G118" s="27">
        <v>4</v>
      </c>
      <c r="H118" s="27">
        <v>7</v>
      </c>
      <c r="I118" s="27">
        <v>7</v>
      </c>
      <c r="J118" s="7">
        <v>5</v>
      </c>
      <c r="K118" s="222">
        <v>5891512.5</v>
      </c>
      <c r="L118" s="223" t="s">
        <v>23</v>
      </c>
      <c r="M118" s="224"/>
      <c r="N118" s="225">
        <v>1792453.4</v>
      </c>
      <c r="O118" s="226">
        <v>4</v>
      </c>
      <c r="P118" s="227">
        <v>48</v>
      </c>
      <c r="Q118" s="226">
        <v>395</v>
      </c>
      <c r="R118" s="227">
        <v>3850</v>
      </c>
      <c r="S118" s="226">
        <v>41051</v>
      </c>
      <c r="T118" s="227">
        <v>397598</v>
      </c>
      <c r="V118" s="228"/>
      <c r="X118" s="274"/>
    </row>
    <row r="119" spans="1:24" x14ac:dyDescent="0.15">
      <c r="A119" s="178"/>
      <c r="B119" s="179">
        <v>39438</v>
      </c>
      <c r="C119" s="180" t="s">
        <v>363</v>
      </c>
      <c r="D119" s="19">
        <v>6</v>
      </c>
      <c r="E119" s="19">
        <v>4</v>
      </c>
      <c r="F119" s="19">
        <v>8</v>
      </c>
      <c r="G119" s="19">
        <v>4</v>
      </c>
      <c r="H119" s="19">
        <v>5</v>
      </c>
      <c r="I119" s="19">
        <v>3</v>
      </c>
      <c r="J119" s="13">
        <v>5</v>
      </c>
      <c r="K119" s="229">
        <v>13887624</v>
      </c>
      <c r="L119" s="230">
        <v>2</v>
      </c>
      <c r="M119" s="229">
        <v>1270000</v>
      </c>
      <c r="N119" s="231">
        <v>178757.9</v>
      </c>
      <c r="O119" s="232">
        <v>12</v>
      </c>
      <c r="P119" s="233">
        <v>118</v>
      </c>
      <c r="Q119" s="232">
        <v>959</v>
      </c>
      <c r="R119" s="233">
        <v>10245</v>
      </c>
      <c r="S119" s="232">
        <v>99099</v>
      </c>
      <c r="T119" s="233">
        <v>949492</v>
      </c>
      <c r="V119" s="228"/>
      <c r="X119" s="274"/>
    </row>
    <row r="120" spans="1:24" x14ac:dyDescent="0.15">
      <c r="A120" s="172">
        <v>52</v>
      </c>
      <c r="B120" s="173">
        <v>39442</v>
      </c>
      <c r="C120" s="174" t="s">
        <v>362</v>
      </c>
      <c r="D120" s="27">
        <v>9</v>
      </c>
      <c r="E120" s="27">
        <v>5</v>
      </c>
      <c r="F120" s="27">
        <v>6</v>
      </c>
      <c r="G120" s="27">
        <v>7</v>
      </c>
      <c r="H120" s="27">
        <v>5</v>
      </c>
      <c r="I120" s="27">
        <v>1</v>
      </c>
      <c r="J120" s="7">
        <v>5</v>
      </c>
      <c r="K120" s="222">
        <v>5216283</v>
      </c>
      <c r="L120" s="223" t="s">
        <v>23</v>
      </c>
      <c r="M120" s="224"/>
      <c r="N120" s="225">
        <v>526684</v>
      </c>
      <c r="O120" s="226">
        <v>1</v>
      </c>
      <c r="P120" s="227">
        <v>32</v>
      </c>
      <c r="Q120" s="226">
        <v>345</v>
      </c>
      <c r="R120" s="227">
        <v>3371</v>
      </c>
      <c r="S120" s="226">
        <v>33561</v>
      </c>
      <c r="T120" s="227">
        <v>359977</v>
      </c>
      <c r="V120" s="228"/>
      <c r="X120" s="274"/>
    </row>
    <row r="121" spans="1:24" x14ac:dyDescent="0.15">
      <c r="A121" s="178"/>
      <c r="B121" s="179">
        <v>39445</v>
      </c>
      <c r="C121" s="180" t="s">
        <v>363</v>
      </c>
      <c r="D121" s="38">
        <v>0</v>
      </c>
      <c r="E121" s="38">
        <v>7</v>
      </c>
      <c r="F121" s="38">
        <v>6</v>
      </c>
      <c r="G121" s="38">
        <v>0</v>
      </c>
      <c r="H121" s="38">
        <v>2</v>
      </c>
      <c r="I121" s="38">
        <v>6</v>
      </c>
      <c r="J121" s="39">
        <v>6</v>
      </c>
      <c r="K121" s="229">
        <v>13117731</v>
      </c>
      <c r="L121" s="237">
        <v>2</v>
      </c>
      <c r="M121" s="229">
        <v>670000</v>
      </c>
      <c r="N121" s="231">
        <v>61636.7</v>
      </c>
      <c r="O121" s="232">
        <v>7</v>
      </c>
      <c r="P121" s="233">
        <v>82</v>
      </c>
      <c r="Q121" s="232">
        <v>811</v>
      </c>
      <c r="R121" s="233">
        <v>8478</v>
      </c>
      <c r="S121" s="232">
        <v>84386</v>
      </c>
      <c r="T121" s="233">
        <v>807196</v>
      </c>
      <c r="V121" s="228"/>
      <c r="X121" s="274"/>
    </row>
    <row r="122" spans="1:24" hidden="1" x14ac:dyDescent="0.15">
      <c r="A122" s="172">
        <v>53</v>
      </c>
      <c r="B122" s="173"/>
      <c r="C122" s="174"/>
      <c r="D122" s="27"/>
      <c r="E122" s="27"/>
      <c r="F122" s="27"/>
      <c r="G122" s="27"/>
      <c r="H122" s="27"/>
      <c r="I122" s="27"/>
      <c r="J122" s="7"/>
      <c r="K122" s="222"/>
      <c r="L122" s="223"/>
      <c r="M122" s="224"/>
      <c r="N122" s="225"/>
      <c r="O122" s="226"/>
      <c r="P122" s="227"/>
      <c r="Q122" s="226"/>
      <c r="R122" s="227"/>
      <c r="S122" s="226"/>
      <c r="T122" s="227"/>
      <c r="V122" s="228"/>
      <c r="X122" s="274"/>
    </row>
    <row r="123" spans="1:24" hidden="1" x14ac:dyDescent="0.15">
      <c r="A123" s="178"/>
      <c r="B123" s="179"/>
      <c r="C123" s="180"/>
      <c r="D123" s="38"/>
      <c r="E123" s="38"/>
      <c r="F123" s="38"/>
      <c r="G123" s="38"/>
      <c r="H123" s="38"/>
      <c r="I123" s="38"/>
      <c r="J123" s="39"/>
      <c r="K123" s="229"/>
      <c r="L123" s="230"/>
      <c r="M123" s="229"/>
      <c r="N123" s="231"/>
      <c r="O123" s="232"/>
      <c r="P123" s="233"/>
      <c r="Q123" s="232"/>
      <c r="R123" s="233"/>
      <c r="S123" s="232"/>
      <c r="T123" s="233"/>
      <c r="V123" s="228"/>
      <c r="X123" s="274"/>
    </row>
    <row r="124" spans="1:24" x14ac:dyDescent="0.15">
      <c r="A124" s="45"/>
      <c r="B124" s="46"/>
      <c r="C124" s="46"/>
      <c r="D124" s="276"/>
      <c r="E124" s="276"/>
      <c r="F124" s="276"/>
      <c r="G124" s="276"/>
      <c r="H124" s="276"/>
      <c r="I124" s="276" t="s">
        <v>24</v>
      </c>
      <c r="J124" s="276"/>
      <c r="K124" s="277"/>
      <c r="L124" s="278">
        <v>36</v>
      </c>
      <c r="M124" s="229"/>
      <c r="N124" s="278"/>
      <c r="O124" s="278">
        <f t="shared" ref="O124:T124" si="1">SUM(O70:O123)</f>
        <v>339</v>
      </c>
      <c r="P124" s="278">
        <f t="shared" si="1"/>
        <v>3373</v>
      </c>
      <c r="Q124" s="278">
        <f t="shared" si="1"/>
        <v>32981</v>
      </c>
      <c r="R124" s="278">
        <f t="shared" si="1"/>
        <v>333981</v>
      </c>
      <c r="S124" s="278">
        <f t="shared" si="1"/>
        <v>3298501</v>
      </c>
      <c r="T124" s="272">
        <f t="shared" si="1"/>
        <v>32992351</v>
      </c>
      <c r="V124" s="228"/>
      <c r="X124" s="274"/>
    </row>
    <row r="125" spans="1:24" x14ac:dyDescent="0.15">
      <c r="K125" s="222"/>
      <c r="N125" s="222"/>
      <c r="V125" s="280"/>
      <c r="X125" s="274"/>
    </row>
    <row r="126" spans="1:24" x14ac:dyDescent="0.15">
      <c r="M126" s="281"/>
      <c r="N126" s="281"/>
    </row>
    <row r="129" spans="12:24" x14ac:dyDescent="0.15">
      <c r="L129" s="282"/>
      <c r="N129" s="282"/>
      <c r="O129" s="282"/>
      <c r="P129" s="282"/>
      <c r="Q129" s="282"/>
      <c r="R129" s="282"/>
      <c r="S129" s="282"/>
      <c r="T129" s="282"/>
      <c r="V129" s="282"/>
      <c r="W129" s="283"/>
      <c r="X129" s="283"/>
    </row>
    <row r="130" spans="12:24" x14ac:dyDescent="0.15">
      <c r="L130" s="282"/>
      <c r="N130" s="282"/>
      <c r="O130" s="282"/>
      <c r="P130" s="282"/>
      <c r="Q130" s="282"/>
      <c r="R130" s="282"/>
      <c r="S130" s="282"/>
      <c r="T130" s="282"/>
      <c r="V130" s="282"/>
      <c r="W130" s="283"/>
      <c r="X130" s="283"/>
    </row>
    <row r="131" spans="12:24" x14ac:dyDescent="0.15">
      <c r="L131" s="282"/>
      <c r="N131" s="282"/>
      <c r="O131" s="282"/>
      <c r="P131" s="282"/>
      <c r="Q131" s="282"/>
      <c r="R131" s="282"/>
      <c r="S131" s="282"/>
      <c r="T131" s="282"/>
      <c r="V131" s="282"/>
      <c r="W131" s="283"/>
      <c r="X131" s="283"/>
    </row>
    <row r="132" spans="12:24" x14ac:dyDescent="0.15">
      <c r="L132" s="282"/>
      <c r="N132" s="282"/>
      <c r="O132" s="282"/>
      <c r="P132" s="282"/>
      <c r="Q132" s="282"/>
      <c r="R132" s="282"/>
      <c r="S132" s="282"/>
      <c r="T132" s="282"/>
      <c r="V132" s="282"/>
      <c r="W132" s="283"/>
      <c r="X132" s="283"/>
    </row>
    <row r="133" spans="12:24" x14ac:dyDescent="0.15">
      <c r="L133" s="282"/>
      <c r="N133" s="282"/>
      <c r="O133" s="282"/>
      <c r="P133" s="282"/>
      <c r="Q133" s="282"/>
      <c r="R133" s="282"/>
      <c r="S133" s="282"/>
      <c r="T133" s="282"/>
      <c r="V133" s="282"/>
      <c r="W133" s="282"/>
    </row>
    <row r="134" spans="12:24" x14ac:dyDescent="0.15">
      <c r="L134" s="282"/>
      <c r="N134" s="282"/>
      <c r="O134" s="282"/>
      <c r="P134" s="282"/>
      <c r="Q134" s="282"/>
      <c r="R134" s="282"/>
      <c r="S134" s="282"/>
      <c r="T134" s="282"/>
      <c r="V134" s="282"/>
      <c r="W134" s="283"/>
      <c r="X134" s="283"/>
    </row>
    <row r="135" spans="12:24" x14ac:dyDescent="0.15">
      <c r="L135" s="282"/>
      <c r="N135" s="282"/>
      <c r="O135" s="282"/>
      <c r="P135" s="282"/>
      <c r="Q135" s="282"/>
      <c r="R135" s="282"/>
      <c r="S135" s="282"/>
      <c r="T135" s="282"/>
      <c r="V135" s="282"/>
      <c r="W135" s="283"/>
      <c r="X135" s="283"/>
    </row>
    <row r="136" spans="12:24" x14ac:dyDescent="0.15">
      <c r="L136" s="282"/>
      <c r="N136" s="282"/>
      <c r="O136" s="282"/>
      <c r="P136" s="282"/>
      <c r="Q136" s="282"/>
      <c r="R136" s="282"/>
      <c r="S136" s="282"/>
      <c r="T136" s="282"/>
      <c r="V136" s="282"/>
      <c r="W136" s="282"/>
    </row>
    <row r="137" spans="12:24" x14ac:dyDescent="0.15">
      <c r="L137" s="282"/>
      <c r="N137" s="282"/>
      <c r="O137" s="282"/>
      <c r="P137" s="282"/>
      <c r="Q137" s="282"/>
      <c r="R137" s="282"/>
      <c r="S137" s="282"/>
      <c r="T137" s="282"/>
      <c r="V137" s="282"/>
      <c r="W137" s="283"/>
      <c r="X137" s="283"/>
    </row>
  </sheetData>
  <phoneticPr fontId="0" type="noConversion"/>
  <printOptions horizontalCentered="1" verticalCentered="1"/>
  <pageMargins left="0" right="0" top="0" bottom="0" header="0.51181102300000003" footer="0.51181102300000003"/>
  <pageSetup paperSize="9" scale="85" orientation="landscape" horizontalDpi="4294967292" verticalDpi="4294967292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37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2.5" customWidth="1"/>
    <col min="22" max="22" width="13.5" customWidth="1"/>
    <col min="24" max="24" width="13" customWidth="1"/>
  </cols>
  <sheetData>
    <row r="2" spans="1:24" ht="14.1" customHeight="1" x14ac:dyDescent="0.2">
      <c r="A2" s="1" t="s">
        <v>364</v>
      </c>
      <c r="T2" s="3" t="s">
        <v>413</v>
      </c>
    </row>
    <row r="3" spans="1:24" ht="11.1" customHeight="1" x14ac:dyDescent="0.15">
      <c r="A3" s="6" t="s">
        <v>2</v>
      </c>
    </row>
    <row r="4" spans="1:24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4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4" ht="11.1" customHeight="1" x14ac:dyDescent="0.15">
      <c r="A6" s="13" t="s">
        <v>428</v>
      </c>
      <c r="B6" s="14">
        <v>2008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366</v>
      </c>
      <c r="M6" s="18"/>
      <c r="N6" s="13" t="s">
        <v>367</v>
      </c>
      <c r="O6" s="239">
        <v>70000</v>
      </c>
      <c r="P6" s="239">
        <v>7000</v>
      </c>
      <c r="Q6" s="239">
        <v>700</v>
      </c>
      <c r="R6" s="239">
        <v>70</v>
      </c>
      <c r="S6" s="239">
        <v>7</v>
      </c>
      <c r="T6" s="239">
        <v>2.5</v>
      </c>
    </row>
    <row r="7" spans="1:24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4" x14ac:dyDescent="0.15">
      <c r="A8" s="172">
        <v>1</v>
      </c>
      <c r="B8" s="173">
        <v>39449</v>
      </c>
      <c r="C8" s="174" t="s">
        <v>362</v>
      </c>
      <c r="D8" s="27">
        <v>8</v>
      </c>
      <c r="E8" s="27">
        <v>1</v>
      </c>
      <c r="F8" s="27">
        <v>9</v>
      </c>
      <c r="G8" s="27">
        <v>6</v>
      </c>
      <c r="H8" s="27">
        <v>3</v>
      </c>
      <c r="I8" s="27">
        <v>6</v>
      </c>
      <c r="J8" s="7">
        <v>0</v>
      </c>
      <c r="K8" s="222">
        <v>5043735</v>
      </c>
      <c r="L8" s="223" t="s">
        <v>23</v>
      </c>
      <c r="M8" s="224"/>
      <c r="N8" s="225">
        <v>398053.8</v>
      </c>
      <c r="O8" s="226">
        <v>3</v>
      </c>
      <c r="P8" s="227">
        <v>27</v>
      </c>
      <c r="Q8" s="226">
        <v>241</v>
      </c>
      <c r="R8" s="227">
        <v>2421</v>
      </c>
      <c r="S8" s="226">
        <v>23903</v>
      </c>
      <c r="T8" s="227">
        <v>238609</v>
      </c>
      <c r="V8" s="228"/>
      <c r="X8" s="274"/>
    </row>
    <row r="9" spans="1:24" x14ac:dyDescent="0.15">
      <c r="A9" s="178"/>
      <c r="B9" s="179">
        <v>39452</v>
      </c>
      <c r="C9" s="180" t="s">
        <v>363</v>
      </c>
      <c r="D9" s="19">
        <v>3</v>
      </c>
      <c r="E9" s="19">
        <v>8</v>
      </c>
      <c r="F9" s="19">
        <v>5</v>
      </c>
      <c r="G9" s="19">
        <v>1</v>
      </c>
      <c r="H9" s="19">
        <v>0</v>
      </c>
      <c r="I9" s="19">
        <v>5</v>
      </c>
      <c r="J9" s="13">
        <v>3</v>
      </c>
      <c r="K9" s="229">
        <v>12306780</v>
      </c>
      <c r="L9" s="230" t="s">
        <v>23</v>
      </c>
      <c r="M9" s="229"/>
      <c r="N9" s="231">
        <v>1218916</v>
      </c>
      <c r="O9" s="232">
        <v>7</v>
      </c>
      <c r="P9" s="233">
        <v>79</v>
      </c>
      <c r="Q9" s="232">
        <v>712</v>
      </c>
      <c r="R9" s="233">
        <v>6979</v>
      </c>
      <c r="S9" s="232">
        <v>76222</v>
      </c>
      <c r="T9" s="233">
        <v>737224</v>
      </c>
      <c r="V9" s="228"/>
      <c r="X9" s="274"/>
    </row>
    <row r="10" spans="1:24" x14ac:dyDescent="0.15">
      <c r="A10" s="172">
        <v>2</v>
      </c>
      <c r="B10" s="173">
        <v>39456</v>
      </c>
      <c r="C10" s="174" t="s">
        <v>362</v>
      </c>
      <c r="D10" s="238">
        <v>8</v>
      </c>
      <c r="E10" s="27">
        <v>5</v>
      </c>
      <c r="F10" s="27">
        <v>4</v>
      </c>
      <c r="G10" s="27">
        <v>6</v>
      </c>
      <c r="H10" s="27">
        <v>6</v>
      </c>
      <c r="I10" s="27">
        <v>1</v>
      </c>
      <c r="J10" s="7">
        <v>5</v>
      </c>
      <c r="K10" s="222">
        <v>5277144</v>
      </c>
      <c r="L10" s="234">
        <v>1</v>
      </c>
      <c r="M10" s="224">
        <v>1570000</v>
      </c>
      <c r="N10" s="225">
        <v>901.5</v>
      </c>
      <c r="O10" s="226">
        <v>3</v>
      </c>
      <c r="P10" s="227">
        <v>30</v>
      </c>
      <c r="Q10" s="226">
        <v>355</v>
      </c>
      <c r="R10" s="227">
        <v>3546</v>
      </c>
      <c r="S10" s="226">
        <v>34729</v>
      </c>
      <c r="T10" s="227">
        <v>375183</v>
      </c>
      <c r="V10" s="228"/>
      <c r="X10" s="274"/>
    </row>
    <row r="11" spans="1:24" x14ac:dyDescent="0.15">
      <c r="A11" s="178"/>
      <c r="B11" s="179">
        <v>39459</v>
      </c>
      <c r="C11" s="180" t="s">
        <v>363</v>
      </c>
      <c r="D11" s="76">
        <v>6</v>
      </c>
      <c r="E11" s="76">
        <v>1</v>
      </c>
      <c r="F11" s="76">
        <v>0</v>
      </c>
      <c r="G11" s="76">
        <v>9</v>
      </c>
      <c r="H11" s="76">
        <v>6</v>
      </c>
      <c r="I11" s="76">
        <v>5</v>
      </c>
      <c r="J11" s="13">
        <v>4</v>
      </c>
      <c r="K11" s="229">
        <v>12732528</v>
      </c>
      <c r="L11" s="237" t="s">
        <v>23</v>
      </c>
      <c r="M11" s="229"/>
      <c r="N11" s="229">
        <v>850161.1</v>
      </c>
      <c r="O11" s="232">
        <v>7</v>
      </c>
      <c r="P11" s="233">
        <v>77</v>
      </c>
      <c r="Q11" s="232">
        <v>775</v>
      </c>
      <c r="R11" s="233">
        <v>7836</v>
      </c>
      <c r="S11" s="232">
        <v>76918</v>
      </c>
      <c r="T11" s="233">
        <v>728188</v>
      </c>
      <c r="V11" s="228"/>
      <c r="X11" s="274"/>
    </row>
    <row r="12" spans="1:24" x14ac:dyDescent="0.15">
      <c r="A12" s="172">
        <v>3</v>
      </c>
      <c r="B12" s="173">
        <v>39463</v>
      </c>
      <c r="C12" s="174" t="s">
        <v>362</v>
      </c>
      <c r="D12" s="27">
        <v>0</v>
      </c>
      <c r="E12" s="27">
        <v>2</v>
      </c>
      <c r="F12" s="27">
        <v>6</v>
      </c>
      <c r="G12" s="27">
        <v>4</v>
      </c>
      <c r="H12" s="27">
        <v>1</v>
      </c>
      <c r="I12" s="27">
        <v>6</v>
      </c>
      <c r="J12" s="7">
        <v>6</v>
      </c>
      <c r="K12" s="222">
        <v>4904226</v>
      </c>
      <c r="L12" s="223" t="s">
        <v>23</v>
      </c>
      <c r="M12" s="224"/>
      <c r="N12" s="225">
        <v>1177273</v>
      </c>
      <c r="O12" s="226">
        <v>5</v>
      </c>
      <c r="P12" s="227">
        <v>36</v>
      </c>
      <c r="Q12" s="226">
        <v>309</v>
      </c>
      <c r="R12" s="227">
        <v>3130</v>
      </c>
      <c r="S12" s="226">
        <v>34019</v>
      </c>
      <c r="T12" s="227">
        <v>307975</v>
      </c>
      <c r="V12" s="228"/>
      <c r="X12" s="274"/>
    </row>
    <row r="13" spans="1:24" x14ac:dyDescent="0.15">
      <c r="A13" s="178"/>
      <c r="B13" s="179">
        <v>39466</v>
      </c>
      <c r="C13" s="180" t="s">
        <v>363</v>
      </c>
      <c r="D13" s="19">
        <v>3</v>
      </c>
      <c r="E13" s="19">
        <v>9</v>
      </c>
      <c r="F13" s="19">
        <v>5</v>
      </c>
      <c r="G13" s="19">
        <v>9</v>
      </c>
      <c r="H13" s="19">
        <v>0</v>
      </c>
      <c r="I13" s="19">
        <v>3</v>
      </c>
      <c r="J13" s="13">
        <v>0</v>
      </c>
      <c r="K13" s="229">
        <v>12167274</v>
      </c>
      <c r="L13" s="230" t="s">
        <v>23</v>
      </c>
      <c r="M13" s="229"/>
      <c r="N13" s="231">
        <v>1988830.2</v>
      </c>
      <c r="O13" s="232">
        <v>7</v>
      </c>
      <c r="P13" s="233">
        <v>48</v>
      </c>
      <c r="Q13" s="232">
        <v>553</v>
      </c>
      <c r="R13" s="233">
        <v>5498</v>
      </c>
      <c r="S13" s="232">
        <v>55031</v>
      </c>
      <c r="T13" s="233">
        <v>561560</v>
      </c>
      <c r="V13" s="228"/>
      <c r="X13" s="274"/>
    </row>
    <row r="14" spans="1:24" x14ac:dyDescent="0.15">
      <c r="A14" s="172">
        <v>4</v>
      </c>
      <c r="B14" s="173">
        <v>39470</v>
      </c>
      <c r="C14" s="174" t="s">
        <v>362</v>
      </c>
      <c r="D14" s="27">
        <v>4</v>
      </c>
      <c r="E14" s="27">
        <v>4</v>
      </c>
      <c r="F14" s="27">
        <v>7</v>
      </c>
      <c r="G14" s="27">
        <v>3</v>
      </c>
      <c r="H14" s="27">
        <v>8</v>
      </c>
      <c r="I14" s="27">
        <v>7</v>
      </c>
      <c r="J14" s="7">
        <v>4</v>
      </c>
      <c r="K14" s="222">
        <v>5110663.5</v>
      </c>
      <c r="L14" s="234" t="s">
        <v>23</v>
      </c>
      <c r="M14" s="224"/>
      <c r="N14" s="225">
        <v>2329711.5</v>
      </c>
      <c r="O14" s="226">
        <v>3</v>
      </c>
      <c r="P14" s="227">
        <v>19</v>
      </c>
      <c r="Q14" s="226">
        <v>282</v>
      </c>
      <c r="R14" s="227">
        <v>2990</v>
      </c>
      <c r="S14" s="226">
        <v>29411</v>
      </c>
      <c r="T14" s="227">
        <v>298797</v>
      </c>
      <c r="V14" s="228"/>
      <c r="X14" s="274"/>
    </row>
    <row r="15" spans="1:24" x14ac:dyDescent="0.15">
      <c r="A15" s="178"/>
      <c r="B15" s="179">
        <v>39473</v>
      </c>
      <c r="C15" s="180" t="s">
        <v>363</v>
      </c>
      <c r="D15" s="19">
        <v>3</v>
      </c>
      <c r="E15" s="19">
        <v>2</v>
      </c>
      <c r="F15" s="19">
        <v>4</v>
      </c>
      <c r="G15" s="19">
        <v>4</v>
      </c>
      <c r="H15" s="19">
        <v>9</v>
      </c>
      <c r="I15" s="19">
        <v>2</v>
      </c>
      <c r="J15" s="13">
        <v>2</v>
      </c>
      <c r="K15" s="229">
        <v>12462054</v>
      </c>
      <c r="L15" s="230" t="s">
        <v>23</v>
      </c>
      <c r="M15" s="229"/>
      <c r="N15" s="231">
        <v>3160930.5</v>
      </c>
      <c r="O15" s="232">
        <v>5</v>
      </c>
      <c r="P15" s="233">
        <v>55</v>
      </c>
      <c r="Q15" s="232">
        <v>686</v>
      </c>
      <c r="R15" s="233">
        <v>6649</v>
      </c>
      <c r="S15" s="232">
        <v>67129</v>
      </c>
      <c r="T15" s="233">
        <v>660332</v>
      </c>
      <c r="V15" s="228"/>
      <c r="X15" s="274"/>
    </row>
    <row r="16" spans="1:24" x14ac:dyDescent="0.15">
      <c r="A16" s="172">
        <v>5</v>
      </c>
      <c r="B16" s="173">
        <v>39477</v>
      </c>
      <c r="C16" s="174" t="s">
        <v>362</v>
      </c>
      <c r="D16" s="27">
        <v>8</v>
      </c>
      <c r="E16" s="27">
        <v>6</v>
      </c>
      <c r="F16" s="27">
        <v>1</v>
      </c>
      <c r="G16" s="27">
        <v>4</v>
      </c>
      <c r="H16" s="27">
        <v>6</v>
      </c>
      <c r="I16" s="27">
        <v>0</v>
      </c>
      <c r="J16" s="7">
        <v>6</v>
      </c>
      <c r="K16" s="222">
        <v>5846464.5</v>
      </c>
      <c r="L16" s="223">
        <v>1</v>
      </c>
      <c r="M16" s="224">
        <v>3470000</v>
      </c>
      <c r="N16" s="224">
        <v>80889.7</v>
      </c>
      <c r="O16" s="226">
        <v>3</v>
      </c>
      <c r="P16" s="227">
        <v>36</v>
      </c>
      <c r="Q16" s="226">
        <v>386</v>
      </c>
      <c r="R16" s="227">
        <v>3558</v>
      </c>
      <c r="S16" s="226">
        <v>33053</v>
      </c>
      <c r="T16" s="227">
        <v>372217</v>
      </c>
      <c r="V16" s="228"/>
      <c r="X16" s="274"/>
    </row>
    <row r="17" spans="1:24" x14ac:dyDescent="0.15">
      <c r="A17" s="178"/>
      <c r="B17" s="179">
        <v>39480</v>
      </c>
      <c r="C17" s="180" t="s">
        <v>363</v>
      </c>
      <c r="D17" s="19">
        <v>4</v>
      </c>
      <c r="E17" s="19">
        <v>4</v>
      </c>
      <c r="F17" s="19">
        <v>0</v>
      </c>
      <c r="G17" s="19">
        <v>0</v>
      </c>
      <c r="H17" s="19">
        <v>3</v>
      </c>
      <c r="I17" s="19">
        <v>9</v>
      </c>
      <c r="J17" s="13">
        <v>7</v>
      </c>
      <c r="K17" s="229">
        <v>13481574</v>
      </c>
      <c r="L17" s="230" t="s">
        <v>23</v>
      </c>
      <c r="M17" s="229"/>
      <c r="N17" s="229">
        <v>980110.7</v>
      </c>
      <c r="O17" s="232">
        <v>10</v>
      </c>
      <c r="P17" s="233">
        <v>87</v>
      </c>
      <c r="Q17" s="232">
        <v>829</v>
      </c>
      <c r="R17" s="233">
        <v>8746</v>
      </c>
      <c r="S17" s="232">
        <v>86211</v>
      </c>
      <c r="T17" s="233">
        <v>902377</v>
      </c>
      <c r="V17" s="228"/>
      <c r="X17" s="274"/>
    </row>
    <row r="18" spans="1:24" x14ac:dyDescent="0.15">
      <c r="A18" s="172">
        <v>6</v>
      </c>
      <c r="B18" s="173">
        <v>39484</v>
      </c>
      <c r="C18" s="174" t="s">
        <v>362</v>
      </c>
      <c r="D18" s="27">
        <v>7</v>
      </c>
      <c r="E18" s="27">
        <v>8</v>
      </c>
      <c r="F18" s="27">
        <v>7</v>
      </c>
      <c r="G18" s="27">
        <v>2</v>
      </c>
      <c r="H18" s="27">
        <v>7</v>
      </c>
      <c r="I18" s="27">
        <v>5</v>
      </c>
      <c r="J18" s="7">
        <v>0</v>
      </c>
      <c r="K18" s="222">
        <v>6631300.5</v>
      </c>
      <c r="L18" s="223" t="s">
        <v>23</v>
      </c>
      <c r="M18" s="224"/>
      <c r="N18" s="224">
        <v>1422418.4</v>
      </c>
      <c r="O18" s="226">
        <v>3</v>
      </c>
      <c r="P18" s="227">
        <v>40</v>
      </c>
      <c r="Q18" s="226">
        <v>336</v>
      </c>
      <c r="R18" s="227">
        <v>3221</v>
      </c>
      <c r="S18" s="226">
        <v>32517</v>
      </c>
      <c r="T18" s="227">
        <v>318767</v>
      </c>
      <c r="V18" s="228"/>
      <c r="X18" s="274"/>
    </row>
    <row r="19" spans="1:24" x14ac:dyDescent="0.15">
      <c r="A19" s="178"/>
      <c r="B19" s="179">
        <v>39487</v>
      </c>
      <c r="C19" s="180" t="s">
        <v>363</v>
      </c>
      <c r="D19" s="19">
        <v>1</v>
      </c>
      <c r="E19" s="19">
        <v>9</v>
      </c>
      <c r="F19" s="19">
        <v>7</v>
      </c>
      <c r="G19" s="19">
        <v>0</v>
      </c>
      <c r="H19" s="19">
        <v>3</v>
      </c>
      <c r="I19" s="19">
        <v>6</v>
      </c>
      <c r="J19" s="13">
        <v>6</v>
      </c>
      <c r="K19" s="229">
        <v>14454928.5</v>
      </c>
      <c r="L19" s="230" t="s">
        <v>23</v>
      </c>
      <c r="M19" s="229"/>
      <c r="N19" s="231">
        <v>2386562.1</v>
      </c>
      <c r="O19" s="232">
        <v>13</v>
      </c>
      <c r="P19" s="233">
        <v>101</v>
      </c>
      <c r="Q19" s="232">
        <v>938</v>
      </c>
      <c r="R19" s="233">
        <v>9281</v>
      </c>
      <c r="S19" s="232">
        <v>93889</v>
      </c>
      <c r="T19" s="233">
        <v>891367</v>
      </c>
      <c r="V19" s="228"/>
      <c r="X19" s="274"/>
    </row>
    <row r="20" spans="1:24" x14ac:dyDescent="0.15">
      <c r="A20" s="172">
        <v>7</v>
      </c>
      <c r="B20" s="173">
        <v>39491</v>
      </c>
      <c r="C20" s="174" t="s">
        <v>362</v>
      </c>
      <c r="D20" s="27">
        <v>6</v>
      </c>
      <c r="E20" s="27">
        <v>6</v>
      </c>
      <c r="F20" s="27">
        <v>7</v>
      </c>
      <c r="G20" s="27">
        <v>8</v>
      </c>
      <c r="H20" s="27">
        <v>7</v>
      </c>
      <c r="I20" s="27">
        <v>4</v>
      </c>
      <c r="J20" s="7">
        <v>4</v>
      </c>
      <c r="K20" s="222">
        <v>5167459.5</v>
      </c>
      <c r="L20" s="223" t="s">
        <v>23</v>
      </c>
      <c r="M20" s="224"/>
      <c r="N20" s="225">
        <v>2731231.6</v>
      </c>
      <c r="O20" s="226">
        <v>2</v>
      </c>
      <c r="P20" s="227">
        <v>33</v>
      </c>
      <c r="Q20" s="226">
        <v>303</v>
      </c>
      <c r="R20" s="227">
        <v>3062</v>
      </c>
      <c r="S20" s="226">
        <v>31843</v>
      </c>
      <c r="T20" s="227">
        <v>300721</v>
      </c>
      <c r="V20" s="228"/>
      <c r="X20" s="274"/>
    </row>
    <row r="21" spans="1:24" x14ac:dyDescent="0.15">
      <c r="A21" s="178"/>
      <c r="B21" s="179">
        <v>39494</v>
      </c>
      <c r="C21" s="180" t="s">
        <v>363</v>
      </c>
      <c r="D21" s="19">
        <v>3</v>
      </c>
      <c r="E21" s="19">
        <v>9</v>
      </c>
      <c r="F21" s="19">
        <v>5</v>
      </c>
      <c r="G21" s="19">
        <v>6</v>
      </c>
      <c r="H21" s="19">
        <v>1</v>
      </c>
      <c r="I21" s="19">
        <v>4</v>
      </c>
      <c r="J21" s="13">
        <v>0</v>
      </c>
      <c r="K21" s="229">
        <v>12354150</v>
      </c>
      <c r="L21" s="230">
        <v>1</v>
      </c>
      <c r="M21" s="229">
        <v>3470000</v>
      </c>
      <c r="N21" s="231">
        <v>85253.4</v>
      </c>
      <c r="O21" s="232">
        <v>13</v>
      </c>
      <c r="P21" s="233">
        <v>46</v>
      </c>
      <c r="Q21" s="232">
        <v>596</v>
      </c>
      <c r="R21" s="233">
        <v>5573</v>
      </c>
      <c r="S21" s="232">
        <v>57338</v>
      </c>
      <c r="T21" s="233">
        <v>573634</v>
      </c>
      <c r="U21" s="240"/>
      <c r="V21" s="228"/>
      <c r="X21" s="274"/>
    </row>
    <row r="22" spans="1:24" x14ac:dyDescent="0.15">
      <c r="A22" s="172">
        <v>8</v>
      </c>
      <c r="B22" s="173">
        <v>39498</v>
      </c>
      <c r="C22" s="174" t="s">
        <v>362</v>
      </c>
      <c r="D22" s="27">
        <v>2</v>
      </c>
      <c r="E22" s="27">
        <v>4</v>
      </c>
      <c r="F22" s="27">
        <v>3</v>
      </c>
      <c r="G22" s="27">
        <v>1</v>
      </c>
      <c r="H22" s="27">
        <v>5</v>
      </c>
      <c r="I22" s="27">
        <v>7</v>
      </c>
      <c r="J22" s="7">
        <v>2</v>
      </c>
      <c r="K22" s="222">
        <v>4842550.5</v>
      </c>
      <c r="L22" s="223" t="s">
        <v>23</v>
      </c>
      <c r="M22" s="224"/>
      <c r="N22" s="225">
        <v>408251.5</v>
      </c>
      <c r="O22" s="226">
        <v>6</v>
      </c>
      <c r="P22" s="227">
        <v>22</v>
      </c>
      <c r="Q22" s="226">
        <v>293</v>
      </c>
      <c r="R22" s="227">
        <v>2503</v>
      </c>
      <c r="S22" s="226">
        <v>25421</v>
      </c>
      <c r="T22" s="227">
        <v>255297</v>
      </c>
      <c r="V22" s="228"/>
      <c r="X22" s="274"/>
    </row>
    <row r="23" spans="1:24" x14ac:dyDescent="0.15">
      <c r="A23" s="178"/>
      <c r="B23" s="179">
        <v>39501</v>
      </c>
      <c r="C23" s="180" t="s">
        <v>363</v>
      </c>
      <c r="D23" s="19">
        <v>6</v>
      </c>
      <c r="E23" s="19">
        <v>1</v>
      </c>
      <c r="F23" s="19">
        <v>4</v>
      </c>
      <c r="G23" s="19">
        <v>7</v>
      </c>
      <c r="H23" s="19">
        <v>2</v>
      </c>
      <c r="I23" s="19">
        <v>2</v>
      </c>
      <c r="J23" s="13">
        <v>7</v>
      </c>
      <c r="K23" s="229">
        <v>12070542</v>
      </c>
      <c r="L23" s="230" t="s">
        <v>23</v>
      </c>
      <c r="M23" s="229"/>
      <c r="N23" s="231">
        <v>1213356.7</v>
      </c>
      <c r="O23" s="232">
        <v>12</v>
      </c>
      <c r="P23" s="233">
        <v>92</v>
      </c>
      <c r="Q23" s="232">
        <v>806</v>
      </c>
      <c r="R23" s="233">
        <v>7736</v>
      </c>
      <c r="S23" s="232">
        <v>84219</v>
      </c>
      <c r="T23" s="233">
        <v>810791</v>
      </c>
      <c r="V23" s="228"/>
      <c r="X23" s="274"/>
    </row>
    <row r="24" spans="1:24" x14ac:dyDescent="0.15">
      <c r="A24" s="172">
        <v>9</v>
      </c>
      <c r="B24" s="173">
        <v>39505</v>
      </c>
      <c r="C24" s="174" t="s">
        <v>362</v>
      </c>
      <c r="D24" s="27">
        <v>5</v>
      </c>
      <c r="E24" s="27">
        <v>4</v>
      </c>
      <c r="F24" s="27">
        <v>4</v>
      </c>
      <c r="G24" s="27">
        <v>7</v>
      </c>
      <c r="H24" s="27">
        <v>2</v>
      </c>
      <c r="I24" s="27">
        <v>7</v>
      </c>
      <c r="J24" s="7">
        <v>3</v>
      </c>
      <c r="K24" s="222">
        <v>5120985</v>
      </c>
      <c r="L24" s="223" t="s">
        <v>23</v>
      </c>
      <c r="M24" s="224"/>
      <c r="N24" s="225">
        <v>1554926.4</v>
      </c>
      <c r="O24" s="226">
        <v>1</v>
      </c>
      <c r="P24" s="227">
        <v>44</v>
      </c>
      <c r="Q24" s="226">
        <v>316</v>
      </c>
      <c r="R24" s="227">
        <v>3164</v>
      </c>
      <c r="S24" s="226">
        <v>30849</v>
      </c>
      <c r="T24" s="227">
        <v>310812</v>
      </c>
      <c r="V24" s="228"/>
      <c r="X24" s="274"/>
    </row>
    <row r="25" spans="1:24" x14ac:dyDescent="0.15">
      <c r="A25" s="178"/>
      <c r="B25" s="179">
        <v>39508</v>
      </c>
      <c r="C25" s="180" t="s">
        <v>363</v>
      </c>
      <c r="D25" s="19">
        <v>4</v>
      </c>
      <c r="E25" s="19">
        <v>2</v>
      </c>
      <c r="F25" s="19">
        <v>8</v>
      </c>
      <c r="G25" s="19">
        <v>0</v>
      </c>
      <c r="H25" s="19">
        <v>2</v>
      </c>
      <c r="I25" s="19">
        <v>6</v>
      </c>
      <c r="J25" s="13">
        <v>1</v>
      </c>
      <c r="K25" s="229">
        <v>12069930</v>
      </c>
      <c r="L25" s="230">
        <v>2</v>
      </c>
      <c r="M25" s="229">
        <v>1170000</v>
      </c>
      <c r="N25" s="231">
        <v>19990.7</v>
      </c>
      <c r="O25" s="232">
        <v>4</v>
      </c>
      <c r="P25" s="233">
        <v>60</v>
      </c>
      <c r="Q25" s="232">
        <v>629</v>
      </c>
      <c r="R25" s="233">
        <v>6572</v>
      </c>
      <c r="S25" s="232">
        <v>64635</v>
      </c>
      <c r="T25" s="233">
        <v>635619</v>
      </c>
      <c r="V25" s="228"/>
      <c r="X25" s="274"/>
    </row>
    <row r="26" spans="1:24" x14ac:dyDescent="0.15">
      <c r="A26" s="172">
        <v>10</v>
      </c>
      <c r="B26" s="173">
        <v>39512</v>
      </c>
      <c r="C26" s="174" t="s">
        <v>362</v>
      </c>
      <c r="D26" s="27">
        <v>1</v>
      </c>
      <c r="E26" s="27">
        <v>2</v>
      </c>
      <c r="F26" s="27">
        <v>6</v>
      </c>
      <c r="G26" s="27">
        <v>3</v>
      </c>
      <c r="H26" s="27">
        <v>6</v>
      </c>
      <c r="I26" s="27">
        <v>5</v>
      </c>
      <c r="J26" s="7">
        <v>0</v>
      </c>
      <c r="K26" s="222">
        <v>4980033</v>
      </c>
      <c r="L26" s="223">
        <v>1</v>
      </c>
      <c r="M26" s="224">
        <v>270000</v>
      </c>
      <c r="N26" s="225">
        <v>82158.899999999994</v>
      </c>
      <c r="O26" s="226">
        <v>2</v>
      </c>
      <c r="P26" s="227">
        <v>30</v>
      </c>
      <c r="Q26" s="226">
        <v>264</v>
      </c>
      <c r="R26" s="227">
        <v>2401</v>
      </c>
      <c r="S26" s="226">
        <v>24467</v>
      </c>
      <c r="T26" s="227">
        <v>237725</v>
      </c>
      <c r="V26" s="228"/>
      <c r="X26" s="274"/>
    </row>
    <row r="27" spans="1:24" x14ac:dyDescent="0.15">
      <c r="A27" s="178"/>
      <c r="B27" s="179">
        <v>39515</v>
      </c>
      <c r="C27" s="180" t="s">
        <v>363</v>
      </c>
      <c r="D27" s="19">
        <v>6</v>
      </c>
      <c r="E27" s="19">
        <v>9</v>
      </c>
      <c r="F27" s="19">
        <v>4</v>
      </c>
      <c r="G27" s="19">
        <v>2</v>
      </c>
      <c r="H27" s="19">
        <v>9</v>
      </c>
      <c r="I27" s="19">
        <v>9</v>
      </c>
      <c r="J27" s="13">
        <v>9</v>
      </c>
      <c r="K27" s="229">
        <v>11891700</v>
      </c>
      <c r="L27" s="230" t="s">
        <v>23</v>
      </c>
      <c r="M27" s="229"/>
      <c r="N27" s="231">
        <v>875335.3</v>
      </c>
      <c r="O27" s="232">
        <v>7</v>
      </c>
      <c r="P27" s="233">
        <v>85</v>
      </c>
      <c r="Q27" s="232">
        <v>809</v>
      </c>
      <c r="R27" s="233">
        <v>8150</v>
      </c>
      <c r="S27" s="232">
        <v>68097</v>
      </c>
      <c r="T27" s="233">
        <v>708440</v>
      </c>
      <c r="V27" s="228"/>
      <c r="X27" s="274"/>
    </row>
    <row r="28" spans="1:24" x14ac:dyDescent="0.15">
      <c r="A28" s="172">
        <v>11</v>
      </c>
      <c r="B28" s="173">
        <v>39519</v>
      </c>
      <c r="C28" s="174" t="s">
        <v>362</v>
      </c>
      <c r="D28" s="27">
        <v>1</v>
      </c>
      <c r="E28" s="27">
        <v>2</v>
      </c>
      <c r="F28" s="27">
        <v>1</v>
      </c>
      <c r="G28" s="27">
        <v>9</v>
      </c>
      <c r="H28" s="27">
        <v>5</v>
      </c>
      <c r="I28" s="27">
        <v>2</v>
      </c>
      <c r="J28" s="7">
        <v>7</v>
      </c>
      <c r="K28" s="222">
        <v>4908853.5</v>
      </c>
      <c r="L28" s="223">
        <v>1</v>
      </c>
      <c r="M28" s="224">
        <v>1170000</v>
      </c>
      <c r="N28" s="225">
        <v>32755.8</v>
      </c>
      <c r="O28" s="226">
        <v>6</v>
      </c>
      <c r="P28" s="227">
        <v>35</v>
      </c>
      <c r="Q28" s="226">
        <v>345</v>
      </c>
      <c r="R28" s="227">
        <v>3351</v>
      </c>
      <c r="S28" s="226">
        <v>33523</v>
      </c>
      <c r="T28" s="227">
        <v>327694</v>
      </c>
      <c r="V28" s="228"/>
      <c r="X28" s="274"/>
    </row>
    <row r="29" spans="1:24" x14ac:dyDescent="0.15">
      <c r="A29" s="178"/>
      <c r="B29" s="179">
        <v>39522</v>
      </c>
      <c r="C29" s="180" t="s">
        <v>363</v>
      </c>
      <c r="D29" s="19">
        <v>5</v>
      </c>
      <c r="E29" s="19">
        <v>8</v>
      </c>
      <c r="F29" s="19">
        <v>1</v>
      </c>
      <c r="G29" s="19">
        <v>3</v>
      </c>
      <c r="H29" s="19">
        <v>2</v>
      </c>
      <c r="I29" s="19">
        <v>9</v>
      </c>
      <c r="J29" s="13">
        <v>2</v>
      </c>
      <c r="K29" s="229">
        <v>12184621.5</v>
      </c>
      <c r="L29" s="230" t="s">
        <v>23</v>
      </c>
      <c r="M29" s="229"/>
      <c r="N29" s="231">
        <v>845470.1</v>
      </c>
      <c r="O29" s="232">
        <v>4</v>
      </c>
      <c r="P29" s="233">
        <v>67</v>
      </c>
      <c r="Q29" s="232">
        <v>666</v>
      </c>
      <c r="R29" s="233">
        <v>6283</v>
      </c>
      <c r="S29" s="232">
        <v>62128</v>
      </c>
      <c r="T29" s="233">
        <v>650305</v>
      </c>
      <c r="V29" s="228"/>
      <c r="X29" s="274"/>
    </row>
    <row r="30" spans="1:24" x14ac:dyDescent="0.15">
      <c r="A30" s="172">
        <v>12</v>
      </c>
      <c r="B30" s="173">
        <v>39526</v>
      </c>
      <c r="C30" s="174" t="s">
        <v>362</v>
      </c>
      <c r="D30" s="27">
        <v>1</v>
      </c>
      <c r="E30" s="27">
        <v>3</v>
      </c>
      <c r="F30" s="27">
        <v>0</v>
      </c>
      <c r="G30" s="27">
        <v>0</v>
      </c>
      <c r="H30" s="27">
        <v>5</v>
      </c>
      <c r="I30" s="27">
        <v>7</v>
      </c>
      <c r="J30" s="7">
        <v>0</v>
      </c>
      <c r="K30" s="222">
        <v>4784194.5</v>
      </c>
      <c r="L30" s="223">
        <v>1</v>
      </c>
      <c r="M30" s="224">
        <v>1070000</v>
      </c>
      <c r="N30" s="225">
        <v>94575.9</v>
      </c>
      <c r="O30" s="226">
        <v>3</v>
      </c>
      <c r="P30" s="227">
        <v>25</v>
      </c>
      <c r="Q30" s="226">
        <v>194</v>
      </c>
      <c r="R30" s="227">
        <v>2373</v>
      </c>
      <c r="S30" s="226">
        <v>22742</v>
      </c>
      <c r="T30" s="227">
        <v>230081</v>
      </c>
      <c r="V30" s="228"/>
      <c r="X30" s="274"/>
    </row>
    <row r="31" spans="1:24" x14ac:dyDescent="0.15">
      <c r="A31" s="178"/>
      <c r="B31" s="179">
        <v>39529</v>
      </c>
      <c r="C31" s="180" t="s">
        <v>363</v>
      </c>
      <c r="D31" s="19">
        <v>7</v>
      </c>
      <c r="E31" s="19">
        <v>7</v>
      </c>
      <c r="F31" s="19">
        <v>7</v>
      </c>
      <c r="G31" s="19">
        <v>0</v>
      </c>
      <c r="H31" s="19">
        <v>1</v>
      </c>
      <c r="I31" s="19">
        <v>6</v>
      </c>
      <c r="J31" s="13">
        <v>5</v>
      </c>
      <c r="K31" s="229">
        <v>11953633.5</v>
      </c>
      <c r="L31" s="230" t="s">
        <v>23</v>
      </c>
      <c r="M31" s="229"/>
      <c r="N31" s="231">
        <v>891883.3</v>
      </c>
      <c r="O31" s="232">
        <v>9</v>
      </c>
      <c r="P31" s="233">
        <v>93</v>
      </c>
      <c r="Q31" s="232">
        <v>834</v>
      </c>
      <c r="R31" s="233">
        <v>8613</v>
      </c>
      <c r="S31" s="232">
        <v>87455</v>
      </c>
      <c r="T31" s="233">
        <v>831573</v>
      </c>
      <c r="V31" s="228"/>
      <c r="X31" s="274"/>
    </row>
    <row r="32" spans="1:24" x14ac:dyDescent="0.15">
      <c r="A32" s="172">
        <v>13</v>
      </c>
      <c r="B32" s="173">
        <v>39533</v>
      </c>
      <c r="C32" s="174" t="s">
        <v>362</v>
      </c>
      <c r="D32" s="27">
        <v>8</v>
      </c>
      <c r="E32" s="27">
        <v>4</v>
      </c>
      <c r="F32" s="27">
        <v>7</v>
      </c>
      <c r="G32" s="27">
        <v>1</v>
      </c>
      <c r="H32" s="27">
        <v>1</v>
      </c>
      <c r="I32" s="27">
        <v>1</v>
      </c>
      <c r="J32" s="7">
        <v>5</v>
      </c>
      <c r="K32" s="222">
        <v>4799955</v>
      </c>
      <c r="L32" s="223" t="s">
        <v>23</v>
      </c>
      <c r="M32" s="224"/>
      <c r="N32" s="225">
        <v>1212040.3</v>
      </c>
      <c r="O32" s="226">
        <v>1</v>
      </c>
      <c r="P32" s="227">
        <v>19</v>
      </c>
      <c r="Q32" s="226">
        <v>266</v>
      </c>
      <c r="R32" s="227">
        <v>2969</v>
      </c>
      <c r="S32" s="226">
        <v>31521</v>
      </c>
      <c r="T32" s="227">
        <v>335424</v>
      </c>
      <c r="V32" s="228"/>
      <c r="X32" s="274"/>
    </row>
    <row r="33" spans="1:24" x14ac:dyDescent="0.15">
      <c r="A33" s="178"/>
      <c r="B33" s="179">
        <v>39536</v>
      </c>
      <c r="C33" s="180" t="s">
        <v>363</v>
      </c>
      <c r="D33" s="19">
        <v>2</v>
      </c>
      <c r="E33" s="19">
        <v>3</v>
      </c>
      <c r="F33" s="19">
        <v>7</v>
      </c>
      <c r="G33" s="19">
        <v>5</v>
      </c>
      <c r="H33" s="19">
        <v>3</v>
      </c>
      <c r="I33" s="19">
        <v>1</v>
      </c>
      <c r="J33" s="13">
        <v>2</v>
      </c>
      <c r="K33" s="229">
        <v>12478704</v>
      </c>
      <c r="L33" s="230" t="s">
        <v>23</v>
      </c>
      <c r="M33" s="229"/>
      <c r="N33" s="231">
        <v>2044369.9</v>
      </c>
      <c r="O33" s="232">
        <v>3</v>
      </c>
      <c r="P33" s="233">
        <v>82</v>
      </c>
      <c r="Q33" s="232">
        <v>673</v>
      </c>
      <c r="R33" s="233">
        <v>6925</v>
      </c>
      <c r="S33" s="232">
        <v>67376</v>
      </c>
      <c r="T33" s="233">
        <v>664592</v>
      </c>
      <c r="V33" s="228"/>
      <c r="X33" s="274"/>
    </row>
    <row r="34" spans="1:24" x14ac:dyDescent="0.15">
      <c r="A34" s="172">
        <v>14</v>
      </c>
      <c r="B34" s="173">
        <v>39540</v>
      </c>
      <c r="C34" s="174" t="s">
        <v>362</v>
      </c>
      <c r="D34" s="27">
        <v>3</v>
      </c>
      <c r="E34" s="27">
        <v>7</v>
      </c>
      <c r="F34" s="27">
        <v>5</v>
      </c>
      <c r="G34" s="27">
        <v>1</v>
      </c>
      <c r="H34" s="27">
        <v>1</v>
      </c>
      <c r="I34" s="27">
        <v>7</v>
      </c>
      <c r="J34" s="7">
        <v>7</v>
      </c>
      <c r="K34" s="222">
        <v>4760184</v>
      </c>
      <c r="L34" s="223" t="s">
        <v>23</v>
      </c>
      <c r="M34" s="224"/>
      <c r="N34" s="225">
        <v>2361874.2000000002</v>
      </c>
      <c r="O34" s="226">
        <v>5</v>
      </c>
      <c r="P34" s="227">
        <v>31</v>
      </c>
      <c r="Q34" s="226">
        <v>371</v>
      </c>
      <c r="R34" s="227">
        <v>3514</v>
      </c>
      <c r="S34" s="226">
        <v>37067</v>
      </c>
      <c r="T34" s="227">
        <v>318088</v>
      </c>
      <c r="V34" s="228"/>
      <c r="X34" s="274"/>
    </row>
    <row r="35" spans="1:24" x14ac:dyDescent="0.15">
      <c r="A35" s="178"/>
      <c r="B35" s="179">
        <v>39543</v>
      </c>
      <c r="C35" s="180" t="s">
        <v>363</v>
      </c>
      <c r="D35" s="19">
        <v>3</v>
      </c>
      <c r="E35" s="19">
        <v>1</v>
      </c>
      <c r="F35" s="19">
        <v>6</v>
      </c>
      <c r="G35" s="19">
        <v>7</v>
      </c>
      <c r="H35" s="19">
        <v>4</v>
      </c>
      <c r="I35" s="19">
        <v>5</v>
      </c>
      <c r="J35" s="13">
        <v>8</v>
      </c>
      <c r="K35" s="229">
        <v>11983378.5</v>
      </c>
      <c r="L35" s="230">
        <v>1</v>
      </c>
      <c r="M35" s="229">
        <v>3070000</v>
      </c>
      <c r="N35" s="231">
        <v>91165.5</v>
      </c>
      <c r="O35" s="232">
        <v>3</v>
      </c>
      <c r="P35" s="233">
        <v>83</v>
      </c>
      <c r="Q35" s="232">
        <v>884</v>
      </c>
      <c r="R35" s="233">
        <v>8704</v>
      </c>
      <c r="S35" s="232">
        <v>86434</v>
      </c>
      <c r="T35" s="233">
        <v>817170</v>
      </c>
      <c r="V35" s="228"/>
      <c r="X35" s="274"/>
    </row>
    <row r="36" spans="1:24" x14ac:dyDescent="0.15">
      <c r="A36" s="172">
        <v>15</v>
      </c>
      <c r="B36" s="173">
        <v>39547</v>
      </c>
      <c r="C36" s="174" t="s">
        <v>362</v>
      </c>
      <c r="D36" s="27">
        <v>5</v>
      </c>
      <c r="E36" s="27">
        <v>8</v>
      </c>
      <c r="F36" s="27">
        <v>2</v>
      </c>
      <c r="G36" s="27">
        <v>4</v>
      </c>
      <c r="H36" s="27">
        <v>5</v>
      </c>
      <c r="I36" s="27">
        <v>1</v>
      </c>
      <c r="J36" s="7">
        <v>5</v>
      </c>
      <c r="K36" s="222">
        <v>4960272</v>
      </c>
      <c r="L36" s="234" t="s">
        <v>23</v>
      </c>
      <c r="M36" s="224"/>
      <c r="N36" s="225">
        <v>422015.6</v>
      </c>
      <c r="O36" s="226">
        <v>3</v>
      </c>
      <c r="P36" s="227">
        <v>30</v>
      </c>
      <c r="Q36" s="226">
        <v>330</v>
      </c>
      <c r="R36" s="227">
        <v>3471</v>
      </c>
      <c r="S36" s="226">
        <v>32995</v>
      </c>
      <c r="T36" s="227">
        <v>351730</v>
      </c>
      <c r="V36" s="228"/>
      <c r="X36" s="274"/>
    </row>
    <row r="37" spans="1:24" x14ac:dyDescent="0.15">
      <c r="A37" s="178"/>
      <c r="B37" s="179">
        <v>39550</v>
      </c>
      <c r="C37" s="180" t="s">
        <v>363</v>
      </c>
      <c r="D37" s="19">
        <v>9</v>
      </c>
      <c r="E37" s="19">
        <v>5</v>
      </c>
      <c r="F37" s="19">
        <v>2</v>
      </c>
      <c r="G37" s="19">
        <v>9</v>
      </c>
      <c r="H37" s="19">
        <v>5</v>
      </c>
      <c r="I37" s="19">
        <v>7</v>
      </c>
      <c r="J37" s="13">
        <v>3</v>
      </c>
      <c r="K37" s="229">
        <v>11668333.5</v>
      </c>
      <c r="L37" s="230">
        <v>1</v>
      </c>
      <c r="M37" s="229">
        <v>1170000</v>
      </c>
      <c r="N37" s="231">
        <v>30293.4</v>
      </c>
      <c r="O37" s="232">
        <v>7</v>
      </c>
      <c r="P37" s="233">
        <v>67</v>
      </c>
      <c r="Q37" s="232">
        <v>706</v>
      </c>
      <c r="R37" s="233">
        <v>7052</v>
      </c>
      <c r="S37" s="232">
        <v>70594</v>
      </c>
      <c r="T37" s="233">
        <v>700957</v>
      </c>
      <c r="V37" s="228"/>
      <c r="X37" s="274"/>
    </row>
    <row r="38" spans="1:24" x14ac:dyDescent="0.15">
      <c r="A38" s="172">
        <v>16</v>
      </c>
      <c r="B38" s="173">
        <v>39554</v>
      </c>
      <c r="C38" s="174" t="s">
        <v>362</v>
      </c>
      <c r="D38" s="27">
        <v>1</v>
      </c>
      <c r="E38" s="27">
        <v>8</v>
      </c>
      <c r="F38" s="27">
        <v>2</v>
      </c>
      <c r="G38" s="27">
        <v>3</v>
      </c>
      <c r="H38" s="27">
        <v>1</v>
      </c>
      <c r="I38" s="27">
        <v>8</v>
      </c>
      <c r="J38" s="7">
        <v>1</v>
      </c>
      <c r="K38" s="222">
        <v>4786912.5</v>
      </c>
      <c r="L38" s="234" t="s">
        <v>23</v>
      </c>
      <c r="M38" s="224"/>
      <c r="N38" s="225">
        <v>349580.5</v>
      </c>
      <c r="O38" s="226">
        <v>3</v>
      </c>
      <c r="P38" s="227">
        <v>19</v>
      </c>
      <c r="Q38" s="226">
        <v>230</v>
      </c>
      <c r="R38" s="227">
        <v>2505</v>
      </c>
      <c r="S38" s="226">
        <v>24771</v>
      </c>
      <c r="T38" s="227">
        <v>252573</v>
      </c>
      <c r="V38" s="228"/>
      <c r="X38" s="274"/>
    </row>
    <row r="39" spans="1:24" x14ac:dyDescent="0.15">
      <c r="A39" s="178"/>
      <c r="B39" s="179">
        <v>39557</v>
      </c>
      <c r="C39" s="180" t="s">
        <v>363</v>
      </c>
      <c r="D39" s="19">
        <v>6</v>
      </c>
      <c r="E39" s="19">
        <v>0</v>
      </c>
      <c r="F39" s="19">
        <v>0</v>
      </c>
      <c r="G39" s="19">
        <v>5</v>
      </c>
      <c r="H39" s="19">
        <v>8</v>
      </c>
      <c r="I39" s="19">
        <v>2</v>
      </c>
      <c r="J39" s="13">
        <v>7</v>
      </c>
      <c r="K39" s="229">
        <v>11548449</v>
      </c>
      <c r="L39" s="230" t="s">
        <v>23</v>
      </c>
      <c r="M39" s="229"/>
      <c r="N39" s="231">
        <v>1119862</v>
      </c>
      <c r="O39" s="232">
        <v>7</v>
      </c>
      <c r="P39" s="233">
        <v>76</v>
      </c>
      <c r="Q39" s="232">
        <v>870</v>
      </c>
      <c r="R39" s="233">
        <v>8266</v>
      </c>
      <c r="S39" s="232">
        <v>83167</v>
      </c>
      <c r="T39" s="233">
        <v>798388</v>
      </c>
      <c r="V39" s="228"/>
      <c r="X39" s="274"/>
    </row>
    <row r="40" spans="1:24" x14ac:dyDescent="0.15">
      <c r="A40" s="172">
        <v>17</v>
      </c>
      <c r="B40" s="173">
        <v>39561</v>
      </c>
      <c r="C40" s="174" t="s">
        <v>362</v>
      </c>
      <c r="D40" s="27">
        <v>2</v>
      </c>
      <c r="E40" s="27">
        <v>1</v>
      </c>
      <c r="F40" s="27">
        <v>6</v>
      </c>
      <c r="G40" s="27">
        <v>1</v>
      </c>
      <c r="H40" s="27">
        <v>3</v>
      </c>
      <c r="I40" s="27">
        <v>4</v>
      </c>
      <c r="J40" s="7">
        <v>3</v>
      </c>
      <c r="K40" s="222">
        <v>4479510</v>
      </c>
      <c r="L40" s="223">
        <v>1</v>
      </c>
      <c r="M40" s="224">
        <v>1370000</v>
      </c>
      <c r="N40" s="225">
        <v>48645.3</v>
      </c>
      <c r="O40" s="226">
        <v>1</v>
      </c>
      <c r="P40" s="227">
        <v>36</v>
      </c>
      <c r="Q40" s="226">
        <v>304</v>
      </c>
      <c r="R40" s="227">
        <v>2686</v>
      </c>
      <c r="S40" s="226">
        <v>26611</v>
      </c>
      <c r="T40" s="227">
        <v>271749</v>
      </c>
      <c r="V40" s="228"/>
      <c r="X40" s="274"/>
    </row>
    <row r="41" spans="1:24" x14ac:dyDescent="0.15">
      <c r="A41" s="178"/>
      <c r="B41" s="179">
        <v>39564</v>
      </c>
      <c r="C41" s="180" t="s">
        <v>363</v>
      </c>
      <c r="D41" s="19">
        <v>9</v>
      </c>
      <c r="E41" s="19">
        <v>4</v>
      </c>
      <c r="F41" s="19">
        <v>2</v>
      </c>
      <c r="G41" s="19">
        <v>6</v>
      </c>
      <c r="H41" s="19">
        <v>3</v>
      </c>
      <c r="I41" s="19">
        <v>7</v>
      </c>
      <c r="J41" s="13">
        <v>2</v>
      </c>
      <c r="K41" s="229">
        <v>11463031.5</v>
      </c>
      <c r="L41" s="230" t="s">
        <v>23</v>
      </c>
      <c r="M41" s="229"/>
      <c r="N41" s="231">
        <v>813229.5</v>
      </c>
      <c r="O41" s="232">
        <v>7</v>
      </c>
      <c r="P41" s="233">
        <v>58</v>
      </c>
      <c r="Q41" s="232">
        <v>649</v>
      </c>
      <c r="R41" s="233">
        <v>6134</v>
      </c>
      <c r="S41" s="232">
        <v>60746</v>
      </c>
      <c r="T41" s="233">
        <v>608881</v>
      </c>
      <c r="V41" s="228"/>
      <c r="X41" s="274"/>
    </row>
    <row r="42" spans="1:24" x14ac:dyDescent="0.15">
      <c r="A42" s="172">
        <v>18</v>
      </c>
      <c r="B42" s="173">
        <v>39568</v>
      </c>
      <c r="C42" s="174" t="s">
        <v>362</v>
      </c>
      <c r="D42" s="27">
        <v>2</v>
      </c>
      <c r="E42" s="27">
        <v>5</v>
      </c>
      <c r="F42" s="27">
        <v>3</v>
      </c>
      <c r="G42" s="27">
        <v>2</v>
      </c>
      <c r="H42" s="27">
        <v>4</v>
      </c>
      <c r="I42" s="27">
        <v>4</v>
      </c>
      <c r="J42" s="7">
        <v>3</v>
      </c>
      <c r="K42" s="222">
        <v>4595427</v>
      </c>
      <c r="L42" s="234" t="s">
        <v>23</v>
      </c>
      <c r="M42" s="224"/>
      <c r="N42" s="225">
        <v>1119744.5</v>
      </c>
      <c r="O42" s="226">
        <v>6</v>
      </c>
      <c r="P42" s="227">
        <v>32</v>
      </c>
      <c r="Q42" s="226">
        <v>277</v>
      </c>
      <c r="R42" s="227">
        <v>2636</v>
      </c>
      <c r="S42" s="226">
        <v>27744</v>
      </c>
      <c r="T42" s="227">
        <v>279148</v>
      </c>
      <c r="V42" s="228"/>
      <c r="X42" s="274"/>
    </row>
    <row r="43" spans="1:24" x14ac:dyDescent="0.15">
      <c r="A43" s="178"/>
      <c r="B43" s="179">
        <v>39571</v>
      </c>
      <c r="C43" s="180" t="s">
        <v>363</v>
      </c>
      <c r="D43" s="19">
        <v>0</v>
      </c>
      <c r="E43" s="19">
        <v>5</v>
      </c>
      <c r="F43" s="19">
        <v>4</v>
      </c>
      <c r="G43" s="19">
        <v>0</v>
      </c>
      <c r="H43" s="19">
        <v>2</v>
      </c>
      <c r="I43" s="19">
        <v>1</v>
      </c>
      <c r="J43" s="13">
        <v>7</v>
      </c>
      <c r="K43" s="229">
        <v>11451192</v>
      </c>
      <c r="L43" s="237">
        <v>1</v>
      </c>
      <c r="M43" s="229">
        <v>1870000</v>
      </c>
      <c r="N43" s="231">
        <v>13539</v>
      </c>
      <c r="O43" s="232">
        <v>7</v>
      </c>
      <c r="P43" s="233">
        <v>88</v>
      </c>
      <c r="Q43" s="232">
        <v>762</v>
      </c>
      <c r="R43" s="233">
        <v>7737</v>
      </c>
      <c r="S43" s="232">
        <v>77484</v>
      </c>
      <c r="T43" s="233">
        <v>800190</v>
      </c>
      <c r="V43" s="228"/>
      <c r="X43" s="274"/>
    </row>
    <row r="44" spans="1:24" x14ac:dyDescent="0.15">
      <c r="A44" s="172">
        <v>19</v>
      </c>
      <c r="B44" s="173">
        <v>39575</v>
      </c>
      <c r="C44" s="174" t="s">
        <v>362</v>
      </c>
      <c r="D44" s="27">
        <v>9</v>
      </c>
      <c r="E44" s="27">
        <v>0</v>
      </c>
      <c r="F44" s="27">
        <v>8</v>
      </c>
      <c r="G44" s="27">
        <v>4</v>
      </c>
      <c r="H44" s="27">
        <v>5</v>
      </c>
      <c r="I44" s="27">
        <v>3</v>
      </c>
      <c r="J44" s="7">
        <v>5</v>
      </c>
      <c r="K44" s="222">
        <v>4743169.5</v>
      </c>
      <c r="L44" s="234">
        <v>2</v>
      </c>
      <c r="M44" s="224">
        <v>170000</v>
      </c>
      <c r="N44" s="225">
        <v>0</v>
      </c>
      <c r="O44" s="226">
        <v>1</v>
      </c>
      <c r="P44" s="227">
        <v>49</v>
      </c>
      <c r="Q44" s="226">
        <v>356</v>
      </c>
      <c r="R44" s="227">
        <v>3784</v>
      </c>
      <c r="S44" s="226">
        <v>36478</v>
      </c>
      <c r="T44" s="227">
        <v>339321</v>
      </c>
      <c r="V44" s="228"/>
      <c r="X44" s="274"/>
    </row>
    <row r="45" spans="1:24" x14ac:dyDescent="0.15">
      <c r="A45" s="178"/>
      <c r="B45" s="179">
        <v>39578</v>
      </c>
      <c r="C45" s="180" t="s">
        <v>363</v>
      </c>
      <c r="D45" s="19">
        <v>7</v>
      </c>
      <c r="E45" s="19">
        <v>6</v>
      </c>
      <c r="F45" s="19">
        <v>7</v>
      </c>
      <c r="G45" s="19">
        <v>7</v>
      </c>
      <c r="H45" s="19">
        <v>6</v>
      </c>
      <c r="I45" s="19">
        <v>4</v>
      </c>
      <c r="J45" s="13">
        <v>0</v>
      </c>
      <c r="K45" s="229">
        <v>12087367.5</v>
      </c>
      <c r="L45" s="230" t="s">
        <v>23</v>
      </c>
      <c r="M45" s="229"/>
      <c r="N45" s="231">
        <v>806227.4</v>
      </c>
      <c r="O45" s="232">
        <v>3</v>
      </c>
      <c r="P45" s="233">
        <v>65</v>
      </c>
      <c r="Q45" s="232">
        <v>568</v>
      </c>
      <c r="R45" s="233">
        <v>5576</v>
      </c>
      <c r="S45" s="232">
        <v>56216</v>
      </c>
      <c r="T45" s="233">
        <v>561737</v>
      </c>
      <c r="V45" s="228"/>
      <c r="X45" s="274"/>
    </row>
    <row r="46" spans="1:24" x14ac:dyDescent="0.15">
      <c r="A46" s="172">
        <v>20</v>
      </c>
      <c r="B46" s="173">
        <v>39582</v>
      </c>
      <c r="C46" s="174" t="s">
        <v>362</v>
      </c>
      <c r="D46" s="27">
        <v>0</v>
      </c>
      <c r="E46" s="27">
        <v>8</v>
      </c>
      <c r="F46" s="27">
        <v>7</v>
      </c>
      <c r="G46" s="27">
        <v>4</v>
      </c>
      <c r="H46" s="27">
        <v>2</v>
      </c>
      <c r="I46" s="27">
        <v>0</v>
      </c>
      <c r="J46" s="7">
        <v>7</v>
      </c>
      <c r="K46" s="222">
        <v>5290744.5</v>
      </c>
      <c r="L46" s="223">
        <v>1</v>
      </c>
      <c r="M46" s="224">
        <v>1070000</v>
      </c>
      <c r="N46" s="225">
        <v>89120.1</v>
      </c>
      <c r="O46" s="226">
        <v>1</v>
      </c>
      <c r="P46" s="227">
        <v>30</v>
      </c>
      <c r="Q46" s="226">
        <v>322</v>
      </c>
      <c r="R46" s="227">
        <v>3161</v>
      </c>
      <c r="S46" s="226">
        <v>32199</v>
      </c>
      <c r="T46" s="227">
        <v>364194</v>
      </c>
      <c r="V46" s="228"/>
      <c r="X46" s="274"/>
    </row>
    <row r="47" spans="1:24" x14ac:dyDescent="0.15">
      <c r="A47" s="178"/>
      <c r="B47" s="179">
        <v>39585</v>
      </c>
      <c r="C47" s="180" t="s">
        <v>363</v>
      </c>
      <c r="D47" s="19">
        <v>6</v>
      </c>
      <c r="E47" s="19">
        <v>7</v>
      </c>
      <c r="F47" s="19">
        <v>6</v>
      </c>
      <c r="G47" s="19">
        <v>1</v>
      </c>
      <c r="H47" s="19">
        <v>0</v>
      </c>
      <c r="I47" s="19">
        <v>2</v>
      </c>
      <c r="J47" s="13">
        <v>5</v>
      </c>
      <c r="K47" s="229">
        <v>11408689.5</v>
      </c>
      <c r="L47" s="230">
        <v>2</v>
      </c>
      <c r="M47" s="229">
        <v>370000</v>
      </c>
      <c r="N47" s="231">
        <v>110079.7</v>
      </c>
      <c r="O47" s="232">
        <v>5</v>
      </c>
      <c r="P47" s="233">
        <v>96</v>
      </c>
      <c r="Q47" s="232">
        <v>814</v>
      </c>
      <c r="R47" s="233">
        <v>7761</v>
      </c>
      <c r="S47" s="232">
        <v>83963</v>
      </c>
      <c r="T47" s="233">
        <v>810206</v>
      </c>
      <c r="V47" s="228"/>
      <c r="X47" s="274"/>
    </row>
    <row r="48" spans="1:24" x14ac:dyDescent="0.15">
      <c r="A48" s="172">
        <v>21</v>
      </c>
      <c r="B48" s="173">
        <v>39589</v>
      </c>
      <c r="C48" s="174" t="s">
        <v>362</v>
      </c>
      <c r="D48" s="27">
        <v>1</v>
      </c>
      <c r="E48" s="27">
        <v>2</v>
      </c>
      <c r="F48" s="27">
        <v>0</v>
      </c>
      <c r="G48" s="27">
        <v>7</v>
      </c>
      <c r="H48" s="27">
        <v>8</v>
      </c>
      <c r="I48" s="27">
        <v>0</v>
      </c>
      <c r="J48" s="7">
        <v>8</v>
      </c>
      <c r="K48" s="222">
        <v>4751049</v>
      </c>
      <c r="L48" s="223" t="s">
        <v>23</v>
      </c>
      <c r="M48" s="224"/>
      <c r="N48" s="225">
        <v>426974.7</v>
      </c>
      <c r="O48" s="226">
        <v>2</v>
      </c>
      <c r="P48" s="227">
        <v>34</v>
      </c>
      <c r="Q48" s="226">
        <v>283</v>
      </c>
      <c r="R48" s="227">
        <v>2815</v>
      </c>
      <c r="S48" s="226">
        <v>26767</v>
      </c>
      <c r="T48" s="227">
        <v>323287</v>
      </c>
      <c r="V48" s="228"/>
      <c r="X48" s="274"/>
    </row>
    <row r="49" spans="1:24" x14ac:dyDescent="0.15">
      <c r="A49" s="178"/>
      <c r="B49" s="179">
        <v>39592</v>
      </c>
      <c r="C49" s="180" t="s">
        <v>363</v>
      </c>
      <c r="D49" s="19">
        <v>7</v>
      </c>
      <c r="E49" s="19">
        <v>2</v>
      </c>
      <c r="F49" s="19">
        <v>0</v>
      </c>
      <c r="G49" s="19">
        <v>5</v>
      </c>
      <c r="H49" s="19">
        <v>1</v>
      </c>
      <c r="I49" s="19">
        <v>9</v>
      </c>
      <c r="J49" s="13">
        <v>2</v>
      </c>
      <c r="K49" s="229">
        <v>11564584.5</v>
      </c>
      <c r="L49" s="230">
        <v>1</v>
      </c>
      <c r="M49" s="229">
        <v>1170000</v>
      </c>
      <c r="N49" s="231">
        <v>28332.5</v>
      </c>
      <c r="O49" s="232">
        <v>7</v>
      </c>
      <c r="P49" s="233">
        <v>58</v>
      </c>
      <c r="Q49" s="232">
        <v>618</v>
      </c>
      <c r="R49" s="233">
        <v>6014</v>
      </c>
      <c r="S49" s="232">
        <v>59455</v>
      </c>
      <c r="T49" s="233">
        <v>617094</v>
      </c>
      <c r="V49" s="228"/>
      <c r="X49" s="274"/>
    </row>
    <row r="50" spans="1:24" x14ac:dyDescent="0.15">
      <c r="A50" s="172">
        <v>22</v>
      </c>
      <c r="B50" s="173">
        <v>39596</v>
      </c>
      <c r="C50" s="174" t="s">
        <v>362</v>
      </c>
      <c r="D50" s="27">
        <v>3</v>
      </c>
      <c r="E50" s="27">
        <v>5</v>
      </c>
      <c r="F50" s="27">
        <v>7</v>
      </c>
      <c r="G50" s="27">
        <v>3</v>
      </c>
      <c r="H50" s="27">
        <v>8</v>
      </c>
      <c r="I50" s="27">
        <v>0</v>
      </c>
      <c r="J50" s="7">
        <v>9</v>
      </c>
      <c r="K50" s="222">
        <v>5054574</v>
      </c>
      <c r="L50" s="223" t="s">
        <v>23</v>
      </c>
      <c r="M50" s="224"/>
      <c r="N50" s="225">
        <v>365472.6</v>
      </c>
      <c r="O50" s="226" t="s">
        <v>17</v>
      </c>
      <c r="P50" s="227">
        <v>26</v>
      </c>
      <c r="Q50" s="226">
        <v>241</v>
      </c>
      <c r="R50" s="227">
        <v>2391</v>
      </c>
      <c r="S50" s="226">
        <v>25186</v>
      </c>
      <c r="T50" s="227">
        <v>289287</v>
      </c>
      <c r="V50" s="228"/>
      <c r="X50" s="274"/>
    </row>
    <row r="51" spans="1:24" x14ac:dyDescent="0.15">
      <c r="A51" s="178"/>
      <c r="B51" s="179">
        <v>39599</v>
      </c>
      <c r="C51" s="180" t="s">
        <v>363</v>
      </c>
      <c r="D51" s="19">
        <v>6</v>
      </c>
      <c r="E51" s="19">
        <v>7</v>
      </c>
      <c r="F51" s="19">
        <v>3</v>
      </c>
      <c r="G51" s="19">
        <v>5</v>
      </c>
      <c r="H51" s="19">
        <v>6</v>
      </c>
      <c r="I51" s="19">
        <v>9</v>
      </c>
      <c r="J51" s="13">
        <v>3</v>
      </c>
      <c r="K51" s="229">
        <v>11365941</v>
      </c>
      <c r="L51" s="230">
        <v>2</v>
      </c>
      <c r="M51" s="229">
        <v>470000</v>
      </c>
      <c r="N51" s="231">
        <v>183580.9</v>
      </c>
      <c r="O51" s="232">
        <v>4</v>
      </c>
      <c r="P51" s="233">
        <v>73</v>
      </c>
      <c r="Q51" s="232">
        <v>649</v>
      </c>
      <c r="R51" s="233">
        <v>6479</v>
      </c>
      <c r="S51" s="232">
        <v>63923</v>
      </c>
      <c r="T51" s="233">
        <v>695578</v>
      </c>
      <c r="V51" s="228"/>
      <c r="X51" s="274"/>
    </row>
    <row r="52" spans="1:24" x14ac:dyDescent="0.15">
      <c r="A52" s="172">
        <v>23</v>
      </c>
      <c r="B52" s="173">
        <v>39603</v>
      </c>
      <c r="C52" s="174" t="s">
        <v>362</v>
      </c>
      <c r="D52" s="27">
        <v>7</v>
      </c>
      <c r="E52" s="27">
        <v>8</v>
      </c>
      <c r="F52" s="27">
        <v>5</v>
      </c>
      <c r="G52" s="27">
        <v>1</v>
      </c>
      <c r="H52" s="27">
        <v>7</v>
      </c>
      <c r="I52" s="27">
        <v>3</v>
      </c>
      <c r="J52" s="7">
        <v>8</v>
      </c>
      <c r="K52" s="222">
        <v>4465089</v>
      </c>
      <c r="L52" s="223">
        <v>1</v>
      </c>
      <c r="M52" s="224">
        <v>470000</v>
      </c>
      <c r="N52" s="225">
        <v>11402.3</v>
      </c>
      <c r="O52" s="226">
        <v>4</v>
      </c>
      <c r="P52" s="227">
        <v>21</v>
      </c>
      <c r="Q52" s="226">
        <v>313</v>
      </c>
      <c r="R52" s="227">
        <v>3090</v>
      </c>
      <c r="S52" s="226">
        <v>30213</v>
      </c>
      <c r="T52" s="227">
        <v>299268</v>
      </c>
      <c r="V52" s="228"/>
      <c r="X52" s="274"/>
    </row>
    <row r="53" spans="1:24" x14ac:dyDescent="0.15">
      <c r="A53" s="178"/>
      <c r="B53" s="179">
        <v>39606</v>
      </c>
      <c r="C53" s="180" t="s">
        <v>363</v>
      </c>
      <c r="D53" s="19">
        <v>9</v>
      </c>
      <c r="E53" s="19">
        <v>0</v>
      </c>
      <c r="F53" s="19">
        <v>1</v>
      </c>
      <c r="G53" s="19">
        <v>3</v>
      </c>
      <c r="H53" s="19">
        <v>8</v>
      </c>
      <c r="I53" s="19">
        <v>0</v>
      </c>
      <c r="J53" s="13">
        <v>5</v>
      </c>
      <c r="K53" s="229">
        <v>11518191</v>
      </c>
      <c r="L53" s="237" t="s">
        <v>23</v>
      </c>
      <c r="M53" s="229"/>
      <c r="N53" s="231">
        <v>779665.6</v>
      </c>
      <c r="O53" s="232">
        <v>7</v>
      </c>
      <c r="P53" s="233">
        <v>85</v>
      </c>
      <c r="Q53" s="232">
        <v>644</v>
      </c>
      <c r="R53" s="233">
        <v>6794</v>
      </c>
      <c r="S53" s="232">
        <v>68521</v>
      </c>
      <c r="T53" s="233">
        <v>834134</v>
      </c>
      <c r="V53" s="228"/>
      <c r="X53" s="274"/>
    </row>
    <row r="54" spans="1:24" x14ac:dyDescent="0.15">
      <c r="A54" s="172">
        <v>24</v>
      </c>
      <c r="B54" s="173">
        <v>39610</v>
      </c>
      <c r="C54" s="174" t="s">
        <v>362</v>
      </c>
      <c r="D54" s="27">
        <v>2</v>
      </c>
      <c r="E54" s="27">
        <v>6</v>
      </c>
      <c r="F54" s="27">
        <v>0</v>
      </c>
      <c r="G54" s="27">
        <v>9</v>
      </c>
      <c r="H54" s="27">
        <v>7</v>
      </c>
      <c r="I54" s="27">
        <v>7</v>
      </c>
      <c r="J54" s="7">
        <v>0</v>
      </c>
      <c r="K54" s="222">
        <v>4833226.5</v>
      </c>
      <c r="L54" s="223" t="s">
        <v>23</v>
      </c>
      <c r="M54" s="224"/>
      <c r="N54" s="225">
        <v>1102041.8</v>
      </c>
      <c r="O54" s="226">
        <v>2</v>
      </c>
      <c r="P54" s="227">
        <v>25</v>
      </c>
      <c r="Q54" s="226">
        <v>264</v>
      </c>
      <c r="R54" s="227">
        <v>2194</v>
      </c>
      <c r="S54" s="226">
        <v>22766</v>
      </c>
      <c r="T54" s="227">
        <v>227934</v>
      </c>
      <c r="V54" s="228"/>
      <c r="X54" s="274"/>
    </row>
    <row r="55" spans="1:24" x14ac:dyDescent="0.15">
      <c r="A55" s="178"/>
      <c r="B55" s="179">
        <v>39613</v>
      </c>
      <c r="C55" s="180" t="s">
        <v>363</v>
      </c>
      <c r="D55" s="19">
        <v>2</v>
      </c>
      <c r="E55" s="19">
        <v>6</v>
      </c>
      <c r="F55" s="19">
        <v>5</v>
      </c>
      <c r="G55" s="19">
        <v>2</v>
      </c>
      <c r="H55" s="19">
        <v>2</v>
      </c>
      <c r="I55" s="19">
        <v>2</v>
      </c>
      <c r="J55" s="13">
        <v>9</v>
      </c>
      <c r="K55" s="229">
        <v>12094521</v>
      </c>
      <c r="L55" s="230">
        <v>3</v>
      </c>
      <c r="M55" s="229">
        <v>570000</v>
      </c>
      <c r="N55" s="231">
        <v>198746.4</v>
      </c>
      <c r="O55" s="232">
        <v>8</v>
      </c>
      <c r="P55" s="233">
        <v>65</v>
      </c>
      <c r="Q55" s="232">
        <v>699</v>
      </c>
      <c r="R55" s="233">
        <v>6773</v>
      </c>
      <c r="S55" s="232">
        <v>71379</v>
      </c>
      <c r="T55" s="233">
        <v>710543</v>
      </c>
      <c r="V55" s="228"/>
      <c r="X55" s="274"/>
    </row>
    <row r="56" spans="1:24" x14ac:dyDescent="0.15">
      <c r="A56" s="172">
        <v>25</v>
      </c>
      <c r="B56" s="173">
        <v>39617</v>
      </c>
      <c r="C56" s="174" t="s">
        <v>362</v>
      </c>
      <c r="D56" s="27">
        <v>5</v>
      </c>
      <c r="E56" s="27">
        <v>9</v>
      </c>
      <c r="F56" s="27">
        <v>3</v>
      </c>
      <c r="G56" s="27">
        <v>6</v>
      </c>
      <c r="H56" s="27">
        <v>6</v>
      </c>
      <c r="I56" s="27">
        <v>0</v>
      </c>
      <c r="J56" s="7">
        <v>9</v>
      </c>
      <c r="K56" s="222">
        <v>4570557</v>
      </c>
      <c r="L56" s="234" t="s">
        <v>23</v>
      </c>
      <c r="M56" s="224"/>
      <c r="N56" s="225">
        <v>503602.6</v>
      </c>
      <c r="O56" s="226">
        <v>3</v>
      </c>
      <c r="P56" s="227">
        <v>24</v>
      </c>
      <c r="Q56" s="226">
        <v>214</v>
      </c>
      <c r="R56" s="227">
        <v>2454</v>
      </c>
      <c r="S56" s="226">
        <v>22242</v>
      </c>
      <c r="T56" s="227">
        <v>260289</v>
      </c>
      <c r="U56" s="240"/>
      <c r="V56" s="275"/>
      <c r="X56" s="274"/>
    </row>
    <row r="57" spans="1:24" x14ac:dyDescent="0.15">
      <c r="A57" s="178"/>
      <c r="B57" s="179">
        <v>39620</v>
      </c>
      <c r="C57" s="180" t="s">
        <v>363</v>
      </c>
      <c r="D57" s="19">
        <v>9</v>
      </c>
      <c r="E57" s="19">
        <v>8</v>
      </c>
      <c r="F57" s="19">
        <v>8</v>
      </c>
      <c r="G57" s="19">
        <v>6</v>
      </c>
      <c r="H57" s="19">
        <v>5</v>
      </c>
      <c r="I57" s="19">
        <v>0</v>
      </c>
      <c r="J57" s="13">
        <v>6</v>
      </c>
      <c r="K57" s="229">
        <v>11420164.5</v>
      </c>
      <c r="L57" s="230">
        <v>1</v>
      </c>
      <c r="M57" s="229">
        <v>1170000</v>
      </c>
      <c r="N57" s="231">
        <v>95327.6</v>
      </c>
      <c r="O57" s="232">
        <v>4</v>
      </c>
      <c r="P57" s="233">
        <v>68</v>
      </c>
      <c r="Q57" s="232">
        <v>704</v>
      </c>
      <c r="R57" s="233">
        <v>6218</v>
      </c>
      <c r="S57" s="232">
        <v>61970</v>
      </c>
      <c r="T57" s="233">
        <v>718003</v>
      </c>
      <c r="V57" s="228"/>
      <c r="X57" s="274"/>
    </row>
    <row r="58" spans="1:24" x14ac:dyDescent="0.15">
      <c r="A58" s="172">
        <v>26</v>
      </c>
      <c r="B58" s="173">
        <v>39624</v>
      </c>
      <c r="C58" s="174" t="s">
        <v>362</v>
      </c>
      <c r="D58" s="27">
        <v>0</v>
      </c>
      <c r="E58" s="27">
        <v>1</v>
      </c>
      <c r="F58" s="27">
        <v>6</v>
      </c>
      <c r="G58" s="27">
        <v>5</v>
      </c>
      <c r="H58" s="27">
        <v>1</v>
      </c>
      <c r="I58" s="27">
        <v>6</v>
      </c>
      <c r="J58" s="7">
        <v>6</v>
      </c>
      <c r="K58" s="222">
        <v>4402363.5</v>
      </c>
      <c r="L58" s="223">
        <v>1</v>
      </c>
      <c r="M58" s="224">
        <v>370000</v>
      </c>
      <c r="N58" s="225">
        <v>18965.2</v>
      </c>
      <c r="O58" s="226">
        <v>1</v>
      </c>
      <c r="P58" s="227">
        <v>23</v>
      </c>
      <c r="Q58" s="226">
        <v>326</v>
      </c>
      <c r="R58" s="227">
        <v>2970</v>
      </c>
      <c r="S58" s="226">
        <v>31109</v>
      </c>
      <c r="T58" s="227">
        <v>275826</v>
      </c>
      <c r="V58" s="228"/>
      <c r="X58" s="274"/>
    </row>
    <row r="59" spans="1:24" x14ac:dyDescent="0.15">
      <c r="A59" s="178"/>
      <c r="B59" s="179">
        <v>39627</v>
      </c>
      <c r="C59" s="180" t="s">
        <v>363</v>
      </c>
      <c r="D59" s="38">
        <v>1</v>
      </c>
      <c r="E59" s="38">
        <v>6</v>
      </c>
      <c r="F59" s="38">
        <v>5</v>
      </c>
      <c r="G59" s="38">
        <v>4</v>
      </c>
      <c r="H59" s="38">
        <v>5</v>
      </c>
      <c r="I59" s="38">
        <v>9</v>
      </c>
      <c r="J59" s="39">
        <v>9</v>
      </c>
      <c r="K59" s="229">
        <v>11273788.5</v>
      </c>
      <c r="L59" s="230" t="s">
        <v>23</v>
      </c>
      <c r="M59" s="229"/>
      <c r="N59" s="231">
        <v>770926.9</v>
      </c>
      <c r="O59" s="232">
        <v>7</v>
      </c>
      <c r="P59" s="233">
        <v>57</v>
      </c>
      <c r="Q59" s="232">
        <v>650</v>
      </c>
      <c r="R59" s="233">
        <v>6404</v>
      </c>
      <c r="S59" s="232">
        <v>66063</v>
      </c>
      <c r="T59" s="233">
        <v>664345</v>
      </c>
      <c r="V59" s="228"/>
      <c r="X59" s="274"/>
    </row>
    <row r="60" spans="1:24" x14ac:dyDescent="0.15">
      <c r="A60" s="45"/>
      <c r="B60" s="46"/>
      <c r="C60" s="46"/>
      <c r="D60" s="276"/>
      <c r="E60" s="276"/>
      <c r="F60" s="276"/>
      <c r="G60" s="276"/>
      <c r="H60" s="276"/>
      <c r="I60" s="276" t="s">
        <v>24</v>
      </c>
      <c r="J60" s="276"/>
      <c r="K60" s="277"/>
      <c r="L60" s="278">
        <v>26</v>
      </c>
      <c r="M60" s="229"/>
      <c r="N60" s="278"/>
      <c r="O60" s="278">
        <v>250</v>
      </c>
      <c r="P60" s="278">
        <v>2687</v>
      </c>
      <c r="Q60" s="278">
        <v>26444</v>
      </c>
      <c r="R60" s="278">
        <v>261113</v>
      </c>
      <c r="S60" s="278">
        <v>2620709</v>
      </c>
      <c r="T60" s="272">
        <v>26455224</v>
      </c>
      <c r="V60" s="228"/>
      <c r="X60" s="274"/>
    </row>
    <row r="63" spans="1:24" x14ac:dyDescent="0.15">
      <c r="K63" s="254"/>
    </row>
    <row r="64" spans="1:24" ht="12.75" x14ac:dyDescent="0.2">
      <c r="A64" s="1" t="s">
        <v>364</v>
      </c>
      <c r="T64" s="3" t="s">
        <v>412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2008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366</v>
      </c>
      <c r="M68" s="18"/>
      <c r="N68" s="13" t="s">
        <v>367</v>
      </c>
      <c r="O68" s="239">
        <v>70000</v>
      </c>
      <c r="P68" s="239">
        <v>7000</v>
      </c>
      <c r="Q68" s="239">
        <v>700</v>
      </c>
      <c r="R68" s="239">
        <v>70</v>
      </c>
      <c r="S68" s="239">
        <v>7</v>
      </c>
      <c r="T68" s="239">
        <v>2.5</v>
      </c>
    </row>
    <row r="69" spans="1:24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39631</v>
      </c>
      <c r="C70" s="174" t="s">
        <v>362</v>
      </c>
      <c r="D70" s="27">
        <v>6</v>
      </c>
      <c r="E70" s="27">
        <v>8</v>
      </c>
      <c r="F70" s="27">
        <v>5</v>
      </c>
      <c r="G70" s="27">
        <v>0</v>
      </c>
      <c r="H70" s="27">
        <v>5</v>
      </c>
      <c r="I70" s="27">
        <v>1</v>
      </c>
      <c r="J70" s="7">
        <v>0</v>
      </c>
      <c r="K70" s="222">
        <v>4739428.5</v>
      </c>
      <c r="L70" s="223" t="s">
        <v>23</v>
      </c>
      <c r="M70" s="224"/>
      <c r="N70" s="225">
        <v>1087046.8</v>
      </c>
      <c r="O70" s="226">
        <v>3</v>
      </c>
      <c r="P70" s="227">
        <v>19</v>
      </c>
      <c r="Q70" s="226">
        <v>226</v>
      </c>
      <c r="R70" s="227">
        <v>2178</v>
      </c>
      <c r="S70" s="226">
        <v>21871</v>
      </c>
      <c r="T70" s="227">
        <v>222981</v>
      </c>
      <c r="U70" s="240"/>
      <c r="V70" s="275"/>
      <c r="X70" s="274"/>
    </row>
    <row r="71" spans="1:24" x14ac:dyDescent="0.15">
      <c r="A71" s="178"/>
      <c r="B71" s="179">
        <v>39634</v>
      </c>
      <c r="C71" s="180" t="s">
        <v>363</v>
      </c>
      <c r="D71" s="19">
        <v>9</v>
      </c>
      <c r="E71" s="19">
        <v>9</v>
      </c>
      <c r="F71" s="19">
        <v>2</v>
      </c>
      <c r="G71" s="19">
        <v>9</v>
      </c>
      <c r="H71" s="19">
        <v>3</v>
      </c>
      <c r="I71" s="19">
        <v>2</v>
      </c>
      <c r="J71" s="13">
        <v>3</v>
      </c>
      <c r="K71" s="229">
        <v>11250648</v>
      </c>
      <c r="L71" s="230" t="s">
        <v>23</v>
      </c>
      <c r="M71" s="229"/>
      <c r="N71" s="231">
        <v>1837465</v>
      </c>
      <c r="O71" s="232">
        <v>9</v>
      </c>
      <c r="P71" s="233">
        <v>65</v>
      </c>
      <c r="Q71" s="232">
        <v>704</v>
      </c>
      <c r="R71" s="233">
        <v>6750</v>
      </c>
      <c r="S71" s="232">
        <v>68834</v>
      </c>
      <c r="T71" s="233">
        <v>683891</v>
      </c>
      <c r="V71" s="228"/>
      <c r="X71" s="274"/>
    </row>
    <row r="72" spans="1:24" x14ac:dyDescent="0.15">
      <c r="A72" s="172">
        <v>28</v>
      </c>
      <c r="B72" s="173">
        <v>39638</v>
      </c>
      <c r="C72" s="174" t="s">
        <v>362</v>
      </c>
      <c r="D72" s="27">
        <v>4</v>
      </c>
      <c r="E72" s="27">
        <v>0</v>
      </c>
      <c r="F72" s="27">
        <v>7</v>
      </c>
      <c r="G72" s="27">
        <v>1</v>
      </c>
      <c r="H72" s="27">
        <v>9</v>
      </c>
      <c r="I72" s="27">
        <v>5</v>
      </c>
      <c r="J72" s="7">
        <v>6</v>
      </c>
      <c r="K72" s="222">
        <v>4468639.5</v>
      </c>
      <c r="L72" s="223" t="s">
        <v>23</v>
      </c>
      <c r="M72" s="224"/>
      <c r="N72" s="225">
        <v>2135523.2999999998</v>
      </c>
      <c r="O72" s="226">
        <v>8</v>
      </c>
      <c r="P72" s="227">
        <v>46</v>
      </c>
      <c r="Q72" s="226">
        <v>444</v>
      </c>
      <c r="R72" s="227">
        <v>2921</v>
      </c>
      <c r="S72" s="226">
        <v>30002</v>
      </c>
      <c r="T72" s="227">
        <v>284100</v>
      </c>
      <c r="V72" s="228"/>
      <c r="X72" s="274"/>
    </row>
    <row r="73" spans="1:24" x14ac:dyDescent="0.15">
      <c r="A73" s="178"/>
      <c r="B73" s="179">
        <v>39641</v>
      </c>
      <c r="C73" s="180" t="s">
        <v>363</v>
      </c>
      <c r="D73" s="19">
        <v>6</v>
      </c>
      <c r="E73" s="19">
        <v>5</v>
      </c>
      <c r="F73" s="19">
        <v>3</v>
      </c>
      <c r="G73" s="19">
        <v>6</v>
      </c>
      <c r="H73" s="19">
        <v>1</v>
      </c>
      <c r="I73" s="19">
        <v>1</v>
      </c>
      <c r="J73" s="13">
        <v>5</v>
      </c>
      <c r="K73" s="229">
        <v>11420971.5</v>
      </c>
      <c r="L73" s="230">
        <v>1</v>
      </c>
      <c r="M73" s="229">
        <v>2870000</v>
      </c>
      <c r="N73" s="231">
        <v>27302.1</v>
      </c>
      <c r="O73" s="232">
        <v>11</v>
      </c>
      <c r="P73" s="233">
        <v>69</v>
      </c>
      <c r="Q73" s="232">
        <v>757</v>
      </c>
      <c r="R73" s="233">
        <v>7285</v>
      </c>
      <c r="S73" s="232">
        <v>78261</v>
      </c>
      <c r="T73" s="233">
        <v>818968</v>
      </c>
      <c r="V73" s="228"/>
      <c r="X73" s="274"/>
    </row>
    <row r="74" spans="1:24" x14ac:dyDescent="0.15">
      <c r="A74" s="172">
        <v>29</v>
      </c>
      <c r="B74" s="173">
        <v>39645</v>
      </c>
      <c r="C74" s="174" t="s">
        <v>362</v>
      </c>
      <c r="D74" s="27">
        <v>7</v>
      </c>
      <c r="E74" s="27">
        <v>7</v>
      </c>
      <c r="F74" s="27">
        <v>4</v>
      </c>
      <c r="G74" s="27">
        <v>8</v>
      </c>
      <c r="H74" s="27">
        <v>9</v>
      </c>
      <c r="I74" s="27">
        <v>3</v>
      </c>
      <c r="J74" s="7">
        <v>8</v>
      </c>
      <c r="K74" s="222">
        <v>4410538.5</v>
      </c>
      <c r="L74" s="223">
        <v>1</v>
      </c>
      <c r="M74" s="224">
        <v>270000</v>
      </c>
      <c r="N74" s="225">
        <v>51485</v>
      </c>
      <c r="O74" s="226">
        <v>1</v>
      </c>
      <c r="P74" s="227">
        <v>23</v>
      </c>
      <c r="Q74" s="226">
        <v>273</v>
      </c>
      <c r="R74" s="227">
        <v>3035</v>
      </c>
      <c r="S74" s="226">
        <v>29940</v>
      </c>
      <c r="T74" s="227">
        <v>295743</v>
      </c>
      <c r="V74" s="228"/>
      <c r="X74" s="274"/>
    </row>
    <row r="75" spans="1:24" x14ac:dyDescent="0.15">
      <c r="A75" s="178"/>
      <c r="B75" s="179">
        <v>39648</v>
      </c>
      <c r="C75" s="180" t="s">
        <v>363</v>
      </c>
      <c r="D75" s="19">
        <v>1</v>
      </c>
      <c r="E75" s="19">
        <v>7</v>
      </c>
      <c r="F75" s="19">
        <v>0</v>
      </c>
      <c r="G75" s="19">
        <v>1</v>
      </c>
      <c r="H75" s="19">
        <v>7</v>
      </c>
      <c r="I75" s="19">
        <v>4</v>
      </c>
      <c r="J75" s="13">
        <v>5</v>
      </c>
      <c r="K75" s="229">
        <v>11274160.5</v>
      </c>
      <c r="L75" s="230">
        <v>1</v>
      </c>
      <c r="M75" s="229">
        <v>770000</v>
      </c>
      <c r="N75" s="231">
        <v>33471.5</v>
      </c>
      <c r="O75" s="232">
        <v>9</v>
      </c>
      <c r="P75" s="233">
        <v>82</v>
      </c>
      <c r="Q75" s="232">
        <v>844</v>
      </c>
      <c r="R75" s="233">
        <v>8367</v>
      </c>
      <c r="S75" s="232">
        <v>83079</v>
      </c>
      <c r="T75" s="233">
        <v>805720</v>
      </c>
      <c r="V75" s="228"/>
      <c r="X75" s="274"/>
    </row>
    <row r="76" spans="1:24" x14ac:dyDescent="0.15">
      <c r="A76" s="172">
        <v>30</v>
      </c>
      <c r="B76" s="173">
        <v>39652</v>
      </c>
      <c r="C76" s="174" t="s">
        <v>362</v>
      </c>
      <c r="D76" s="27">
        <v>2</v>
      </c>
      <c r="E76" s="27">
        <v>3</v>
      </c>
      <c r="F76" s="27">
        <v>6</v>
      </c>
      <c r="G76" s="27">
        <v>4</v>
      </c>
      <c r="H76" s="27">
        <v>5</v>
      </c>
      <c r="I76" s="27">
        <v>9</v>
      </c>
      <c r="J76" s="7">
        <v>2</v>
      </c>
      <c r="K76" s="222">
        <v>4677439.5</v>
      </c>
      <c r="L76" s="223" t="s">
        <v>23</v>
      </c>
      <c r="M76" s="224"/>
      <c r="N76" s="225">
        <v>345456.7</v>
      </c>
      <c r="O76" s="226">
        <v>1</v>
      </c>
      <c r="P76" s="227">
        <v>19</v>
      </c>
      <c r="Q76" s="226">
        <v>250</v>
      </c>
      <c r="R76" s="227">
        <v>2399</v>
      </c>
      <c r="S76" s="226">
        <v>23480</v>
      </c>
      <c r="T76" s="227">
        <v>246395</v>
      </c>
      <c r="V76" s="228"/>
      <c r="X76" s="274"/>
    </row>
    <row r="77" spans="1:24" x14ac:dyDescent="0.15">
      <c r="A77" s="178"/>
      <c r="B77" s="179">
        <v>39655</v>
      </c>
      <c r="C77" s="180" t="s">
        <v>363</v>
      </c>
      <c r="D77" s="19">
        <v>8</v>
      </c>
      <c r="E77" s="19">
        <v>8</v>
      </c>
      <c r="F77" s="19">
        <v>6</v>
      </c>
      <c r="G77" s="19">
        <v>3</v>
      </c>
      <c r="H77" s="19">
        <v>8</v>
      </c>
      <c r="I77" s="19">
        <v>0</v>
      </c>
      <c r="J77" s="13">
        <v>6</v>
      </c>
      <c r="K77" s="229">
        <v>10966146</v>
      </c>
      <c r="L77" s="230">
        <v>1</v>
      </c>
      <c r="M77" s="229">
        <v>1070000</v>
      </c>
      <c r="N77" s="231">
        <v>6898.6</v>
      </c>
      <c r="O77" s="232">
        <v>13</v>
      </c>
      <c r="P77" s="233">
        <v>51</v>
      </c>
      <c r="Q77" s="232">
        <v>616</v>
      </c>
      <c r="R77" s="233">
        <v>5899</v>
      </c>
      <c r="S77" s="232">
        <v>59890</v>
      </c>
      <c r="T77" s="233">
        <v>694992</v>
      </c>
      <c r="V77" s="228"/>
      <c r="X77" s="274"/>
    </row>
    <row r="78" spans="1:24" x14ac:dyDescent="0.15">
      <c r="A78" s="172">
        <v>31</v>
      </c>
      <c r="B78" s="173">
        <v>39659</v>
      </c>
      <c r="C78" s="174" t="s">
        <v>362</v>
      </c>
      <c r="D78" s="27">
        <v>8</v>
      </c>
      <c r="E78" s="27">
        <v>6</v>
      </c>
      <c r="F78" s="27">
        <v>3</v>
      </c>
      <c r="G78" s="27">
        <v>1</v>
      </c>
      <c r="H78" s="27">
        <v>4</v>
      </c>
      <c r="I78" s="27">
        <v>4</v>
      </c>
      <c r="J78" s="7">
        <v>0</v>
      </c>
      <c r="K78" s="222">
        <v>4486506</v>
      </c>
      <c r="L78" s="223" t="s">
        <v>23</v>
      </c>
      <c r="M78" s="224"/>
      <c r="N78" s="225">
        <v>306148.59999999998</v>
      </c>
      <c r="O78" s="226" t="s">
        <v>17</v>
      </c>
      <c r="P78" s="227">
        <v>19</v>
      </c>
      <c r="Q78" s="226">
        <v>218</v>
      </c>
      <c r="R78" s="227">
        <v>2209</v>
      </c>
      <c r="S78" s="226">
        <v>20582</v>
      </c>
      <c r="T78" s="227">
        <v>210270</v>
      </c>
      <c r="V78" s="228"/>
      <c r="X78" s="274"/>
    </row>
    <row r="79" spans="1:24" x14ac:dyDescent="0.15">
      <c r="A79" s="178"/>
      <c r="B79" s="179">
        <v>39662</v>
      </c>
      <c r="C79" s="180" t="s">
        <v>363</v>
      </c>
      <c r="D79" s="19">
        <v>4</v>
      </c>
      <c r="E79" s="19">
        <v>5</v>
      </c>
      <c r="F79" s="19">
        <v>2</v>
      </c>
      <c r="G79" s="19">
        <v>7</v>
      </c>
      <c r="H79" s="19">
        <v>0</v>
      </c>
      <c r="I79" s="19">
        <v>2</v>
      </c>
      <c r="J79" s="13">
        <v>6</v>
      </c>
      <c r="K79" s="229">
        <v>11555802</v>
      </c>
      <c r="L79" s="230" t="s">
        <v>23</v>
      </c>
      <c r="M79" s="229"/>
      <c r="N79" s="231">
        <v>1076920.6000000001</v>
      </c>
      <c r="O79" s="232">
        <v>4</v>
      </c>
      <c r="P79" s="233">
        <v>70</v>
      </c>
      <c r="Q79" s="232">
        <v>703</v>
      </c>
      <c r="R79" s="233">
        <v>6804</v>
      </c>
      <c r="S79" s="232">
        <v>72830</v>
      </c>
      <c r="T79" s="233">
        <v>721814</v>
      </c>
      <c r="V79" s="228"/>
      <c r="X79" s="274"/>
    </row>
    <row r="80" spans="1:24" x14ac:dyDescent="0.15">
      <c r="A80" s="172">
        <v>32</v>
      </c>
      <c r="B80" s="173">
        <v>39666</v>
      </c>
      <c r="C80" s="174" t="s">
        <v>362</v>
      </c>
      <c r="D80" s="27">
        <v>6</v>
      </c>
      <c r="E80" s="27">
        <v>3</v>
      </c>
      <c r="F80" s="27">
        <v>4</v>
      </c>
      <c r="G80" s="27">
        <v>0</v>
      </c>
      <c r="H80" s="27">
        <v>4</v>
      </c>
      <c r="I80" s="27">
        <v>1</v>
      </c>
      <c r="J80" s="7">
        <v>9</v>
      </c>
      <c r="K80" s="222">
        <v>4421523</v>
      </c>
      <c r="L80" s="234" t="s">
        <v>23</v>
      </c>
      <c r="M80" s="224"/>
      <c r="N80" s="225">
        <v>1371836.2</v>
      </c>
      <c r="O80" s="236" t="s">
        <v>17</v>
      </c>
      <c r="P80" s="227">
        <v>23</v>
      </c>
      <c r="Q80" s="226">
        <v>257</v>
      </c>
      <c r="R80" s="227">
        <v>2441</v>
      </c>
      <c r="S80" s="226">
        <v>24116</v>
      </c>
      <c r="T80" s="227">
        <v>250550</v>
      </c>
      <c r="V80" s="228"/>
      <c r="X80" s="274"/>
    </row>
    <row r="81" spans="1:24" x14ac:dyDescent="0.15">
      <c r="A81" s="178"/>
      <c r="B81" s="179">
        <v>39669</v>
      </c>
      <c r="C81" s="180" t="s">
        <v>363</v>
      </c>
      <c r="D81" s="19">
        <v>1</v>
      </c>
      <c r="E81" s="19">
        <v>4</v>
      </c>
      <c r="F81" s="19">
        <v>4</v>
      </c>
      <c r="G81" s="19">
        <v>4</v>
      </c>
      <c r="H81" s="19">
        <v>5</v>
      </c>
      <c r="I81" s="19">
        <v>4</v>
      </c>
      <c r="J81" s="13">
        <v>1</v>
      </c>
      <c r="K81" s="229">
        <v>11265010.5</v>
      </c>
      <c r="L81" s="230" t="s">
        <v>23</v>
      </c>
      <c r="M81" s="229"/>
      <c r="N81" s="231">
        <v>2123212.4</v>
      </c>
      <c r="O81" s="232">
        <v>5</v>
      </c>
      <c r="P81" s="233">
        <v>62</v>
      </c>
      <c r="Q81" s="232">
        <v>577</v>
      </c>
      <c r="R81" s="233">
        <v>5765</v>
      </c>
      <c r="S81" s="232">
        <v>57137</v>
      </c>
      <c r="T81" s="233">
        <v>582792</v>
      </c>
      <c r="V81" s="228"/>
      <c r="X81" s="274"/>
    </row>
    <row r="82" spans="1:24" x14ac:dyDescent="0.15">
      <c r="A82" s="172">
        <v>33</v>
      </c>
      <c r="B82" s="173">
        <v>39673</v>
      </c>
      <c r="C82" s="174" t="s">
        <v>362</v>
      </c>
      <c r="D82" s="27">
        <v>9</v>
      </c>
      <c r="E82" s="27">
        <v>6</v>
      </c>
      <c r="F82" s="27">
        <v>0</v>
      </c>
      <c r="G82" s="27">
        <v>5</v>
      </c>
      <c r="H82" s="27">
        <v>7</v>
      </c>
      <c r="I82" s="27">
        <v>7</v>
      </c>
      <c r="J82" s="7">
        <v>7</v>
      </c>
      <c r="K82" s="222">
        <v>4759261.5</v>
      </c>
      <c r="L82" s="223" t="s">
        <v>23</v>
      </c>
      <c r="M82" s="279"/>
      <c r="N82" s="225">
        <v>2440655.1</v>
      </c>
      <c r="O82" s="226">
        <v>10</v>
      </c>
      <c r="P82" s="227">
        <v>58</v>
      </c>
      <c r="Q82" s="226">
        <v>471</v>
      </c>
      <c r="R82" s="227">
        <v>5265</v>
      </c>
      <c r="S82" s="226">
        <v>35036</v>
      </c>
      <c r="T82" s="227">
        <v>316829</v>
      </c>
      <c r="V82" s="228"/>
      <c r="X82" s="274"/>
    </row>
    <row r="83" spans="1:24" x14ac:dyDescent="0.15">
      <c r="A83" s="178"/>
      <c r="B83" s="179">
        <v>39676</v>
      </c>
      <c r="C83" s="180" t="s">
        <v>363</v>
      </c>
      <c r="D83" s="19">
        <v>2</v>
      </c>
      <c r="E83" s="19">
        <v>7</v>
      </c>
      <c r="F83" s="19">
        <v>5</v>
      </c>
      <c r="G83" s="19">
        <v>6</v>
      </c>
      <c r="H83" s="19">
        <v>6</v>
      </c>
      <c r="I83" s="19">
        <v>9</v>
      </c>
      <c r="J83" s="13">
        <v>3</v>
      </c>
      <c r="K83" s="229">
        <v>11784292.5</v>
      </c>
      <c r="L83" s="230">
        <v>1</v>
      </c>
      <c r="M83" s="229">
        <v>3170000</v>
      </c>
      <c r="N83" s="231">
        <v>56667.4</v>
      </c>
      <c r="O83" s="232">
        <v>8</v>
      </c>
      <c r="P83" s="233">
        <v>58</v>
      </c>
      <c r="Q83" s="232">
        <v>683</v>
      </c>
      <c r="R83" s="233">
        <v>7025</v>
      </c>
      <c r="S83" s="232">
        <v>67327</v>
      </c>
      <c r="T83" s="233">
        <v>723081</v>
      </c>
      <c r="V83" s="228"/>
      <c r="X83" s="274"/>
    </row>
    <row r="84" spans="1:24" x14ac:dyDescent="0.15">
      <c r="A84" s="172">
        <v>34</v>
      </c>
      <c r="B84" s="173">
        <v>39680</v>
      </c>
      <c r="C84" s="174" t="s">
        <v>362</v>
      </c>
      <c r="D84" s="27">
        <v>6</v>
      </c>
      <c r="E84" s="27">
        <v>0</v>
      </c>
      <c r="F84" s="27">
        <v>8</v>
      </c>
      <c r="G84" s="27">
        <v>2</v>
      </c>
      <c r="H84" s="27">
        <v>1</v>
      </c>
      <c r="I84" s="27">
        <v>7</v>
      </c>
      <c r="J84" s="7">
        <v>6</v>
      </c>
      <c r="K84" s="222">
        <v>5384155.5</v>
      </c>
      <c r="L84" s="223" t="s">
        <v>23</v>
      </c>
      <c r="M84" s="224"/>
      <c r="N84" s="225">
        <v>415790.6</v>
      </c>
      <c r="O84" s="226">
        <v>1</v>
      </c>
      <c r="P84" s="227">
        <v>39</v>
      </c>
      <c r="Q84" s="226">
        <v>319</v>
      </c>
      <c r="R84" s="227">
        <v>3440</v>
      </c>
      <c r="S84" s="226">
        <v>33380</v>
      </c>
      <c r="T84" s="227">
        <v>346206</v>
      </c>
      <c r="V84" s="228"/>
      <c r="X84" s="274"/>
    </row>
    <row r="85" spans="1:24" x14ac:dyDescent="0.15">
      <c r="A85" s="178"/>
      <c r="B85" s="179">
        <v>39683</v>
      </c>
      <c r="C85" s="180" t="s">
        <v>363</v>
      </c>
      <c r="D85" s="19">
        <v>8</v>
      </c>
      <c r="E85" s="19">
        <v>2</v>
      </c>
      <c r="F85" s="19">
        <v>1</v>
      </c>
      <c r="G85" s="19">
        <v>6</v>
      </c>
      <c r="H85" s="19">
        <v>7</v>
      </c>
      <c r="I85" s="19">
        <v>9</v>
      </c>
      <c r="J85" s="13">
        <v>5</v>
      </c>
      <c r="K85" s="229">
        <v>12706924.5</v>
      </c>
      <c r="L85" s="230" t="s">
        <v>23</v>
      </c>
      <c r="M85" s="229"/>
      <c r="N85" s="231">
        <v>1263342.5</v>
      </c>
      <c r="O85" s="232">
        <v>8</v>
      </c>
      <c r="P85" s="233">
        <v>100</v>
      </c>
      <c r="Q85" s="232">
        <v>849</v>
      </c>
      <c r="R85" s="233">
        <v>8751</v>
      </c>
      <c r="S85" s="232">
        <v>86245</v>
      </c>
      <c r="T85" s="233">
        <v>912206</v>
      </c>
      <c r="V85" s="228"/>
      <c r="X85" s="274"/>
    </row>
    <row r="86" spans="1:24" x14ac:dyDescent="0.15">
      <c r="A86" s="172">
        <v>35</v>
      </c>
      <c r="B86" s="173">
        <v>39687</v>
      </c>
      <c r="C86" s="174" t="s">
        <v>362</v>
      </c>
      <c r="D86" s="27">
        <v>1</v>
      </c>
      <c r="E86" s="27">
        <v>4</v>
      </c>
      <c r="F86" s="27">
        <v>5</v>
      </c>
      <c r="G86" s="27">
        <v>3</v>
      </c>
      <c r="H86" s="27">
        <v>6</v>
      </c>
      <c r="I86" s="27">
        <v>8</v>
      </c>
      <c r="J86" s="7">
        <v>3</v>
      </c>
      <c r="K86" s="222">
        <v>6500361</v>
      </c>
      <c r="L86" s="223">
        <v>2</v>
      </c>
      <c r="M86" s="224">
        <v>770000</v>
      </c>
      <c r="N86" s="225">
        <v>156916.6</v>
      </c>
      <c r="O86" s="226">
        <v>8</v>
      </c>
      <c r="P86" s="227">
        <v>41</v>
      </c>
      <c r="Q86" s="226">
        <v>397</v>
      </c>
      <c r="R86" s="227">
        <v>3874</v>
      </c>
      <c r="S86" s="226">
        <v>38735</v>
      </c>
      <c r="T86" s="227">
        <v>405210</v>
      </c>
      <c r="V86" s="228"/>
      <c r="X86" s="274"/>
    </row>
    <row r="87" spans="1:24" x14ac:dyDescent="0.15">
      <c r="A87" s="178"/>
      <c r="B87" s="179">
        <v>39690</v>
      </c>
      <c r="C87" s="180" t="s">
        <v>363</v>
      </c>
      <c r="D87" s="19">
        <v>8</v>
      </c>
      <c r="E87" s="19">
        <v>0</v>
      </c>
      <c r="F87" s="19">
        <v>1</v>
      </c>
      <c r="G87" s="19">
        <v>4</v>
      </c>
      <c r="H87" s="19">
        <v>7</v>
      </c>
      <c r="I87" s="19">
        <v>2</v>
      </c>
      <c r="J87" s="13">
        <v>9</v>
      </c>
      <c r="K87" s="229">
        <v>11575863</v>
      </c>
      <c r="L87" s="230">
        <v>3</v>
      </c>
      <c r="M87" s="229">
        <v>270000</v>
      </c>
      <c r="N87" s="231">
        <v>119026.7</v>
      </c>
      <c r="O87" s="232">
        <v>7</v>
      </c>
      <c r="P87" s="233">
        <v>69</v>
      </c>
      <c r="Q87" s="232">
        <v>737</v>
      </c>
      <c r="R87" s="233">
        <v>6858</v>
      </c>
      <c r="S87" s="232">
        <v>68260</v>
      </c>
      <c r="T87" s="233">
        <v>680659</v>
      </c>
      <c r="V87" s="228"/>
      <c r="X87" s="274"/>
    </row>
    <row r="88" spans="1:24" x14ac:dyDescent="0.15">
      <c r="A88" s="172">
        <v>36</v>
      </c>
      <c r="B88" s="173">
        <v>39694</v>
      </c>
      <c r="C88" s="174" t="s">
        <v>362</v>
      </c>
      <c r="D88" s="27">
        <v>3</v>
      </c>
      <c r="E88" s="27">
        <v>8</v>
      </c>
      <c r="F88" s="27">
        <v>1</v>
      </c>
      <c r="G88" s="27">
        <v>4</v>
      </c>
      <c r="H88" s="27">
        <v>0</v>
      </c>
      <c r="I88" s="27">
        <v>5</v>
      </c>
      <c r="J88" s="7">
        <v>0</v>
      </c>
      <c r="K88" s="222">
        <v>4825296</v>
      </c>
      <c r="L88" s="223" t="s">
        <v>23</v>
      </c>
      <c r="M88" s="224"/>
      <c r="N88" s="225">
        <v>440873.9</v>
      </c>
      <c r="O88" s="226">
        <v>5</v>
      </c>
      <c r="P88" s="227">
        <v>29</v>
      </c>
      <c r="Q88" s="226">
        <v>221</v>
      </c>
      <c r="R88" s="227">
        <v>2279</v>
      </c>
      <c r="S88" s="226">
        <v>23830</v>
      </c>
      <c r="T88" s="227">
        <v>229167</v>
      </c>
      <c r="V88" s="228"/>
      <c r="X88" s="274"/>
    </row>
    <row r="89" spans="1:24" x14ac:dyDescent="0.15">
      <c r="A89" s="178"/>
      <c r="B89" s="179">
        <v>39697</v>
      </c>
      <c r="C89" s="180" t="s">
        <v>363</v>
      </c>
      <c r="D89" s="19">
        <v>1</v>
      </c>
      <c r="E89" s="19">
        <v>4</v>
      </c>
      <c r="F89" s="19">
        <v>1</v>
      </c>
      <c r="G89" s="19">
        <v>6</v>
      </c>
      <c r="H89" s="19">
        <v>7</v>
      </c>
      <c r="I89" s="19">
        <v>9</v>
      </c>
      <c r="J89" s="13">
        <v>6</v>
      </c>
      <c r="K89" s="229">
        <v>11862172.5</v>
      </c>
      <c r="L89" s="230" t="s">
        <v>23</v>
      </c>
      <c r="M89" s="229"/>
      <c r="N89" s="231">
        <v>1232080.8</v>
      </c>
      <c r="O89" s="232">
        <v>6</v>
      </c>
      <c r="P89" s="233">
        <v>74</v>
      </c>
      <c r="Q89" s="232">
        <v>706</v>
      </c>
      <c r="R89" s="233">
        <v>7173</v>
      </c>
      <c r="S89" s="232">
        <v>72483</v>
      </c>
      <c r="T89" s="233">
        <v>749026</v>
      </c>
      <c r="V89" s="228"/>
      <c r="X89" s="274"/>
    </row>
    <row r="90" spans="1:24" x14ac:dyDescent="0.15">
      <c r="A90" s="172">
        <v>37</v>
      </c>
      <c r="B90" s="173">
        <v>39701</v>
      </c>
      <c r="C90" s="174" t="s">
        <v>362</v>
      </c>
      <c r="D90" s="27">
        <v>4</v>
      </c>
      <c r="E90" s="27">
        <v>4</v>
      </c>
      <c r="F90" s="27">
        <v>1</v>
      </c>
      <c r="G90" s="27">
        <v>0</v>
      </c>
      <c r="H90" s="27">
        <v>6</v>
      </c>
      <c r="I90" s="27">
        <v>8</v>
      </c>
      <c r="J90" s="7">
        <v>6</v>
      </c>
      <c r="K90" s="222">
        <v>5333641.5</v>
      </c>
      <c r="L90" s="223" t="s">
        <v>23</v>
      </c>
      <c r="M90" s="224"/>
      <c r="N90" s="225">
        <v>1587834.7</v>
      </c>
      <c r="O90" s="226">
        <v>1</v>
      </c>
      <c r="P90" s="227">
        <v>35</v>
      </c>
      <c r="Q90" s="226">
        <v>328</v>
      </c>
      <c r="R90" s="227">
        <v>3498</v>
      </c>
      <c r="S90" s="226">
        <v>33221</v>
      </c>
      <c r="T90" s="227">
        <v>344034</v>
      </c>
      <c r="V90" s="228"/>
      <c r="X90" s="274"/>
    </row>
    <row r="91" spans="1:24" x14ac:dyDescent="0.15">
      <c r="A91" s="178"/>
      <c r="B91" s="179">
        <v>39704</v>
      </c>
      <c r="C91" s="180" t="s">
        <v>363</v>
      </c>
      <c r="D91" s="19">
        <v>5</v>
      </c>
      <c r="E91" s="19">
        <v>2</v>
      </c>
      <c r="F91" s="19">
        <v>4</v>
      </c>
      <c r="G91" s="19">
        <v>3</v>
      </c>
      <c r="H91" s="19">
        <v>6</v>
      </c>
      <c r="I91" s="19">
        <v>4</v>
      </c>
      <c r="J91" s="13">
        <v>0</v>
      </c>
      <c r="K91" s="229">
        <v>12744303</v>
      </c>
      <c r="L91" s="230">
        <v>2</v>
      </c>
      <c r="M91" s="229">
        <v>1170000</v>
      </c>
      <c r="N91" s="231">
        <v>97879.8</v>
      </c>
      <c r="O91" s="232">
        <v>2</v>
      </c>
      <c r="P91" s="233">
        <v>62</v>
      </c>
      <c r="Q91" s="232">
        <v>595</v>
      </c>
      <c r="R91" s="233">
        <v>6068</v>
      </c>
      <c r="S91" s="232">
        <v>59438</v>
      </c>
      <c r="T91" s="233">
        <v>592637</v>
      </c>
      <c r="V91" s="228"/>
      <c r="X91" s="274"/>
    </row>
    <row r="92" spans="1:24" x14ac:dyDescent="0.15">
      <c r="A92" s="172">
        <v>38</v>
      </c>
      <c r="B92" s="173">
        <v>39708</v>
      </c>
      <c r="C92" s="174" t="s">
        <v>362</v>
      </c>
      <c r="D92" s="27">
        <v>7</v>
      </c>
      <c r="E92" s="27">
        <v>5</v>
      </c>
      <c r="F92" s="27">
        <v>6</v>
      </c>
      <c r="G92" s="27">
        <v>4</v>
      </c>
      <c r="H92" s="27">
        <v>7</v>
      </c>
      <c r="I92" s="27">
        <v>6</v>
      </c>
      <c r="J92" s="7">
        <v>5</v>
      </c>
      <c r="K92" s="222">
        <v>6327174</v>
      </c>
      <c r="L92" s="223">
        <v>2</v>
      </c>
      <c r="M92" s="224">
        <v>170000</v>
      </c>
      <c r="N92" s="225">
        <v>179902.2</v>
      </c>
      <c r="O92" s="226">
        <v>6</v>
      </c>
      <c r="P92" s="227">
        <v>56</v>
      </c>
      <c r="Q92" s="226">
        <v>454</v>
      </c>
      <c r="R92" s="227">
        <v>4589</v>
      </c>
      <c r="S92" s="226">
        <v>46040</v>
      </c>
      <c r="T92" s="227">
        <v>444858</v>
      </c>
      <c r="V92" s="228"/>
      <c r="X92" s="274"/>
    </row>
    <row r="93" spans="1:24" x14ac:dyDescent="0.15">
      <c r="A93" s="178"/>
      <c r="B93" s="179">
        <v>39711</v>
      </c>
      <c r="C93" s="180" t="s">
        <v>363</v>
      </c>
      <c r="D93" s="19">
        <v>5</v>
      </c>
      <c r="E93" s="19">
        <v>3</v>
      </c>
      <c r="F93" s="19">
        <v>4</v>
      </c>
      <c r="G93" s="19">
        <v>8</v>
      </c>
      <c r="H93" s="19">
        <v>9</v>
      </c>
      <c r="I93" s="19">
        <v>8</v>
      </c>
      <c r="J93" s="13">
        <v>3</v>
      </c>
      <c r="K93" s="229">
        <v>11414044.5</v>
      </c>
      <c r="L93" s="230">
        <v>1</v>
      </c>
      <c r="M93" s="229">
        <v>870000</v>
      </c>
      <c r="N93" s="231">
        <v>71219</v>
      </c>
      <c r="O93" s="232">
        <v>15</v>
      </c>
      <c r="P93" s="233">
        <v>84</v>
      </c>
      <c r="Q93" s="232">
        <v>653</v>
      </c>
      <c r="R93" s="233">
        <v>6939</v>
      </c>
      <c r="S93" s="232">
        <v>67636</v>
      </c>
      <c r="T93" s="233">
        <v>704599</v>
      </c>
      <c r="V93" s="228"/>
      <c r="X93" s="274"/>
    </row>
    <row r="94" spans="1:24" x14ac:dyDescent="0.15">
      <c r="A94" s="172">
        <v>39</v>
      </c>
      <c r="B94" s="173">
        <v>39715</v>
      </c>
      <c r="C94" s="174" t="s">
        <v>362</v>
      </c>
      <c r="D94" s="27">
        <v>6</v>
      </c>
      <c r="E94" s="27">
        <v>5</v>
      </c>
      <c r="F94" s="27">
        <v>1</v>
      </c>
      <c r="G94" s="27">
        <v>3</v>
      </c>
      <c r="H94" s="27">
        <v>9</v>
      </c>
      <c r="I94" s="27">
        <v>6</v>
      </c>
      <c r="J94" s="7">
        <v>0</v>
      </c>
      <c r="K94" s="222">
        <v>4723857</v>
      </c>
      <c r="L94" s="234" t="s">
        <v>23</v>
      </c>
      <c r="M94" s="224"/>
      <c r="N94" s="225">
        <v>386300.3</v>
      </c>
      <c r="O94" s="226">
        <v>3</v>
      </c>
      <c r="P94" s="227">
        <v>31</v>
      </c>
      <c r="Q94" s="226">
        <v>222</v>
      </c>
      <c r="R94" s="227">
        <v>2353</v>
      </c>
      <c r="S94" s="226">
        <v>22494</v>
      </c>
      <c r="T94" s="227">
        <v>224057</v>
      </c>
      <c r="V94" s="228"/>
      <c r="X94" s="274"/>
    </row>
    <row r="95" spans="1:24" x14ac:dyDescent="0.15">
      <c r="A95" s="178"/>
      <c r="B95" s="179">
        <v>39718</v>
      </c>
      <c r="C95" s="180" t="s">
        <v>363</v>
      </c>
      <c r="D95" s="19">
        <v>8</v>
      </c>
      <c r="E95" s="19">
        <v>0</v>
      </c>
      <c r="F95" s="19">
        <v>9</v>
      </c>
      <c r="G95" s="19">
        <v>1</v>
      </c>
      <c r="H95" s="19">
        <v>2</v>
      </c>
      <c r="I95" s="19">
        <v>4</v>
      </c>
      <c r="J95" s="13">
        <v>6</v>
      </c>
      <c r="K95" s="229">
        <v>11601192</v>
      </c>
      <c r="L95" s="230">
        <v>1</v>
      </c>
      <c r="M95" s="229">
        <v>1070000</v>
      </c>
      <c r="N95" s="231">
        <v>90099.8</v>
      </c>
      <c r="O95" s="232">
        <v>10</v>
      </c>
      <c r="P95" s="233">
        <v>86</v>
      </c>
      <c r="Q95" s="232">
        <v>770</v>
      </c>
      <c r="R95" s="233">
        <v>7734</v>
      </c>
      <c r="S95" s="232">
        <v>75892</v>
      </c>
      <c r="T95" s="233">
        <v>730711</v>
      </c>
      <c r="V95" s="228"/>
      <c r="X95" s="274"/>
    </row>
    <row r="96" spans="1:24" x14ac:dyDescent="0.15">
      <c r="A96" s="172">
        <v>40</v>
      </c>
      <c r="B96" s="173">
        <v>39722</v>
      </c>
      <c r="C96" s="174" t="s">
        <v>362</v>
      </c>
      <c r="D96" s="27">
        <v>9</v>
      </c>
      <c r="E96" s="27">
        <v>3</v>
      </c>
      <c r="F96" s="27">
        <v>7</v>
      </c>
      <c r="G96" s="27">
        <v>1</v>
      </c>
      <c r="H96" s="27">
        <v>6</v>
      </c>
      <c r="I96" s="27">
        <v>4</v>
      </c>
      <c r="J96" s="7">
        <v>7</v>
      </c>
      <c r="K96" s="222">
        <v>4554751.5</v>
      </c>
      <c r="L96" s="234" t="s">
        <v>23</v>
      </c>
      <c r="M96" s="224"/>
      <c r="N96" s="225">
        <v>393901.7</v>
      </c>
      <c r="O96" s="226">
        <v>1</v>
      </c>
      <c r="P96" s="227">
        <v>33</v>
      </c>
      <c r="Q96" s="226">
        <v>322</v>
      </c>
      <c r="R96" s="227">
        <v>3264</v>
      </c>
      <c r="S96" s="226">
        <v>31813</v>
      </c>
      <c r="T96" s="227">
        <v>301495</v>
      </c>
      <c r="V96" s="228"/>
      <c r="X96" s="274"/>
    </row>
    <row r="97" spans="1:24" x14ac:dyDescent="0.15">
      <c r="A97" s="178"/>
      <c r="B97" s="179">
        <v>39725</v>
      </c>
      <c r="C97" s="180" t="s">
        <v>363</v>
      </c>
      <c r="D97" s="19">
        <v>2</v>
      </c>
      <c r="E97" s="19">
        <v>2</v>
      </c>
      <c r="F97" s="19">
        <v>2</v>
      </c>
      <c r="G97" s="19">
        <v>8</v>
      </c>
      <c r="H97" s="19">
        <v>7</v>
      </c>
      <c r="I97" s="19">
        <v>1</v>
      </c>
      <c r="J97" s="13">
        <v>5</v>
      </c>
      <c r="K97" s="229">
        <v>11155672.5</v>
      </c>
      <c r="L97" s="230" t="s">
        <v>23</v>
      </c>
      <c r="M97" s="229"/>
      <c r="N97" s="231">
        <v>1137985.1000000001</v>
      </c>
      <c r="O97" s="232">
        <v>10</v>
      </c>
      <c r="P97" s="233">
        <v>86</v>
      </c>
      <c r="Q97" s="232">
        <v>719</v>
      </c>
      <c r="R97" s="233">
        <v>7725</v>
      </c>
      <c r="S97" s="232">
        <v>77044</v>
      </c>
      <c r="T97" s="233">
        <v>812093</v>
      </c>
      <c r="V97" s="228"/>
      <c r="X97" s="274"/>
    </row>
    <row r="98" spans="1:24" x14ac:dyDescent="0.15">
      <c r="A98" s="172">
        <v>41</v>
      </c>
      <c r="B98" s="173">
        <v>39729</v>
      </c>
      <c r="C98" s="174" t="s">
        <v>362</v>
      </c>
      <c r="D98" s="27">
        <v>2</v>
      </c>
      <c r="E98" s="27">
        <v>1</v>
      </c>
      <c r="F98" s="27">
        <v>5</v>
      </c>
      <c r="G98" s="27">
        <v>1</v>
      </c>
      <c r="H98" s="27">
        <v>8</v>
      </c>
      <c r="I98" s="27">
        <v>2</v>
      </c>
      <c r="J98" s="7">
        <v>1</v>
      </c>
      <c r="K98" s="222">
        <v>4811601</v>
      </c>
      <c r="L98" s="223">
        <v>1</v>
      </c>
      <c r="M98" s="224">
        <v>1370000</v>
      </c>
      <c r="N98" s="225">
        <v>88918.9</v>
      </c>
      <c r="O98" s="226">
        <v>3</v>
      </c>
      <c r="P98" s="227">
        <v>23</v>
      </c>
      <c r="Q98" s="226">
        <v>258</v>
      </c>
      <c r="R98" s="227">
        <v>2533</v>
      </c>
      <c r="S98" s="226">
        <v>25815</v>
      </c>
      <c r="T98" s="227">
        <v>247918</v>
      </c>
      <c r="V98" s="228"/>
      <c r="X98" s="274"/>
    </row>
    <row r="99" spans="1:24" x14ac:dyDescent="0.15">
      <c r="A99" s="178"/>
      <c r="B99" s="179">
        <v>39732</v>
      </c>
      <c r="C99" s="180" t="s">
        <v>363</v>
      </c>
      <c r="D99" s="19">
        <v>4</v>
      </c>
      <c r="E99" s="19">
        <v>3</v>
      </c>
      <c r="F99" s="19">
        <v>2</v>
      </c>
      <c r="G99" s="19">
        <v>8</v>
      </c>
      <c r="H99" s="19">
        <v>0</v>
      </c>
      <c r="I99" s="19">
        <v>9</v>
      </c>
      <c r="J99" s="13">
        <v>1</v>
      </c>
      <c r="K99" s="229">
        <v>11795791.5</v>
      </c>
      <c r="L99" s="230">
        <v>1</v>
      </c>
      <c r="M99" s="229">
        <v>870000</v>
      </c>
      <c r="N99" s="231">
        <v>5698.2</v>
      </c>
      <c r="O99" s="232">
        <v>12</v>
      </c>
      <c r="P99" s="233">
        <v>51</v>
      </c>
      <c r="Q99" s="232">
        <v>588</v>
      </c>
      <c r="R99" s="233">
        <v>5560</v>
      </c>
      <c r="S99" s="232">
        <v>57162</v>
      </c>
      <c r="T99" s="233">
        <v>612871</v>
      </c>
      <c r="V99" s="228"/>
      <c r="X99" s="274"/>
    </row>
    <row r="100" spans="1:24" x14ac:dyDescent="0.15">
      <c r="A100" s="172">
        <v>42</v>
      </c>
      <c r="B100" s="173">
        <v>39736</v>
      </c>
      <c r="C100" s="174" t="s">
        <v>362</v>
      </c>
      <c r="D100" s="27">
        <v>9</v>
      </c>
      <c r="E100" s="27">
        <v>8</v>
      </c>
      <c r="F100" s="27">
        <v>0</v>
      </c>
      <c r="G100" s="27">
        <v>7</v>
      </c>
      <c r="H100" s="27">
        <v>9</v>
      </c>
      <c r="I100" s="27">
        <v>0</v>
      </c>
      <c r="J100" s="7">
        <v>0</v>
      </c>
      <c r="K100" s="222">
        <v>4474953</v>
      </c>
      <c r="L100" s="234" t="s">
        <v>23</v>
      </c>
      <c r="M100" s="224"/>
      <c r="N100" s="225">
        <v>304177.59999999998</v>
      </c>
      <c r="O100" s="226">
        <v>1</v>
      </c>
      <c r="P100" s="227">
        <v>27</v>
      </c>
      <c r="Q100" s="226">
        <v>224</v>
      </c>
      <c r="R100" s="227">
        <v>2441</v>
      </c>
      <c r="S100" s="226">
        <v>24283</v>
      </c>
      <c r="T100" s="227">
        <v>213854</v>
      </c>
      <c r="V100" s="228"/>
      <c r="X100" s="274"/>
    </row>
    <row r="101" spans="1:24" x14ac:dyDescent="0.15">
      <c r="A101" s="178"/>
      <c r="B101" s="179">
        <v>39739</v>
      </c>
      <c r="C101" s="180" t="s">
        <v>363</v>
      </c>
      <c r="D101" s="19">
        <v>7</v>
      </c>
      <c r="E101" s="19">
        <v>7</v>
      </c>
      <c r="F101" s="19">
        <v>9</v>
      </c>
      <c r="G101" s="19">
        <v>1</v>
      </c>
      <c r="H101" s="19">
        <v>5</v>
      </c>
      <c r="I101" s="19">
        <v>8</v>
      </c>
      <c r="J101" s="13">
        <v>0</v>
      </c>
      <c r="K101" s="229">
        <v>11257459.5</v>
      </c>
      <c r="L101" s="237" t="s">
        <v>23</v>
      </c>
      <c r="M101" s="229"/>
      <c r="N101" s="231">
        <v>1055050.1000000001</v>
      </c>
      <c r="O101" s="232">
        <v>5</v>
      </c>
      <c r="P101" s="233">
        <v>61</v>
      </c>
      <c r="Q101" s="232">
        <v>489</v>
      </c>
      <c r="R101" s="233">
        <v>5079</v>
      </c>
      <c r="S101" s="232">
        <v>51695</v>
      </c>
      <c r="T101" s="233">
        <v>526360</v>
      </c>
      <c r="U101" s="228"/>
      <c r="V101" s="228"/>
      <c r="X101" s="274"/>
    </row>
    <row r="102" spans="1:24" x14ac:dyDescent="0.15">
      <c r="A102" s="172">
        <v>43</v>
      </c>
      <c r="B102" s="173">
        <v>39743</v>
      </c>
      <c r="C102" s="174" t="s">
        <v>362</v>
      </c>
      <c r="D102" s="27">
        <v>0</v>
      </c>
      <c r="E102" s="27">
        <v>9</v>
      </c>
      <c r="F102" s="27">
        <v>6</v>
      </c>
      <c r="G102" s="27">
        <v>8</v>
      </c>
      <c r="H102" s="27">
        <v>2</v>
      </c>
      <c r="I102" s="27">
        <v>8</v>
      </c>
      <c r="J102" s="7">
        <v>5</v>
      </c>
      <c r="K102" s="222">
        <v>4733926.5</v>
      </c>
      <c r="L102" s="223">
        <v>1</v>
      </c>
      <c r="M102" s="224">
        <v>1370000</v>
      </c>
      <c r="N102" s="225">
        <v>803</v>
      </c>
      <c r="O102" s="226">
        <v>2</v>
      </c>
      <c r="P102" s="227">
        <v>41</v>
      </c>
      <c r="Q102" s="226">
        <v>319</v>
      </c>
      <c r="R102" s="227">
        <v>3348</v>
      </c>
      <c r="S102" s="226">
        <v>32886</v>
      </c>
      <c r="T102" s="227">
        <v>345790</v>
      </c>
      <c r="V102" s="228"/>
      <c r="X102" s="274"/>
    </row>
    <row r="103" spans="1:24" x14ac:dyDescent="0.15">
      <c r="A103" s="178"/>
      <c r="B103" s="179">
        <v>39746</v>
      </c>
      <c r="C103" s="180" t="s">
        <v>363</v>
      </c>
      <c r="D103" s="19">
        <v>8</v>
      </c>
      <c r="E103" s="19">
        <v>0</v>
      </c>
      <c r="F103" s="19">
        <v>3</v>
      </c>
      <c r="G103" s="19">
        <v>3</v>
      </c>
      <c r="H103" s="19">
        <v>5</v>
      </c>
      <c r="I103" s="19">
        <v>2</v>
      </c>
      <c r="J103" s="13">
        <v>2</v>
      </c>
      <c r="K103" s="229">
        <v>11676255</v>
      </c>
      <c r="L103" s="237" t="s">
        <v>23</v>
      </c>
      <c r="M103" s="229"/>
      <c r="N103" s="231">
        <v>779609.2</v>
      </c>
      <c r="O103" s="232">
        <v>6</v>
      </c>
      <c r="P103" s="233">
        <v>67</v>
      </c>
      <c r="Q103" s="232">
        <v>659</v>
      </c>
      <c r="R103" s="233">
        <v>6385</v>
      </c>
      <c r="S103" s="232">
        <v>62818</v>
      </c>
      <c r="T103" s="233">
        <v>618729</v>
      </c>
      <c r="V103" s="228"/>
      <c r="X103" s="274"/>
    </row>
    <row r="104" spans="1:24" x14ac:dyDescent="0.15">
      <c r="A104" s="172">
        <v>44</v>
      </c>
      <c r="B104" s="173">
        <v>39750</v>
      </c>
      <c r="C104" s="174" t="s">
        <v>362</v>
      </c>
      <c r="D104" s="27">
        <v>9</v>
      </c>
      <c r="E104" s="27">
        <v>8</v>
      </c>
      <c r="F104" s="27">
        <v>9</v>
      </c>
      <c r="G104" s="27">
        <v>0</v>
      </c>
      <c r="H104" s="27">
        <v>6</v>
      </c>
      <c r="I104" s="27">
        <v>2</v>
      </c>
      <c r="J104" s="7">
        <v>1</v>
      </c>
      <c r="K104" s="222">
        <v>5337081</v>
      </c>
      <c r="L104" s="234" t="s">
        <v>23</v>
      </c>
      <c r="M104" s="224"/>
      <c r="N104" s="225">
        <v>1135592.5</v>
      </c>
      <c r="O104" s="226">
        <v>3</v>
      </c>
      <c r="P104" s="227">
        <v>27</v>
      </c>
      <c r="Q104" s="226">
        <v>280</v>
      </c>
      <c r="R104" s="227">
        <v>2978</v>
      </c>
      <c r="S104" s="226">
        <v>29198</v>
      </c>
      <c r="T104" s="227">
        <v>280229</v>
      </c>
      <c r="V104" s="228"/>
      <c r="X104" s="274"/>
    </row>
    <row r="105" spans="1:24" x14ac:dyDescent="0.15">
      <c r="A105" s="178"/>
      <c r="B105" s="179">
        <v>39753</v>
      </c>
      <c r="C105" s="180" t="s">
        <v>363</v>
      </c>
      <c r="D105" s="19">
        <v>6</v>
      </c>
      <c r="E105" s="19">
        <v>7</v>
      </c>
      <c r="F105" s="19">
        <v>9</v>
      </c>
      <c r="G105" s="19">
        <v>9</v>
      </c>
      <c r="H105" s="19">
        <v>5</v>
      </c>
      <c r="I105" s="19">
        <v>6</v>
      </c>
      <c r="J105" s="13">
        <v>5</v>
      </c>
      <c r="K105" s="229">
        <v>12344109</v>
      </c>
      <c r="L105" s="237" t="s">
        <v>23</v>
      </c>
      <c r="M105" s="229"/>
      <c r="N105" s="231">
        <v>1958944.6</v>
      </c>
      <c r="O105" s="232">
        <v>10</v>
      </c>
      <c r="P105" s="233">
        <v>77</v>
      </c>
      <c r="Q105" s="232">
        <v>972</v>
      </c>
      <c r="R105" s="233">
        <v>9289</v>
      </c>
      <c r="S105" s="232">
        <v>92704</v>
      </c>
      <c r="T105" s="233">
        <v>881073</v>
      </c>
      <c r="V105" s="228"/>
      <c r="X105" s="274"/>
    </row>
    <row r="106" spans="1:24" x14ac:dyDescent="0.15">
      <c r="A106" s="172">
        <v>45</v>
      </c>
      <c r="B106" s="173">
        <v>39757</v>
      </c>
      <c r="C106" s="174" t="s">
        <v>362</v>
      </c>
      <c r="D106" s="27">
        <v>0</v>
      </c>
      <c r="E106" s="27">
        <v>7</v>
      </c>
      <c r="F106" s="27">
        <v>9</v>
      </c>
      <c r="G106" s="27">
        <v>4</v>
      </c>
      <c r="H106" s="27">
        <v>0</v>
      </c>
      <c r="I106" s="27">
        <v>1</v>
      </c>
      <c r="J106" s="7">
        <v>6</v>
      </c>
      <c r="K106" s="222">
        <v>4654281</v>
      </c>
      <c r="L106" s="223">
        <v>1</v>
      </c>
      <c r="M106" s="224">
        <v>2170000</v>
      </c>
      <c r="N106" s="225">
        <v>99385.1</v>
      </c>
      <c r="O106" s="226">
        <v>5</v>
      </c>
      <c r="P106" s="227">
        <v>30</v>
      </c>
      <c r="Q106" s="226">
        <v>280</v>
      </c>
      <c r="R106" s="227">
        <v>2605</v>
      </c>
      <c r="S106" s="226">
        <v>28691</v>
      </c>
      <c r="T106" s="227">
        <v>304641</v>
      </c>
      <c r="V106" s="228"/>
      <c r="X106" s="274"/>
    </row>
    <row r="107" spans="1:24" x14ac:dyDescent="0.15">
      <c r="A107" s="178"/>
      <c r="B107" s="179">
        <v>39760</v>
      </c>
      <c r="C107" s="180" t="s">
        <v>363</v>
      </c>
      <c r="D107" s="19">
        <v>2</v>
      </c>
      <c r="E107" s="19">
        <v>5</v>
      </c>
      <c r="F107" s="19">
        <v>9</v>
      </c>
      <c r="G107" s="19">
        <v>1</v>
      </c>
      <c r="H107" s="19">
        <v>4</v>
      </c>
      <c r="I107" s="19">
        <v>9</v>
      </c>
      <c r="J107" s="13">
        <v>6</v>
      </c>
      <c r="K107" s="229">
        <v>11684725.5</v>
      </c>
      <c r="L107" s="237">
        <v>3</v>
      </c>
      <c r="M107" s="229">
        <v>270000</v>
      </c>
      <c r="N107" s="231">
        <v>68756.3</v>
      </c>
      <c r="O107" s="232">
        <v>8</v>
      </c>
      <c r="P107" s="233">
        <v>63</v>
      </c>
      <c r="Q107" s="232">
        <v>697</v>
      </c>
      <c r="R107" s="233">
        <v>7270</v>
      </c>
      <c r="S107" s="232">
        <v>71707</v>
      </c>
      <c r="T107" s="233">
        <v>739486</v>
      </c>
      <c r="V107" s="228"/>
      <c r="X107" s="274"/>
    </row>
    <row r="108" spans="1:24" x14ac:dyDescent="0.15">
      <c r="A108" s="172">
        <v>46</v>
      </c>
      <c r="B108" s="173">
        <v>39764</v>
      </c>
      <c r="C108" s="174" t="s">
        <v>362</v>
      </c>
      <c r="D108" s="27">
        <v>9</v>
      </c>
      <c r="E108" s="27">
        <v>5</v>
      </c>
      <c r="F108" s="27">
        <v>4</v>
      </c>
      <c r="G108" s="27">
        <v>6</v>
      </c>
      <c r="H108" s="27">
        <v>9</v>
      </c>
      <c r="I108" s="27">
        <v>9</v>
      </c>
      <c r="J108" s="7">
        <v>9</v>
      </c>
      <c r="K108" s="222">
        <v>4516654.5</v>
      </c>
      <c r="L108" s="234">
        <v>1</v>
      </c>
      <c r="M108" s="224">
        <v>370000</v>
      </c>
      <c r="N108" s="225">
        <v>17.2</v>
      </c>
      <c r="O108" s="226">
        <v>6</v>
      </c>
      <c r="P108" s="227">
        <v>31</v>
      </c>
      <c r="Q108" s="226">
        <v>348</v>
      </c>
      <c r="R108" s="227">
        <v>3545</v>
      </c>
      <c r="S108" s="226">
        <v>25269</v>
      </c>
      <c r="T108" s="227">
        <v>254972</v>
      </c>
      <c r="V108" s="228"/>
      <c r="X108" s="274"/>
    </row>
    <row r="109" spans="1:24" x14ac:dyDescent="0.15">
      <c r="A109" s="178"/>
      <c r="B109" s="179">
        <v>39767</v>
      </c>
      <c r="C109" s="180" t="s">
        <v>363</v>
      </c>
      <c r="D109" s="19">
        <v>1</v>
      </c>
      <c r="E109" s="19">
        <v>8</v>
      </c>
      <c r="F109" s="19">
        <v>3</v>
      </c>
      <c r="G109" s="19">
        <v>7</v>
      </c>
      <c r="H109" s="19">
        <v>8</v>
      </c>
      <c r="I109" s="19">
        <v>1</v>
      </c>
      <c r="J109" s="13">
        <v>5</v>
      </c>
      <c r="K109" s="229">
        <v>11653792.5</v>
      </c>
      <c r="L109" s="230" t="s">
        <v>23</v>
      </c>
      <c r="M109" s="229"/>
      <c r="N109" s="231">
        <v>777325.2</v>
      </c>
      <c r="O109" s="232">
        <v>4</v>
      </c>
      <c r="P109" s="233">
        <v>72</v>
      </c>
      <c r="Q109" s="232">
        <v>824</v>
      </c>
      <c r="R109" s="233">
        <v>8280</v>
      </c>
      <c r="S109" s="232">
        <v>81029</v>
      </c>
      <c r="T109" s="233">
        <v>849625</v>
      </c>
      <c r="V109" s="228"/>
      <c r="X109" s="274"/>
    </row>
    <row r="110" spans="1:24" x14ac:dyDescent="0.15">
      <c r="A110" s="172">
        <v>47</v>
      </c>
      <c r="B110" s="173">
        <v>39771</v>
      </c>
      <c r="C110" s="174" t="s">
        <v>362</v>
      </c>
      <c r="D110" s="27">
        <v>2</v>
      </c>
      <c r="E110" s="27">
        <v>7</v>
      </c>
      <c r="F110" s="27">
        <v>7</v>
      </c>
      <c r="G110" s="27">
        <v>9</v>
      </c>
      <c r="H110" s="27">
        <v>1</v>
      </c>
      <c r="I110" s="27">
        <v>2</v>
      </c>
      <c r="J110" s="7">
        <v>4</v>
      </c>
      <c r="K110" s="222">
        <v>4831852.5</v>
      </c>
      <c r="L110" s="234" t="s">
        <v>23</v>
      </c>
      <c r="M110" s="224"/>
      <c r="N110" s="225">
        <v>1099609.8</v>
      </c>
      <c r="O110" s="226">
        <v>3</v>
      </c>
      <c r="P110" s="227">
        <v>32</v>
      </c>
      <c r="Q110" s="226">
        <v>286</v>
      </c>
      <c r="R110" s="227">
        <v>2860</v>
      </c>
      <c r="S110" s="226">
        <v>28080</v>
      </c>
      <c r="T110" s="227">
        <v>271012</v>
      </c>
      <c r="V110" s="228"/>
      <c r="X110" s="274"/>
    </row>
    <row r="111" spans="1:24" x14ac:dyDescent="0.15">
      <c r="A111" s="178"/>
      <c r="B111" s="179">
        <v>39774</v>
      </c>
      <c r="C111" s="180" t="s">
        <v>363</v>
      </c>
      <c r="D111" s="19">
        <v>7</v>
      </c>
      <c r="E111" s="19">
        <v>4</v>
      </c>
      <c r="F111" s="19">
        <v>7</v>
      </c>
      <c r="G111" s="19">
        <v>3</v>
      </c>
      <c r="H111" s="19">
        <v>1</v>
      </c>
      <c r="I111" s="19">
        <v>4</v>
      </c>
      <c r="J111" s="13">
        <v>6</v>
      </c>
      <c r="K111" s="229">
        <v>11862513</v>
      </c>
      <c r="L111" s="230">
        <v>2</v>
      </c>
      <c r="M111" s="229">
        <v>870000</v>
      </c>
      <c r="N111" s="231">
        <v>150839.4</v>
      </c>
      <c r="O111" s="232">
        <v>10</v>
      </c>
      <c r="P111" s="233">
        <v>77</v>
      </c>
      <c r="Q111" s="232">
        <v>783</v>
      </c>
      <c r="R111" s="233">
        <v>7912</v>
      </c>
      <c r="S111" s="232">
        <v>78683</v>
      </c>
      <c r="T111" s="233">
        <v>749515</v>
      </c>
      <c r="V111" s="228"/>
      <c r="X111" s="274"/>
    </row>
    <row r="112" spans="1:24" x14ac:dyDescent="0.15">
      <c r="A112" s="172">
        <v>48</v>
      </c>
      <c r="B112" s="173">
        <v>39778</v>
      </c>
      <c r="C112" s="174" t="s">
        <v>362</v>
      </c>
      <c r="D112" s="27">
        <v>9</v>
      </c>
      <c r="E112" s="27">
        <v>8</v>
      </c>
      <c r="F112" s="27">
        <v>0</v>
      </c>
      <c r="G112" s="27">
        <v>9</v>
      </c>
      <c r="H112" s="27">
        <v>9</v>
      </c>
      <c r="I112" s="27">
        <v>6</v>
      </c>
      <c r="J112" s="7">
        <v>7</v>
      </c>
      <c r="K112" s="222">
        <v>4473255</v>
      </c>
      <c r="L112" s="223" t="s">
        <v>23</v>
      </c>
      <c r="M112" s="224"/>
      <c r="N112" s="225">
        <v>449205.5</v>
      </c>
      <c r="O112" s="226">
        <v>2</v>
      </c>
      <c r="P112" s="227">
        <v>22</v>
      </c>
      <c r="Q112" s="226">
        <v>283</v>
      </c>
      <c r="R112" s="227">
        <v>2960</v>
      </c>
      <c r="S112" s="226">
        <v>29290</v>
      </c>
      <c r="T112" s="227">
        <v>298934</v>
      </c>
      <c r="V112" s="228"/>
      <c r="X112" s="274"/>
    </row>
    <row r="113" spans="1:24" x14ac:dyDescent="0.15">
      <c r="A113" s="178"/>
      <c r="B113" s="179">
        <v>39781</v>
      </c>
      <c r="C113" s="180" t="s">
        <v>363</v>
      </c>
      <c r="D113" s="19">
        <v>5</v>
      </c>
      <c r="E113" s="19">
        <v>0</v>
      </c>
      <c r="F113" s="19">
        <v>8</v>
      </c>
      <c r="G113" s="19">
        <v>1</v>
      </c>
      <c r="H113" s="19">
        <v>7</v>
      </c>
      <c r="I113" s="19">
        <v>1</v>
      </c>
      <c r="J113" s="13">
        <v>3</v>
      </c>
      <c r="K113" s="229">
        <v>11391193.5</v>
      </c>
      <c r="L113" s="230">
        <v>1</v>
      </c>
      <c r="M113" s="229">
        <v>1170000</v>
      </c>
      <c r="N113" s="231">
        <v>38998.1</v>
      </c>
      <c r="O113" s="232">
        <v>10</v>
      </c>
      <c r="P113" s="233">
        <v>78</v>
      </c>
      <c r="Q113" s="232">
        <v>872</v>
      </c>
      <c r="R113" s="233">
        <v>8469</v>
      </c>
      <c r="S113" s="232">
        <v>81839</v>
      </c>
      <c r="T113" s="233">
        <v>687340</v>
      </c>
      <c r="V113" s="228"/>
      <c r="X113" s="274"/>
    </row>
    <row r="114" spans="1:24" x14ac:dyDescent="0.15">
      <c r="A114" s="172">
        <v>49</v>
      </c>
      <c r="B114" s="173">
        <v>39785</v>
      </c>
      <c r="C114" s="174" t="s">
        <v>362</v>
      </c>
      <c r="D114" s="27">
        <v>3</v>
      </c>
      <c r="E114" s="27">
        <v>0</v>
      </c>
      <c r="F114" s="27">
        <v>3</v>
      </c>
      <c r="G114" s="27">
        <v>5</v>
      </c>
      <c r="H114" s="27">
        <v>4</v>
      </c>
      <c r="I114" s="27">
        <v>0</v>
      </c>
      <c r="J114" s="7">
        <v>4</v>
      </c>
      <c r="K114" s="222">
        <v>5324626.5</v>
      </c>
      <c r="L114" s="223" t="s">
        <v>23</v>
      </c>
      <c r="M114" s="224"/>
      <c r="N114" s="225">
        <v>394150.7</v>
      </c>
      <c r="O114" s="226">
        <v>3</v>
      </c>
      <c r="P114" s="227">
        <v>18</v>
      </c>
      <c r="Q114" s="226">
        <v>310</v>
      </c>
      <c r="R114" s="227">
        <v>2870</v>
      </c>
      <c r="S114" s="226">
        <v>26845</v>
      </c>
      <c r="T114" s="227">
        <v>301820</v>
      </c>
      <c r="V114" s="228"/>
      <c r="X114" s="274"/>
    </row>
    <row r="115" spans="1:24" x14ac:dyDescent="0.15">
      <c r="A115" s="178"/>
      <c r="B115" s="179">
        <v>39788</v>
      </c>
      <c r="C115" s="180" t="s">
        <v>363</v>
      </c>
      <c r="D115" s="19">
        <v>4</v>
      </c>
      <c r="E115" s="19">
        <v>9</v>
      </c>
      <c r="F115" s="19">
        <v>0</v>
      </c>
      <c r="G115" s="19">
        <v>9</v>
      </c>
      <c r="H115" s="19">
        <v>5</v>
      </c>
      <c r="I115" s="19">
        <v>8</v>
      </c>
      <c r="J115" s="13">
        <v>0</v>
      </c>
      <c r="K115" s="229">
        <v>13273672.5</v>
      </c>
      <c r="L115" s="230" t="s">
        <v>23</v>
      </c>
      <c r="M115" s="229"/>
      <c r="N115" s="231">
        <v>1279504.7</v>
      </c>
      <c r="O115" s="232">
        <v>11</v>
      </c>
      <c r="P115" s="233">
        <v>54</v>
      </c>
      <c r="Q115" s="232">
        <v>609</v>
      </c>
      <c r="R115" s="233">
        <v>6260</v>
      </c>
      <c r="S115" s="232">
        <v>62610</v>
      </c>
      <c r="T115" s="233">
        <v>629400</v>
      </c>
      <c r="V115" s="228"/>
      <c r="X115" s="274"/>
    </row>
    <row r="116" spans="1:24" x14ac:dyDescent="0.15">
      <c r="A116" s="172">
        <v>50</v>
      </c>
      <c r="B116" s="173">
        <v>39792</v>
      </c>
      <c r="C116" s="174" t="s">
        <v>362</v>
      </c>
      <c r="D116" s="27">
        <v>1</v>
      </c>
      <c r="E116" s="27">
        <v>1</v>
      </c>
      <c r="F116" s="27">
        <v>9</v>
      </c>
      <c r="G116" s="27">
        <v>0</v>
      </c>
      <c r="H116" s="27">
        <v>4</v>
      </c>
      <c r="I116" s="27">
        <v>7</v>
      </c>
      <c r="J116" s="7">
        <v>8</v>
      </c>
      <c r="K116" s="222">
        <v>5407135.5</v>
      </c>
      <c r="L116" s="223" t="s">
        <v>23</v>
      </c>
      <c r="M116" s="224"/>
      <c r="N116" s="225">
        <v>1640160.6</v>
      </c>
      <c r="O116" s="226">
        <v>2</v>
      </c>
      <c r="P116" s="227">
        <v>32</v>
      </c>
      <c r="Q116" s="226">
        <v>366</v>
      </c>
      <c r="R116" s="227">
        <v>3586</v>
      </c>
      <c r="S116" s="226">
        <v>34921</v>
      </c>
      <c r="T116" s="227">
        <v>351970</v>
      </c>
      <c r="V116" s="228"/>
      <c r="X116" s="274"/>
    </row>
    <row r="117" spans="1:24" x14ac:dyDescent="0.15">
      <c r="A117" s="178"/>
      <c r="B117" s="179">
        <v>39795</v>
      </c>
      <c r="C117" s="180" t="s">
        <v>363</v>
      </c>
      <c r="D117" s="19">
        <v>3</v>
      </c>
      <c r="E117" s="19">
        <v>9</v>
      </c>
      <c r="F117" s="19">
        <v>1</v>
      </c>
      <c r="G117" s="19">
        <v>3</v>
      </c>
      <c r="H117" s="19">
        <v>0</v>
      </c>
      <c r="I117" s="19">
        <v>4</v>
      </c>
      <c r="J117" s="13">
        <v>5</v>
      </c>
      <c r="K117" s="229">
        <v>13114122</v>
      </c>
      <c r="L117" s="230">
        <v>5</v>
      </c>
      <c r="M117" s="229">
        <v>470000</v>
      </c>
      <c r="N117" s="231">
        <v>164872.5</v>
      </c>
      <c r="O117" s="232">
        <v>15</v>
      </c>
      <c r="P117" s="233">
        <v>93</v>
      </c>
      <c r="Q117" s="232">
        <v>940</v>
      </c>
      <c r="R117" s="233">
        <v>8794</v>
      </c>
      <c r="S117" s="232">
        <v>97439</v>
      </c>
      <c r="T117" s="233">
        <v>940637</v>
      </c>
      <c r="V117" s="228"/>
      <c r="X117" s="274"/>
    </row>
    <row r="118" spans="1:24" x14ac:dyDescent="0.15">
      <c r="A118" s="172">
        <v>51</v>
      </c>
      <c r="B118" s="173">
        <v>39799</v>
      </c>
      <c r="C118" s="174" t="s">
        <v>362</v>
      </c>
      <c r="D118" s="27">
        <v>6</v>
      </c>
      <c r="E118" s="27">
        <v>1</v>
      </c>
      <c r="F118" s="27">
        <v>9</v>
      </c>
      <c r="G118" s="27">
        <v>4</v>
      </c>
      <c r="H118" s="27">
        <v>5</v>
      </c>
      <c r="I118" s="27">
        <v>4</v>
      </c>
      <c r="J118" s="7">
        <v>5</v>
      </c>
      <c r="K118" s="222">
        <v>4793911.5</v>
      </c>
      <c r="L118" s="223" t="s">
        <v>23</v>
      </c>
      <c r="M118" s="224"/>
      <c r="N118" s="225">
        <v>484626.4</v>
      </c>
      <c r="O118" s="226">
        <v>1</v>
      </c>
      <c r="P118" s="227">
        <v>51</v>
      </c>
      <c r="Q118" s="226">
        <v>414</v>
      </c>
      <c r="R118" s="227">
        <v>3674</v>
      </c>
      <c r="S118" s="226">
        <v>36117</v>
      </c>
      <c r="T118" s="227">
        <v>349309</v>
      </c>
      <c r="V118" s="228"/>
      <c r="X118" s="274"/>
    </row>
    <row r="119" spans="1:24" x14ac:dyDescent="0.15">
      <c r="A119" s="178"/>
      <c r="B119" s="179">
        <v>39802</v>
      </c>
      <c r="C119" s="180" t="s">
        <v>363</v>
      </c>
      <c r="D119" s="19">
        <v>5</v>
      </c>
      <c r="E119" s="19">
        <v>5</v>
      </c>
      <c r="F119" s="19">
        <v>8</v>
      </c>
      <c r="G119" s="19">
        <v>0</v>
      </c>
      <c r="H119" s="19">
        <v>7</v>
      </c>
      <c r="I119" s="19">
        <v>9</v>
      </c>
      <c r="J119" s="13">
        <v>2</v>
      </c>
      <c r="K119" s="229">
        <v>11913859.5</v>
      </c>
      <c r="L119" s="230" t="s">
        <v>23</v>
      </c>
      <c r="M119" s="229"/>
      <c r="N119" s="231">
        <v>1279280.8</v>
      </c>
      <c r="O119" s="232">
        <v>5</v>
      </c>
      <c r="P119" s="233">
        <v>70</v>
      </c>
      <c r="Q119" s="232">
        <v>611</v>
      </c>
      <c r="R119" s="233">
        <v>6208</v>
      </c>
      <c r="S119" s="232">
        <v>62136</v>
      </c>
      <c r="T119" s="233">
        <v>638224</v>
      </c>
      <c r="V119" s="228"/>
      <c r="X119" s="274"/>
    </row>
    <row r="120" spans="1:24" x14ac:dyDescent="0.15">
      <c r="A120" s="172">
        <v>52</v>
      </c>
      <c r="B120" s="173">
        <v>39806</v>
      </c>
      <c r="C120" s="174" t="s">
        <v>362</v>
      </c>
      <c r="D120" s="27">
        <v>8</v>
      </c>
      <c r="E120" s="27">
        <v>9</v>
      </c>
      <c r="F120" s="27">
        <v>1</v>
      </c>
      <c r="G120" s="27">
        <v>2</v>
      </c>
      <c r="H120" s="27">
        <v>0</v>
      </c>
      <c r="I120" s="27">
        <v>7</v>
      </c>
      <c r="J120" s="7">
        <v>2</v>
      </c>
      <c r="K120" s="222">
        <v>5546089.5</v>
      </c>
      <c r="L120" s="223">
        <v>1</v>
      </c>
      <c r="M120" s="224">
        <v>1570000</v>
      </c>
      <c r="N120" s="225">
        <v>79205</v>
      </c>
      <c r="O120" s="226" t="s">
        <v>17</v>
      </c>
      <c r="P120" s="227">
        <v>32</v>
      </c>
      <c r="Q120" s="226">
        <v>299</v>
      </c>
      <c r="R120" s="227">
        <v>2828</v>
      </c>
      <c r="S120" s="226">
        <v>30058</v>
      </c>
      <c r="T120" s="227">
        <v>295531</v>
      </c>
      <c r="V120" s="228"/>
      <c r="X120" s="274"/>
    </row>
    <row r="121" spans="1:24" x14ac:dyDescent="0.15">
      <c r="A121" s="178"/>
      <c r="B121" s="179">
        <v>39809</v>
      </c>
      <c r="C121" s="180" t="s">
        <v>363</v>
      </c>
      <c r="D121" s="38">
        <v>0</v>
      </c>
      <c r="E121" s="38">
        <v>0</v>
      </c>
      <c r="F121" s="38">
        <v>2</v>
      </c>
      <c r="G121" s="38">
        <v>9</v>
      </c>
      <c r="H121" s="38">
        <v>9</v>
      </c>
      <c r="I121" s="38">
        <v>8</v>
      </c>
      <c r="J121" s="39">
        <v>7</v>
      </c>
      <c r="K121" s="229">
        <v>11473770</v>
      </c>
      <c r="L121" s="237">
        <v>1</v>
      </c>
      <c r="M121" s="229">
        <v>770000</v>
      </c>
      <c r="N121" s="231">
        <v>74505.5</v>
      </c>
      <c r="O121" s="232">
        <v>4</v>
      </c>
      <c r="P121" s="233">
        <v>63</v>
      </c>
      <c r="Q121" s="232">
        <v>691</v>
      </c>
      <c r="R121" s="233">
        <v>7763</v>
      </c>
      <c r="S121" s="232">
        <v>74606</v>
      </c>
      <c r="T121" s="233">
        <v>785625</v>
      </c>
      <c r="V121" s="228"/>
      <c r="X121" s="274"/>
    </row>
    <row r="122" spans="1:24" hidden="1" x14ac:dyDescent="0.15">
      <c r="A122" s="172">
        <v>53</v>
      </c>
      <c r="B122" s="173"/>
      <c r="C122" s="174"/>
      <c r="D122" s="27"/>
      <c r="E122" s="27"/>
      <c r="F122" s="27"/>
      <c r="G122" s="27"/>
      <c r="H122" s="27"/>
      <c r="I122" s="27"/>
      <c r="J122" s="7"/>
      <c r="K122" s="222"/>
      <c r="L122" s="223"/>
      <c r="M122" s="224"/>
      <c r="N122" s="225"/>
      <c r="O122" s="226"/>
      <c r="P122" s="227"/>
      <c r="Q122" s="226"/>
      <c r="R122" s="227"/>
      <c r="S122" s="226"/>
      <c r="T122" s="227"/>
      <c r="V122" s="228"/>
      <c r="X122" s="274"/>
    </row>
    <row r="123" spans="1:24" hidden="1" x14ac:dyDescent="0.15">
      <c r="A123" s="178"/>
      <c r="B123" s="179"/>
      <c r="C123" s="180"/>
      <c r="D123" s="38"/>
      <c r="E123" s="38"/>
      <c r="F123" s="38"/>
      <c r="G123" s="38"/>
      <c r="H123" s="38"/>
      <c r="I123" s="38"/>
      <c r="J123" s="39"/>
      <c r="K123" s="229"/>
      <c r="L123" s="230"/>
      <c r="M123" s="229"/>
      <c r="N123" s="231"/>
      <c r="O123" s="232"/>
      <c r="P123" s="233"/>
      <c r="Q123" s="232"/>
      <c r="R123" s="233"/>
      <c r="S123" s="232"/>
      <c r="T123" s="233"/>
      <c r="V123" s="228"/>
      <c r="X123" s="274"/>
    </row>
    <row r="124" spans="1:24" x14ac:dyDescent="0.15">
      <c r="A124" s="45"/>
      <c r="B124" s="46"/>
      <c r="C124" s="46"/>
      <c r="D124" s="276"/>
      <c r="E124" s="276"/>
      <c r="F124" s="276"/>
      <c r="G124" s="276"/>
      <c r="H124" s="276"/>
      <c r="I124" s="276" t="s">
        <v>24</v>
      </c>
      <c r="J124" s="276"/>
      <c r="K124" s="277"/>
      <c r="L124" s="278">
        <v>34</v>
      </c>
      <c r="M124" s="229"/>
      <c r="N124" s="278"/>
      <c r="O124" s="278">
        <v>296</v>
      </c>
      <c r="P124" s="278">
        <v>2681</v>
      </c>
      <c r="Q124" s="278">
        <v>26717</v>
      </c>
      <c r="R124" s="278">
        <v>266385</v>
      </c>
      <c r="S124" s="278">
        <v>2634777</v>
      </c>
      <c r="T124" s="272">
        <v>26509949</v>
      </c>
      <c r="V124" s="228"/>
      <c r="X124" s="274"/>
    </row>
    <row r="125" spans="1:24" x14ac:dyDescent="0.15">
      <c r="K125" s="222"/>
      <c r="N125" s="222"/>
      <c r="V125" s="280"/>
      <c r="X125" s="274"/>
    </row>
    <row r="126" spans="1:24" x14ac:dyDescent="0.15">
      <c r="M126" s="281"/>
      <c r="N126" s="281"/>
    </row>
    <row r="129" spans="12:24" x14ac:dyDescent="0.15">
      <c r="L129" s="282"/>
      <c r="N129" s="282"/>
      <c r="O129" s="282"/>
      <c r="P129" s="282"/>
      <c r="Q129" s="282"/>
      <c r="R129" s="282"/>
      <c r="S129" s="282"/>
      <c r="T129" s="282"/>
      <c r="V129" s="282"/>
      <c r="W129" s="283"/>
      <c r="X129" s="283"/>
    </row>
    <row r="130" spans="12:24" x14ac:dyDescent="0.15">
      <c r="L130" s="282"/>
      <c r="N130" s="282"/>
      <c r="O130" s="282"/>
      <c r="P130" s="282"/>
      <c r="Q130" s="282"/>
      <c r="R130" s="282"/>
      <c r="S130" s="282"/>
      <c r="T130" s="282"/>
      <c r="V130" s="282"/>
      <c r="W130" s="283"/>
      <c r="X130" s="283"/>
    </row>
    <row r="131" spans="12:24" x14ac:dyDescent="0.15">
      <c r="L131" s="282"/>
      <c r="N131" s="282"/>
      <c r="O131" s="282"/>
      <c r="P131" s="282"/>
      <c r="Q131" s="282"/>
      <c r="R131" s="282"/>
      <c r="S131" s="282"/>
      <c r="T131" s="282"/>
      <c r="V131" s="282"/>
      <c r="W131" s="283"/>
      <c r="X131" s="283"/>
    </row>
    <row r="132" spans="12:24" x14ac:dyDescent="0.15">
      <c r="L132" s="282"/>
      <c r="N132" s="282"/>
      <c r="O132" s="282"/>
      <c r="P132" s="282"/>
      <c r="Q132" s="282"/>
      <c r="R132" s="282"/>
      <c r="S132" s="282"/>
      <c r="T132" s="282"/>
      <c r="V132" s="282"/>
      <c r="W132" s="283"/>
      <c r="X132" s="283"/>
    </row>
    <row r="133" spans="12:24" x14ac:dyDescent="0.15">
      <c r="L133" s="282"/>
      <c r="N133" s="282"/>
      <c r="O133" s="282"/>
      <c r="P133" s="282"/>
      <c r="Q133" s="282"/>
      <c r="R133" s="282"/>
      <c r="S133" s="282"/>
      <c r="T133" s="282"/>
      <c r="V133" s="282"/>
      <c r="W133" s="282"/>
    </row>
    <row r="134" spans="12:24" x14ac:dyDescent="0.15">
      <c r="L134" s="282"/>
      <c r="N134" s="282"/>
      <c r="O134" s="282"/>
      <c r="P134" s="282"/>
      <c r="Q134" s="282"/>
      <c r="R134" s="282"/>
      <c r="S134" s="282"/>
      <c r="T134" s="282"/>
      <c r="V134" s="282"/>
      <c r="W134" s="283"/>
      <c r="X134" s="283"/>
    </row>
    <row r="135" spans="12:24" x14ac:dyDescent="0.15">
      <c r="L135" s="282"/>
      <c r="N135" s="282"/>
      <c r="O135" s="282"/>
      <c r="P135" s="282"/>
      <c r="Q135" s="282"/>
      <c r="R135" s="282"/>
      <c r="S135" s="282"/>
      <c r="T135" s="282"/>
      <c r="V135" s="282"/>
      <c r="W135" s="283"/>
      <c r="X135" s="283"/>
    </row>
    <row r="136" spans="12:24" x14ac:dyDescent="0.15">
      <c r="L136" s="282"/>
      <c r="N136" s="282"/>
      <c r="O136" s="282"/>
      <c r="P136" s="282"/>
      <c r="Q136" s="282"/>
      <c r="R136" s="282"/>
      <c r="S136" s="282"/>
      <c r="T136" s="282"/>
      <c r="V136" s="282"/>
      <c r="W136" s="282"/>
    </row>
    <row r="137" spans="12:24" x14ac:dyDescent="0.15">
      <c r="L137" s="282"/>
      <c r="N137" s="282"/>
      <c r="O137" s="282"/>
      <c r="P137" s="282"/>
      <c r="Q137" s="282"/>
      <c r="R137" s="282"/>
      <c r="S137" s="282"/>
      <c r="T137" s="282"/>
      <c r="V137" s="282"/>
      <c r="W137" s="283"/>
      <c r="X137" s="283"/>
    </row>
  </sheetData>
  <phoneticPr fontId="0" type="noConversion"/>
  <printOptions horizontalCentered="1" verticalCentered="1"/>
  <pageMargins left="0" right="0" top="0" bottom="0" header="0.51181102300000003" footer="0.51181102300000003"/>
  <pageSetup paperSize="9" scale="85" orientation="landscape" horizontalDpi="4294967292" verticalDpi="4294967292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37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2.5" customWidth="1"/>
    <col min="22" max="22" width="13.5" customWidth="1"/>
    <col min="24" max="24" width="13" customWidth="1"/>
  </cols>
  <sheetData>
    <row r="2" spans="1:24" ht="14.1" customHeight="1" x14ac:dyDescent="0.2">
      <c r="A2" s="1" t="s">
        <v>364</v>
      </c>
      <c r="T2" s="3" t="s">
        <v>411</v>
      </c>
    </row>
    <row r="3" spans="1:24" ht="11.1" customHeight="1" x14ac:dyDescent="0.15">
      <c r="A3" s="6" t="s">
        <v>2</v>
      </c>
    </row>
    <row r="4" spans="1:24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4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4" ht="11.1" customHeight="1" x14ac:dyDescent="0.15">
      <c r="A6" s="13" t="s">
        <v>428</v>
      </c>
      <c r="B6" s="14">
        <v>2009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366</v>
      </c>
      <c r="M6" s="18"/>
      <c r="N6" s="13" t="s">
        <v>367</v>
      </c>
      <c r="O6" s="239">
        <v>70000</v>
      </c>
      <c r="P6" s="239">
        <v>7000</v>
      </c>
      <c r="Q6" s="239">
        <v>700</v>
      </c>
      <c r="R6" s="239">
        <v>70</v>
      </c>
      <c r="S6" s="239">
        <v>7</v>
      </c>
      <c r="T6" s="239">
        <v>2.5</v>
      </c>
    </row>
    <row r="7" spans="1:24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4" x14ac:dyDescent="0.15">
      <c r="A8" s="172">
        <v>1</v>
      </c>
      <c r="B8" s="173">
        <v>39813</v>
      </c>
      <c r="C8" s="174" t="s">
        <v>362</v>
      </c>
      <c r="D8" s="27">
        <v>8</v>
      </c>
      <c r="E8" s="27">
        <v>1</v>
      </c>
      <c r="F8" s="27">
        <v>7</v>
      </c>
      <c r="G8" s="27">
        <v>8</v>
      </c>
      <c r="H8" s="27">
        <v>1</v>
      </c>
      <c r="I8" s="27">
        <v>5</v>
      </c>
      <c r="J8" s="7">
        <v>0</v>
      </c>
      <c r="K8" s="222">
        <v>6134196</v>
      </c>
      <c r="L8" s="223">
        <v>1</v>
      </c>
      <c r="M8" s="224">
        <v>470000</v>
      </c>
      <c r="N8" s="225">
        <v>13656.4</v>
      </c>
      <c r="O8" s="226">
        <v>2</v>
      </c>
      <c r="P8" s="227">
        <v>27</v>
      </c>
      <c r="Q8" s="226">
        <v>303</v>
      </c>
      <c r="R8" s="227">
        <v>3024</v>
      </c>
      <c r="S8" s="226">
        <v>30904</v>
      </c>
      <c r="T8" s="227">
        <v>298003</v>
      </c>
      <c r="V8" s="228"/>
      <c r="X8" s="274"/>
    </row>
    <row r="9" spans="1:24" x14ac:dyDescent="0.15">
      <c r="A9" s="178"/>
      <c r="B9" s="179">
        <v>39816</v>
      </c>
      <c r="C9" s="180" t="s">
        <v>363</v>
      </c>
      <c r="D9" s="19">
        <v>2</v>
      </c>
      <c r="E9" s="19">
        <v>5</v>
      </c>
      <c r="F9" s="19">
        <v>1</v>
      </c>
      <c r="G9" s="19">
        <v>5</v>
      </c>
      <c r="H9" s="19">
        <v>0</v>
      </c>
      <c r="I9" s="19">
        <v>1</v>
      </c>
      <c r="J9" s="13">
        <v>7</v>
      </c>
      <c r="K9" s="229">
        <v>11877444</v>
      </c>
      <c r="L9" s="230" t="s">
        <v>23</v>
      </c>
      <c r="M9" s="229"/>
      <c r="N9" s="231">
        <v>805881.9</v>
      </c>
      <c r="O9" s="232">
        <v>5</v>
      </c>
      <c r="P9" s="233">
        <v>73</v>
      </c>
      <c r="Q9" s="232">
        <v>741</v>
      </c>
      <c r="R9" s="233">
        <v>7250</v>
      </c>
      <c r="S9" s="232">
        <v>78722</v>
      </c>
      <c r="T9" s="233">
        <v>808688</v>
      </c>
      <c r="V9" s="228"/>
      <c r="X9" s="274"/>
    </row>
    <row r="10" spans="1:24" x14ac:dyDescent="0.15">
      <c r="A10" s="172">
        <v>2</v>
      </c>
      <c r="B10" s="173">
        <v>39820</v>
      </c>
      <c r="C10" s="174" t="s">
        <v>362</v>
      </c>
      <c r="D10" s="238">
        <v>9</v>
      </c>
      <c r="E10" s="27">
        <v>4</v>
      </c>
      <c r="F10" s="27">
        <v>6</v>
      </c>
      <c r="G10" s="27">
        <v>6</v>
      </c>
      <c r="H10" s="27">
        <v>3</v>
      </c>
      <c r="I10" s="27">
        <v>5</v>
      </c>
      <c r="J10" s="7">
        <v>8</v>
      </c>
      <c r="K10" s="222">
        <v>5280129</v>
      </c>
      <c r="L10" s="234">
        <v>1</v>
      </c>
      <c r="M10" s="224">
        <v>1070000</v>
      </c>
      <c r="N10" s="225">
        <v>88066.5</v>
      </c>
      <c r="O10" s="226">
        <v>2</v>
      </c>
      <c r="P10" s="227">
        <v>37</v>
      </c>
      <c r="Q10" s="226">
        <v>362</v>
      </c>
      <c r="R10" s="227">
        <v>3556</v>
      </c>
      <c r="S10" s="226">
        <v>35274</v>
      </c>
      <c r="T10" s="227">
        <v>344236</v>
      </c>
      <c r="V10" s="228"/>
      <c r="X10" s="274"/>
    </row>
    <row r="11" spans="1:24" x14ac:dyDescent="0.15">
      <c r="A11" s="178"/>
      <c r="B11" s="179">
        <v>39823</v>
      </c>
      <c r="C11" s="180" t="s">
        <v>363</v>
      </c>
      <c r="D11" s="76">
        <v>9</v>
      </c>
      <c r="E11" s="76">
        <v>6</v>
      </c>
      <c r="F11" s="76">
        <v>7</v>
      </c>
      <c r="G11" s="76">
        <v>6</v>
      </c>
      <c r="H11" s="76">
        <v>3</v>
      </c>
      <c r="I11" s="76">
        <v>8</v>
      </c>
      <c r="J11" s="13">
        <v>1</v>
      </c>
      <c r="K11" s="229">
        <v>12251730</v>
      </c>
      <c r="L11" s="237">
        <v>1</v>
      </c>
      <c r="M11" s="229">
        <v>870000</v>
      </c>
      <c r="N11" s="229">
        <v>35256.9</v>
      </c>
      <c r="O11" s="232">
        <v>12</v>
      </c>
      <c r="P11" s="233">
        <v>55</v>
      </c>
      <c r="Q11" s="232">
        <v>645</v>
      </c>
      <c r="R11" s="233">
        <v>6349</v>
      </c>
      <c r="S11" s="232">
        <v>63140</v>
      </c>
      <c r="T11" s="233">
        <v>636937</v>
      </c>
      <c r="V11" s="228"/>
      <c r="X11" s="274"/>
    </row>
    <row r="12" spans="1:24" x14ac:dyDescent="0.15">
      <c r="A12" s="172">
        <v>3</v>
      </c>
      <c r="B12" s="173">
        <v>39827</v>
      </c>
      <c r="C12" s="174" t="s">
        <v>362</v>
      </c>
      <c r="D12" s="27">
        <v>3</v>
      </c>
      <c r="E12" s="27">
        <v>8</v>
      </c>
      <c r="F12" s="27">
        <v>9</v>
      </c>
      <c r="G12" s="27">
        <v>6</v>
      </c>
      <c r="H12" s="27">
        <v>3</v>
      </c>
      <c r="I12" s="27">
        <v>5</v>
      </c>
      <c r="J12" s="7">
        <v>7</v>
      </c>
      <c r="K12" s="222">
        <v>6106914</v>
      </c>
      <c r="L12" s="223" t="s">
        <v>23</v>
      </c>
      <c r="M12" s="224"/>
      <c r="N12" s="225">
        <v>442588.1</v>
      </c>
      <c r="O12" s="226">
        <v>4</v>
      </c>
      <c r="P12" s="227">
        <v>39</v>
      </c>
      <c r="Q12" s="226">
        <v>438</v>
      </c>
      <c r="R12" s="227">
        <v>4232</v>
      </c>
      <c r="S12" s="226">
        <v>41673</v>
      </c>
      <c r="T12" s="227">
        <v>404241</v>
      </c>
      <c r="V12" s="228"/>
      <c r="X12" s="274"/>
    </row>
    <row r="13" spans="1:24" x14ac:dyDescent="0.15">
      <c r="A13" s="178"/>
      <c r="B13" s="179">
        <v>39830</v>
      </c>
      <c r="C13" s="180" t="s">
        <v>363</v>
      </c>
      <c r="D13" s="19">
        <v>8</v>
      </c>
      <c r="E13" s="19">
        <v>4</v>
      </c>
      <c r="F13" s="19">
        <v>7</v>
      </c>
      <c r="G13" s="19">
        <v>4</v>
      </c>
      <c r="H13" s="19">
        <v>6</v>
      </c>
      <c r="I13" s="19">
        <v>0</v>
      </c>
      <c r="J13" s="13">
        <v>2</v>
      </c>
      <c r="K13" s="229">
        <v>13460787</v>
      </c>
      <c r="L13" s="230">
        <v>1</v>
      </c>
      <c r="M13" s="229">
        <v>1270000</v>
      </c>
      <c r="N13" s="231">
        <v>70422.600000000006</v>
      </c>
      <c r="O13" s="232">
        <v>10</v>
      </c>
      <c r="P13" s="233">
        <v>50</v>
      </c>
      <c r="Q13" s="232">
        <v>639</v>
      </c>
      <c r="R13" s="233">
        <v>6846</v>
      </c>
      <c r="S13" s="232">
        <v>65833</v>
      </c>
      <c r="T13" s="233">
        <v>740350</v>
      </c>
      <c r="V13" s="228"/>
      <c r="X13" s="274"/>
    </row>
    <row r="14" spans="1:24" x14ac:dyDescent="0.15">
      <c r="A14" s="172">
        <v>4</v>
      </c>
      <c r="B14" s="173">
        <v>39834</v>
      </c>
      <c r="C14" s="174" t="s">
        <v>362</v>
      </c>
      <c r="D14" s="27">
        <v>8</v>
      </c>
      <c r="E14" s="27">
        <v>2</v>
      </c>
      <c r="F14" s="27">
        <v>1</v>
      </c>
      <c r="G14" s="27">
        <v>0</v>
      </c>
      <c r="H14" s="27">
        <v>5</v>
      </c>
      <c r="I14" s="27">
        <v>6</v>
      </c>
      <c r="J14" s="7">
        <v>1</v>
      </c>
      <c r="K14" s="222">
        <v>7875288</v>
      </c>
      <c r="L14" s="234">
        <v>2</v>
      </c>
      <c r="M14" s="224">
        <v>270000</v>
      </c>
      <c r="N14" s="225">
        <v>55704.3</v>
      </c>
      <c r="O14" s="226">
        <v>4</v>
      </c>
      <c r="P14" s="227">
        <v>47</v>
      </c>
      <c r="Q14" s="226">
        <v>430</v>
      </c>
      <c r="R14" s="227">
        <v>4409</v>
      </c>
      <c r="S14" s="226">
        <v>43272</v>
      </c>
      <c r="T14" s="227">
        <v>420787</v>
      </c>
      <c r="V14" s="228"/>
      <c r="X14" s="274"/>
    </row>
    <row r="15" spans="1:24" x14ac:dyDescent="0.15">
      <c r="A15" s="178"/>
      <c r="B15" s="179">
        <v>39837</v>
      </c>
      <c r="C15" s="180" t="s">
        <v>363</v>
      </c>
      <c r="D15" s="19">
        <v>9</v>
      </c>
      <c r="E15" s="19">
        <v>6</v>
      </c>
      <c r="F15" s="19">
        <v>0</v>
      </c>
      <c r="G15" s="19">
        <v>4</v>
      </c>
      <c r="H15" s="19">
        <v>6</v>
      </c>
      <c r="I15" s="19">
        <v>7</v>
      </c>
      <c r="J15" s="13">
        <v>7</v>
      </c>
      <c r="K15" s="229">
        <v>16570405.5</v>
      </c>
      <c r="L15" s="230" t="s">
        <v>23</v>
      </c>
      <c r="M15" s="229"/>
      <c r="N15" s="231">
        <v>1160950.3</v>
      </c>
      <c r="O15" s="232">
        <v>7</v>
      </c>
      <c r="P15" s="233">
        <v>111</v>
      </c>
      <c r="Q15" s="232">
        <v>1170</v>
      </c>
      <c r="R15" s="233">
        <v>11533</v>
      </c>
      <c r="S15" s="232">
        <v>119077</v>
      </c>
      <c r="T15" s="233">
        <v>1097956</v>
      </c>
      <c r="V15" s="228"/>
      <c r="X15" s="274"/>
    </row>
    <row r="16" spans="1:24" x14ac:dyDescent="0.15">
      <c r="A16" s="172">
        <v>5</v>
      </c>
      <c r="B16" s="173">
        <v>39841</v>
      </c>
      <c r="C16" s="174" t="s">
        <v>362</v>
      </c>
      <c r="D16" s="27">
        <v>4</v>
      </c>
      <c r="E16" s="27">
        <v>3</v>
      </c>
      <c r="F16" s="27">
        <v>8</v>
      </c>
      <c r="G16" s="27">
        <v>6</v>
      </c>
      <c r="H16" s="27">
        <v>5</v>
      </c>
      <c r="I16" s="27">
        <v>1</v>
      </c>
      <c r="J16" s="7">
        <v>8</v>
      </c>
      <c r="K16" s="222">
        <v>12677226</v>
      </c>
      <c r="L16" s="223">
        <v>2</v>
      </c>
      <c r="M16" s="224">
        <v>970000</v>
      </c>
      <c r="N16" s="224">
        <v>66521.3</v>
      </c>
      <c r="O16" s="226">
        <v>7</v>
      </c>
      <c r="P16" s="227">
        <v>86</v>
      </c>
      <c r="Q16" s="226">
        <v>791</v>
      </c>
      <c r="R16" s="227">
        <v>8023</v>
      </c>
      <c r="S16" s="226">
        <v>78393</v>
      </c>
      <c r="T16" s="227">
        <v>803110</v>
      </c>
      <c r="V16" s="228"/>
      <c r="X16" s="274"/>
    </row>
    <row r="17" spans="1:24" x14ac:dyDescent="0.15">
      <c r="A17" s="178"/>
      <c r="B17" s="179">
        <v>39844</v>
      </c>
      <c r="C17" s="180" t="s">
        <v>363</v>
      </c>
      <c r="D17" s="19">
        <v>1</v>
      </c>
      <c r="E17" s="19">
        <v>2</v>
      </c>
      <c r="F17" s="19">
        <v>1</v>
      </c>
      <c r="G17" s="19">
        <v>2</v>
      </c>
      <c r="H17" s="19">
        <v>7</v>
      </c>
      <c r="I17" s="19">
        <v>8</v>
      </c>
      <c r="J17" s="13">
        <v>4</v>
      </c>
      <c r="K17" s="229">
        <v>23691922.5</v>
      </c>
      <c r="L17" s="230" t="s">
        <v>23</v>
      </c>
      <c r="M17" s="229"/>
      <c r="N17" s="229">
        <v>1646772.5</v>
      </c>
      <c r="O17" s="232">
        <v>18</v>
      </c>
      <c r="P17" s="233">
        <v>146</v>
      </c>
      <c r="Q17" s="232">
        <v>1398</v>
      </c>
      <c r="R17" s="233">
        <v>13582</v>
      </c>
      <c r="S17" s="232">
        <v>136219</v>
      </c>
      <c r="T17" s="233">
        <v>1368617</v>
      </c>
      <c r="V17" s="228"/>
      <c r="X17" s="274"/>
    </row>
    <row r="18" spans="1:24" x14ac:dyDescent="0.15">
      <c r="A18" s="172">
        <v>6</v>
      </c>
      <c r="B18" s="173">
        <v>39848</v>
      </c>
      <c r="C18" s="174" t="s">
        <v>362</v>
      </c>
      <c r="D18" s="27">
        <v>2</v>
      </c>
      <c r="E18" s="27">
        <v>5</v>
      </c>
      <c r="F18" s="27">
        <v>8</v>
      </c>
      <c r="G18" s="27">
        <v>5</v>
      </c>
      <c r="H18" s="27">
        <v>7</v>
      </c>
      <c r="I18" s="27">
        <v>3</v>
      </c>
      <c r="J18" s="7">
        <v>9</v>
      </c>
      <c r="K18" s="222">
        <v>6193017</v>
      </c>
      <c r="L18" s="223" t="s">
        <v>23</v>
      </c>
      <c r="M18" s="224"/>
      <c r="N18" s="224">
        <v>2059846.7</v>
      </c>
      <c r="O18" s="226">
        <v>3</v>
      </c>
      <c r="P18" s="227">
        <v>35</v>
      </c>
      <c r="Q18" s="226">
        <v>387</v>
      </c>
      <c r="R18" s="227">
        <v>3553</v>
      </c>
      <c r="S18" s="226">
        <v>35909</v>
      </c>
      <c r="T18" s="227">
        <v>357807</v>
      </c>
      <c r="V18" s="228"/>
      <c r="X18" s="274"/>
    </row>
    <row r="19" spans="1:24" x14ac:dyDescent="0.15">
      <c r="A19" s="178"/>
      <c r="B19" s="179">
        <v>39851</v>
      </c>
      <c r="C19" s="180" t="s">
        <v>363</v>
      </c>
      <c r="D19" s="19">
        <v>7</v>
      </c>
      <c r="E19" s="19">
        <v>4</v>
      </c>
      <c r="F19" s="19">
        <v>3</v>
      </c>
      <c r="G19" s="19">
        <v>0</v>
      </c>
      <c r="H19" s="19">
        <v>1</v>
      </c>
      <c r="I19" s="19">
        <v>4</v>
      </c>
      <c r="J19" s="13">
        <v>5</v>
      </c>
      <c r="K19" s="229">
        <v>12175594.5</v>
      </c>
      <c r="L19" s="230" t="s">
        <v>23</v>
      </c>
      <c r="M19" s="229"/>
      <c r="N19" s="231">
        <v>2871958.9</v>
      </c>
      <c r="O19" s="232">
        <v>10</v>
      </c>
      <c r="P19" s="233">
        <v>105</v>
      </c>
      <c r="Q19" s="232">
        <v>855</v>
      </c>
      <c r="R19" s="233">
        <v>8950</v>
      </c>
      <c r="S19" s="232">
        <v>90900</v>
      </c>
      <c r="T19" s="233">
        <v>867890</v>
      </c>
      <c r="V19" s="228"/>
      <c r="X19" s="274"/>
    </row>
    <row r="20" spans="1:24" x14ac:dyDescent="0.15">
      <c r="A20" s="172">
        <v>7</v>
      </c>
      <c r="B20" s="173">
        <v>39855</v>
      </c>
      <c r="C20" s="174" t="s">
        <v>362</v>
      </c>
      <c r="D20" s="27">
        <v>5</v>
      </c>
      <c r="E20" s="27">
        <v>1</v>
      </c>
      <c r="F20" s="27">
        <v>1</v>
      </c>
      <c r="G20" s="27">
        <v>3</v>
      </c>
      <c r="H20" s="27">
        <v>0</v>
      </c>
      <c r="I20" s="27">
        <v>0</v>
      </c>
      <c r="J20" s="7">
        <v>1</v>
      </c>
      <c r="K20" s="222">
        <v>4923228</v>
      </c>
      <c r="L20" s="223" t="s">
        <v>23</v>
      </c>
      <c r="M20" s="224"/>
      <c r="N20" s="225">
        <v>3200338.2</v>
      </c>
      <c r="O20" s="226">
        <v>3</v>
      </c>
      <c r="P20" s="227">
        <v>25</v>
      </c>
      <c r="Q20" s="226">
        <v>255</v>
      </c>
      <c r="R20" s="227">
        <v>2370</v>
      </c>
      <c r="S20" s="226">
        <v>24103</v>
      </c>
      <c r="T20" s="227">
        <v>264793</v>
      </c>
      <c r="V20" s="228"/>
      <c r="X20" s="274"/>
    </row>
    <row r="21" spans="1:24" x14ac:dyDescent="0.15">
      <c r="A21" s="178"/>
      <c r="B21" s="179">
        <v>39858</v>
      </c>
      <c r="C21" s="180" t="s">
        <v>363</v>
      </c>
      <c r="D21" s="19">
        <v>6</v>
      </c>
      <c r="E21" s="19">
        <v>5</v>
      </c>
      <c r="F21" s="19">
        <v>1</v>
      </c>
      <c r="G21" s="19">
        <v>5</v>
      </c>
      <c r="H21" s="19">
        <v>6</v>
      </c>
      <c r="I21" s="19">
        <v>7</v>
      </c>
      <c r="J21" s="13">
        <v>5</v>
      </c>
      <c r="K21" s="229">
        <v>11822047.5</v>
      </c>
      <c r="L21" s="230">
        <v>1</v>
      </c>
      <c r="M21" s="229">
        <v>3970000</v>
      </c>
      <c r="N21" s="231">
        <v>18868.8</v>
      </c>
      <c r="O21" s="232">
        <v>6</v>
      </c>
      <c r="P21" s="233">
        <v>86</v>
      </c>
      <c r="Q21" s="232">
        <v>872</v>
      </c>
      <c r="R21" s="233">
        <v>8793</v>
      </c>
      <c r="S21" s="232">
        <v>86948</v>
      </c>
      <c r="T21" s="233">
        <v>851734</v>
      </c>
      <c r="U21" s="240"/>
      <c r="V21" s="228"/>
      <c r="X21" s="274"/>
    </row>
    <row r="22" spans="1:24" x14ac:dyDescent="0.15">
      <c r="A22" s="172">
        <v>8</v>
      </c>
      <c r="B22" s="173">
        <v>39862</v>
      </c>
      <c r="C22" s="174" t="s">
        <v>362</v>
      </c>
      <c r="D22" s="27">
        <v>5</v>
      </c>
      <c r="E22" s="27">
        <v>5</v>
      </c>
      <c r="F22" s="27">
        <v>5</v>
      </c>
      <c r="G22" s="27">
        <v>0</v>
      </c>
      <c r="H22" s="27">
        <v>8</v>
      </c>
      <c r="I22" s="27">
        <v>6</v>
      </c>
      <c r="J22" s="7">
        <v>0</v>
      </c>
      <c r="K22" s="222">
        <v>5271316.5</v>
      </c>
      <c r="L22" s="223" t="s">
        <v>23</v>
      </c>
      <c r="M22" s="224"/>
      <c r="N22" s="225">
        <v>370465.6</v>
      </c>
      <c r="O22" s="226">
        <v>1</v>
      </c>
      <c r="P22" s="227">
        <v>19</v>
      </c>
      <c r="Q22" s="226">
        <v>271</v>
      </c>
      <c r="R22" s="227">
        <v>2633</v>
      </c>
      <c r="S22" s="226">
        <v>26678</v>
      </c>
      <c r="T22" s="227">
        <v>259464</v>
      </c>
      <c r="V22" s="228"/>
      <c r="X22" s="274"/>
    </row>
    <row r="23" spans="1:24" x14ac:dyDescent="0.15">
      <c r="A23" s="178"/>
      <c r="B23" s="179">
        <v>39865</v>
      </c>
      <c r="C23" s="180" t="s">
        <v>363</v>
      </c>
      <c r="D23" s="19">
        <v>1</v>
      </c>
      <c r="E23" s="19">
        <v>0</v>
      </c>
      <c r="F23" s="19">
        <v>7</v>
      </c>
      <c r="G23" s="19">
        <v>4</v>
      </c>
      <c r="H23" s="19">
        <v>0</v>
      </c>
      <c r="I23" s="19">
        <v>1</v>
      </c>
      <c r="J23" s="13">
        <v>8</v>
      </c>
      <c r="K23" s="229">
        <v>11527290</v>
      </c>
      <c r="L23" s="230">
        <v>1</v>
      </c>
      <c r="M23" s="229">
        <v>1070000</v>
      </c>
      <c r="N23" s="231">
        <v>69335.8</v>
      </c>
      <c r="O23" s="232">
        <v>10</v>
      </c>
      <c r="P23" s="233">
        <v>77</v>
      </c>
      <c r="Q23" s="232">
        <v>709</v>
      </c>
      <c r="R23" s="233">
        <v>6999</v>
      </c>
      <c r="S23" s="232">
        <v>74986</v>
      </c>
      <c r="T23" s="233">
        <v>786220</v>
      </c>
      <c r="V23" s="228"/>
      <c r="X23" s="274"/>
    </row>
    <row r="24" spans="1:24" x14ac:dyDescent="0.15">
      <c r="A24" s="172">
        <v>9</v>
      </c>
      <c r="B24" s="173">
        <v>39869</v>
      </c>
      <c r="C24" s="174" t="s">
        <v>362</v>
      </c>
      <c r="D24" s="27">
        <v>9</v>
      </c>
      <c r="E24" s="27">
        <v>8</v>
      </c>
      <c r="F24" s="27">
        <v>4</v>
      </c>
      <c r="G24" s="27">
        <v>7</v>
      </c>
      <c r="H24" s="27">
        <v>2</v>
      </c>
      <c r="I24" s="27">
        <v>4</v>
      </c>
      <c r="J24" s="7">
        <v>6</v>
      </c>
      <c r="K24" s="222">
        <v>4692579</v>
      </c>
      <c r="L24" s="223">
        <v>1</v>
      </c>
      <c r="M24" s="224">
        <v>370000</v>
      </c>
      <c r="N24" s="225">
        <v>12330.8</v>
      </c>
      <c r="O24" s="226">
        <v>1</v>
      </c>
      <c r="P24" s="227">
        <v>40</v>
      </c>
      <c r="Q24" s="226">
        <v>312</v>
      </c>
      <c r="R24" s="227">
        <v>3448</v>
      </c>
      <c r="S24" s="226">
        <v>31547</v>
      </c>
      <c r="T24" s="227">
        <v>294887</v>
      </c>
      <c r="V24" s="228"/>
      <c r="X24" s="274"/>
    </row>
    <row r="25" spans="1:24" x14ac:dyDescent="0.15">
      <c r="A25" s="178"/>
      <c r="B25" s="179">
        <v>39872</v>
      </c>
      <c r="C25" s="180" t="s">
        <v>363</v>
      </c>
      <c r="D25" s="19">
        <v>0</v>
      </c>
      <c r="E25" s="19">
        <v>4</v>
      </c>
      <c r="F25" s="19">
        <v>6</v>
      </c>
      <c r="G25" s="19">
        <v>0</v>
      </c>
      <c r="H25" s="19">
        <v>5</v>
      </c>
      <c r="I25" s="19">
        <v>0</v>
      </c>
      <c r="J25" s="13">
        <v>9</v>
      </c>
      <c r="K25" s="229">
        <v>11683081.5</v>
      </c>
      <c r="L25" s="230" t="s">
        <v>23</v>
      </c>
      <c r="M25" s="229"/>
      <c r="N25" s="231">
        <v>791592.3</v>
      </c>
      <c r="O25" s="232">
        <v>4</v>
      </c>
      <c r="P25" s="233">
        <v>67</v>
      </c>
      <c r="Q25" s="232">
        <v>607</v>
      </c>
      <c r="R25" s="233">
        <v>6230</v>
      </c>
      <c r="S25" s="232">
        <v>61201</v>
      </c>
      <c r="T25" s="233">
        <v>698844</v>
      </c>
      <c r="V25" s="228"/>
      <c r="X25" s="274"/>
    </row>
    <row r="26" spans="1:24" x14ac:dyDescent="0.15">
      <c r="A26" s="172">
        <v>10</v>
      </c>
      <c r="B26" s="173">
        <v>39876</v>
      </c>
      <c r="C26" s="174" t="s">
        <v>362</v>
      </c>
      <c r="D26" s="27">
        <v>1</v>
      </c>
      <c r="E26" s="27">
        <v>0</v>
      </c>
      <c r="F26" s="27">
        <v>3</v>
      </c>
      <c r="G26" s="27">
        <v>1</v>
      </c>
      <c r="H26" s="27">
        <v>2</v>
      </c>
      <c r="I26" s="27">
        <v>5</v>
      </c>
      <c r="J26" s="7">
        <v>7</v>
      </c>
      <c r="K26" s="222">
        <v>4570405.5</v>
      </c>
      <c r="L26" s="223" t="s">
        <v>23</v>
      </c>
      <c r="M26" s="224"/>
      <c r="N26" s="225">
        <v>1096438.3</v>
      </c>
      <c r="O26" s="226">
        <v>1</v>
      </c>
      <c r="P26" s="227">
        <v>46</v>
      </c>
      <c r="Q26" s="226">
        <v>302</v>
      </c>
      <c r="R26" s="227">
        <v>3205</v>
      </c>
      <c r="S26" s="226">
        <v>31532</v>
      </c>
      <c r="T26" s="227">
        <v>305179</v>
      </c>
      <c r="V26" s="228"/>
      <c r="X26" s="274"/>
    </row>
    <row r="27" spans="1:24" x14ac:dyDescent="0.15">
      <c r="A27" s="178"/>
      <c r="B27" s="179">
        <v>39879</v>
      </c>
      <c r="C27" s="180" t="s">
        <v>363</v>
      </c>
      <c r="D27" s="19">
        <v>8</v>
      </c>
      <c r="E27" s="19">
        <v>1</v>
      </c>
      <c r="F27" s="19">
        <v>1</v>
      </c>
      <c r="G27" s="19">
        <v>7</v>
      </c>
      <c r="H27" s="19">
        <v>3</v>
      </c>
      <c r="I27" s="19">
        <v>4</v>
      </c>
      <c r="J27" s="13">
        <v>2</v>
      </c>
      <c r="K27" s="229">
        <v>11283078</v>
      </c>
      <c r="L27" s="230" t="s">
        <v>23</v>
      </c>
      <c r="M27" s="229"/>
      <c r="N27" s="231">
        <v>1849019.6</v>
      </c>
      <c r="O27" s="232">
        <v>8</v>
      </c>
      <c r="P27" s="233">
        <v>71</v>
      </c>
      <c r="Q27" s="232">
        <v>594</v>
      </c>
      <c r="R27" s="233">
        <v>6323</v>
      </c>
      <c r="S27" s="232">
        <v>62368</v>
      </c>
      <c r="T27" s="233">
        <v>610842</v>
      </c>
      <c r="V27" s="228"/>
      <c r="X27" s="274"/>
    </row>
    <row r="28" spans="1:24" x14ac:dyDescent="0.15">
      <c r="A28" s="172">
        <v>11</v>
      </c>
      <c r="B28" s="173">
        <v>39883</v>
      </c>
      <c r="C28" s="174" t="s">
        <v>362</v>
      </c>
      <c r="D28" s="27">
        <v>9</v>
      </c>
      <c r="E28" s="27">
        <v>8</v>
      </c>
      <c r="F28" s="27">
        <v>6</v>
      </c>
      <c r="G28" s="27">
        <v>7</v>
      </c>
      <c r="H28" s="27">
        <v>2</v>
      </c>
      <c r="I28" s="27">
        <v>4</v>
      </c>
      <c r="J28" s="7">
        <v>8</v>
      </c>
      <c r="K28" s="222">
        <v>4778869.5</v>
      </c>
      <c r="L28" s="223" t="s">
        <v>23</v>
      </c>
      <c r="M28" s="224"/>
      <c r="N28" s="225">
        <v>2167770.2000000002</v>
      </c>
      <c r="O28" s="226">
        <v>1</v>
      </c>
      <c r="P28" s="227">
        <v>34</v>
      </c>
      <c r="Q28" s="226">
        <v>372</v>
      </c>
      <c r="R28" s="227">
        <v>3504</v>
      </c>
      <c r="S28" s="226">
        <v>33678</v>
      </c>
      <c r="T28" s="227">
        <v>315761</v>
      </c>
      <c r="V28" s="228"/>
      <c r="X28" s="274"/>
    </row>
    <row r="29" spans="1:24" x14ac:dyDescent="0.15">
      <c r="A29" s="178"/>
      <c r="B29" s="179">
        <v>39886</v>
      </c>
      <c r="C29" s="180" t="s">
        <v>363</v>
      </c>
      <c r="D29" s="19">
        <v>7</v>
      </c>
      <c r="E29" s="19">
        <v>4</v>
      </c>
      <c r="F29" s="19">
        <v>2</v>
      </c>
      <c r="G29" s="19">
        <v>3</v>
      </c>
      <c r="H29" s="19">
        <v>0</v>
      </c>
      <c r="I29" s="19">
        <v>5</v>
      </c>
      <c r="J29" s="13">
        <v>1</v>
      </c>
      <c r="K29" s="229">
        <v>11712504</v>
      </c>
      <c r="L29" s="230" t="s">
        <v>23</v>
      </c>
      <c r="M29" s="229"/>
      <c r="N29" s="231">
        <v>2948994.2</v>
      </c>
      <c r="O29" s="232">
        <v>7</v>
      </c>
      <c r="P29" s="233">
        <v>55</v>
      </c>
      <c r="Q29" s="232">
        <v>657</v>
      </c>
      <c r="R29" s="233">
        <v>6203</v>
      </c>
      <c r="S29" s="232">
        <v>63953</v>
      </c>
      <c r="T29" s="233">
        <v>604987</v>
      </c>
      <c r="V29" s="228"/>
      <c r="X29" s="274"/>
    </row>
    <row r="30" spans="1:24" x14ac:dyDescent="0.15">
      <c r="A30" s="172">
        <v>12</v>
      </c>
      <c r="B30" s="173">
        <v>39890</v>
      </c>
      <c r="C30" s="174" t="s">
        <v>362</v>
      </c>
      <c r="D30" s="27">
        <v>5</v>
      </c>
      <c r="E30" s="27">
        <v>5</v>
      </c>
      <c r="F30" s="27">
        <v>0</v>
      </c>
      <c r="G30" s="27">
        <v>5</v>
      </c>
      <c r="H30" s="27">
        <v>6</v>
      </c>
      <c r="I30" s="27">
        <v>5</v>
      </c>
      <c r="J30" s="7">
        <v>2</v>
      </c>
      <c r="K30" s="222">
        <v>5232040.5</v>
      </c>
      <c r="L30" s="223" t="s">
        <v>23</v>
      </c>
      <c r="M30" s="224"/>
      <c r="N30" s="225">
        <v>3297971.3</v>
      </c>
      <c r="O30" s="226">
        <v>1</v>
      </c>
      <c r="P30" s="227">
        <v>38</v>
      </c>
      <c r="Q30" s="226">
        <v>287</v>
      </c>
      <c r="R30" s="227">
        <v>2908</v>
      </c>
      <c r="S30" s="226">
        <v>29941</v>
      </c>
      <c r="T30" s="227">
        <v>284398</v>
      </c>
      <c r="V30" s="228"/>
      <c r="X30" s="274"/>
    </row>
    <row r="31" spans="1:24" x14ac:dyDescent="0.15">
      <c r="A31" s="178"/>
      <c r="B31" s="179">
        <v>39893</v>
      </c>
      <c r="C31" s="180" t="s">
        <v>363</v>
      </c>
      <c r="D31" s="19">
        <v>5</v>
      </c>
      <c r="E31" s="19">
        <v>5</v>
      </c>
      <c r="F31" s="19">
        <v>6</v>
      </c>
      <c r="G31" s="19">
        <v>0</v>
      </c>
      <c r="H31" s="19">
        <v>0</v>
      </c>
      <c r="I31" s="19">
        <v>0</v>
      </c>
      <c r="J31" s="13">
        <v>1</v>
      </c>
      <c r="K31" s="229">
        <v>12135106.5</v>
      </c>
      <c r="L31" s="230">
        <v>1</v>
      </c>
      <c r="M31" s="229">
        <v>4070000</v>
      </c>
      <c r="N31" s="231">
        <v>37382.9</v>
      </c>
      <c r="O31" s="232">
        <v>4</v>
      </c>
      <c r="P31" s="233">
        <v>45</v>
      </c>
      <c r="Q31" s="232">
        <v>471</v>
      </c>
      <c r="R31" s="233">
        <v>5794</v>
      </c>
      <c r="S31" s="232">
        <v>58525</v>
      </c>
      <c r="T31" s="233">
        <v>641863</v>
      </c>
      <c r="V31" s="228"/>
      <c r="X31" s="274"/>
    </row>
    <row r="32" spans="1:24" x14ac:dyDescent="0.15">
      <c r="A32" s="172">
        <v>13</v>
      </c>
      <c r="B32" s="173">
        <v>39897</v>
      </c>
      <c r="C32" s="174" t="s">
        <v>362</v>
      </c>
      <c r="D32" s="27">
        <v>8</v>
      </c>
      <c r="E32" s="27">
        <v>3</v>
      </c>
      <c r="F32" s="27">
        <v>1</v>
      </c>
      <c r="G32" s="27">
        <v>6</v>
      </c>
      <c r="H32" s="27">
        <v>0</v>
      </c>
      <c r="I32" s="27">
        <v>6</v>
      </c>
      <c r="J32" s="7">
        <v>9</v>
      </c>
      <c r="K32" s="222">
        <v>4428193.5</v>
      </c>
      <c r="L32" s="223" t="s">
        <v>23</v>
      </c>
      <c r="M32" s="224"/>
      <c r="N32" s="225">
        <v>332743.40000000002</v>
      </c>
      <c r="O32" s="226">
        <v>8</v>
      </c>
      <c r="P32" s="227">
        <v>38</v>
      </c>
      <c r="Q32" s="226">
        <v>268</v>
      </c>
      <c r="R32" s="227">
        <v>2482</v>
      </c>
      <c r="S32" s="226">
        <v>26376</v>
      </c>
      <c r="T32" s="227">
        <v>252412</v>
      </c>
      <c r="V32" s="228"/>
      <c r="X32" s="274"/>
    </row>
    <row r="33" spans="1:24" x14ac:dyDescent="0.15">
      <c r="A33" s="178"/>
      <c r="B33" s="179">
        <v>39900</v>
      </c>
      <c r="C33" s="180" t="s">
        <v>363</v>
      </c>
      <c r="D33" s="19">
        <v>8</v>
      </c>
      <c r="E33" s="19">
        <v>2</v>
      </c>
      <c r="F33" s="19">
        <v>9</v>
      </c>
      <c r="G33" s="19">
        <v>8</v>
      </c>
      <c r="H33" s="19">
        <v>2</v>
      </c>
      <c r="I33" s="19">
        <v>2</v>
      </c>
      <c r="J33" s="13">
        <v>0</v>
      </c>
      <c r="K33" s="229">
        <v>10931154</v>
      </c>
      <c r="L33" s="230">
        <v>1</v>
      </c>
      <c r="M33" s="229">
        <v>970000</v>
      </c>
      <c r="N33" s="231">
        <v>91851.4</v>
      </c>
      <c r="O33" s="232">
        <v>6</v>
      </c>
      <c r="P33" s="233">
        <v>44</v>
      </c>
      <c r="Q33" s="232">
        <v>507</v>
      </c>
      <c r="R33" s="233">
        <v>4961</v>
      </c>
      <c r="S33" s="232">
        <v>48965</v>
      </c>
      <c r="T33" s="233">
        <v>513127</v>
      </c>
      <c r="V33" s="228"/>
      <c r="X33" s="274"/>
    </row>
    <row r="34" spans="1:24" x14ac:dyDescent="0.15">
      <c r="A34" s="172">
        <v>14</v>
      </c>
      <c r="B34" s="173">
        <v>39904</v>
      </c>
      <c r="C34" s="174" t="s">
        <v>362</v>
      </c>
      <c r="D34" s="27">
        <v>7</v>
      </c>
      <c r="E34" s="27">
        <v>6</v>
      </c>
      <c r="F34" s="27">
        <v>1</v>
      </c>
      <c r="G34" s="27">
        <v>3</v>
      </c>
      <c r="H34" s="27">
        <v>2</v>
      </c>
      <c r="I34" s="27">
        <v>0</v>
      </c>
      <c r="J34" s="7">
        <v>2</v>
      </c>
      <c r="K34" s="222">
        <v>4684957.5</v>
      </c>
      <c r="L34" s="223" t="s">
        <v>23</v>
      </c>
      <c r="M34" s="224"/>
      <c r="N34" s="225">
        <v>404338.1</v>
      </c>
      <c r="O34" s="226">
        <v>2</v>
      </c>
      <c r="P34" s="227">
        <v>21</v>
      </c>
      <c r="Q34" s="226">
        <v>230</v>
      </c>
      <c r="R34" s="227">
        <v>2224</v>
      </c>
      <c r="S34" s="226">
        <v>22701</v>
      </c>
      <c r="T34" s="227">
        <v>257388</v>
      </c>
      <c r="V34" s="228"/>
      <c r="X34" s="274"/>
    </row>
    <row r="35" spans="1:24" x14ac:dyDescent="0.15">
      <c r="A35" s="178"/>
      <c r="B35" s="179">
        <v>39907</v>
      </c>
      <c r="C35" s="180" t="s">
        <v>363</v>
      </c>
      <c r="D35" s="19">
        <v>3</v>
      </c>
      <c r="E35" s="19">
        <v>6</v>
      </c>
      <c r="F35" s="19">
        <v>6</v>
      </c>
      <c r="G35" s="19">
        <v>4</v>
      </c>
      <c r="H35" s="19">
        <v>5</v>
      </c>
      <c r="I35" s="19">
        <v>9</v>
      </c>
      <c r="J35" s="13">
        <v>7</v>
      </c>
      <c r="K35" s="229">
        <v>10685269.5</v>
      </c>
      <c r="L35" s="230" t="s">
        <v>23</v>
      </c>
      <c r="M35" s="229"/>
      <c r="N35" s="231">
        <v>1117045.6000000001</v>
      </c>
      <c r="O35" s="232">
        <v>5</v>
      </c>
      <c r="P35" s="233">
        <v>69</v>
      </c>
      <c r="Q35" s="232">
        <v>689</v>
      </c>
      <c r="R35" s="233">
        <v>7220</v>
      </c>
      <c r="S35" s="232">
        <v>70270</v>
      </c>
      <c r="T35" s="233">
        <v>738870</v>
      </c>
      <c r="V35" s="228"/>
      <c r="X35" s="274"/>
    </row>
    <row r="36" spans="1:24" x14ac:dyDescent="0.15">
      <c r="A36" s="172">
        <v>15</v>
      </c>
      <c r="B36" s="173">
        <v>39911</v>
      </c>
      <c r="C36" s="174" t="s">
        <v>362</v>
      </c>
      <c r="D36" s="27">
        <v>0</v>
      </c>
      <c r="E36" s="27">
        <v>0</v>
      </c>
      <c r="F36" s="27">
        <v>3</v>
      </c>
      <c r="G36" s="27">
        <v>6</v>
      </c>
      <c r="H36" s="27">
        <v>8</v>
      </c>
      <c r="I36" s="27">
        <v>7</v>
      </c>
      <c r="J36" s="7">
        <v>0</v>
      </c>
      <c r="K36" s="222">
        <v>4507239</v>
      </c>
      <c r="L36" s="234" t="s">
        <v>23</v>
      </c>
      <c r="M36" s="224"/>
      <c r="N36" s="225">
        <v>1417678.4</v>
      </c>
      <c r="O36" s="226">
        <v>1</v>
      </c>
      <c r="P36" s="227">
        <v>15</v>
      </c>
      <c r="Q36" s="226">
        <v>227</v>
      </c>
      <c r="R36" s="227">
        <v>2182</v>
      </c>
      <c r="S36" s="226">
        <v>21583</v>
      </c>
      <c r="T36" s="227">
        <v>218477</v>
      </c>
      <c r="V36" s="228"/>
      <c r="X36" s="274"/>
    </row>
    <row r="37" spans="1:24" x14ac:dyDescent="0.15">
      <c r="A37" s="178"/>
      <c r="B37" s="179">
        <v>39914</v>
      </c>
      <c r="C37" s="180" t="s">
        <v>363</v>
      </c>
      <c r="D37" s="19">
        <v>5</v>
      </c>
      <c r="E37" s="19">
        <v>4</v>
      </c>
      <c r="F37" s="19">
        <v>5</v>
      </c>
      <c r="G37" s="19">
        <v>4</v>
      </c>
      <c r="H37" s="19">
        <v>4</v>
      </c>
      <c r="I37" s="19">
        <v>7</v>
      </c>
      <c r="J37" s="13">
        <v>3</v>
      </c>
      <c r="K37" s="229">
        <v>10842975</v>
      </c>
      <c r="L37" s="230">
        <v>1</v>
      </c>
      <c r="M37" s="229">
        <v>2070000</v>
      </c>
      <c r="N37" s="231">
        <v>70904.800000000003</v>
      </c>
      <c r="O37" s="232">
        <v>6</v>
      </c>
      <c r="P37" s="233">
        <v>67</v>
      </c>
      <c r="Q37" s="232">
        <v>675</v>
      </c>
      <c r="R37" s="233">
        <v>6835</v>
      </c>
      <c r="S37" s="232">
        <v>65127</v>
      </c>
      <c r="T37" s="233">
        <v>656260</v>
      </c>
      <c r="V37" s="228"/>
      <c r="X37" s="274"/>
    </row>
    <row r="38" spans="1:24" x14ac:dyDescent="0.15">
      <c r="A38" s="172">
        <v>16</v>
      </c>
      <c r="B38" s="173">
        <v>39918</v>
      </c>
      <c r="C38" s="174" t="s">
        <v>362</v>
      </c>
      <c r="D38" s="27">
        <v>9</v>
      </c>
      <c r="E38" s="27">
        <v>0</v>
      </c>
      <c r="F38" s="27">
        <v>2</v>
      </c>
      <c r="G38" s="27">
        <v>8</v>
      </c>
      <c r="H38" s="27">
        <v>1</v>
      </c>
      <c r="I38" s="27">
        <v>7</v>
      </c>
      <c r="J38" s="7">
        <v>6</v>
      </c>
      <c r="K38" s="222">
        <v>4438821</v>
      </c>
      <c r="L38" s="234">
        <v>1</v>
      </c>
      <c r="M38" s="224">
        <v>270000</v>
      </c>
      <c r="N38" s="225">
        <v>96974.2</v>
      </c>
      <c r="O38" s="226">
        <v>3</v>
      </c>
      <c r="P38" s="227">
        <v>34</v>
      </c>
      <c r="Q38" s="226">
        <v>294</v>
      </c>
      <c r="R38" s="227">
        <v>2878</v>
      </c>
      <c r="S38" s="226">
        <v>27114</v>
      </c>
      <c r="T38" s="227">
        <v>278098</v>
      </c>
      <c r="V38" s="228"/>
      <c r="X38" s="274"/>
    </row>
    <row r="39" spans="1:24" x14ac:dyDescent="0.15">
      <c r="A39" s="178"/>
      <c r="B39" s="179">
        <v>39921</v>
      </c>
      <c r="C39" s="180" t="s">
        <v>363</v>
      </c>
      <c r="D39" s="19">
        <v>2</v>
      </c>
      <c r="E39" s="19">
        <v>6</v>
      </c>
      <c r="F39" s="19">
        <v>9</v>
      </c>
      <c r="G39" s="19">
        <v>8</v>
      </c>
      <c r="H39" s="19">
        <v>2</v>
      </c>
      <c r="I39" s="19">
        <v>2</v>
      </c>
      <c r="J39" s="13">
        <v>7</v>
      </c>
      <c r="K39" s="229">
        <v>11480787</v>
      </c>
      <c r="L39" s="230" t="s">
        <v>23</v>
      </c>
      <c r="M39" s="229"/>
      <c r="N39" s="231">
        <v>862742.7</v>
      </c>
      <c r="O39" s="232">
        <v>8</v>
      </c>
      <c r="P39" s="233">
        <v>75</v>
      </c>
      <c r="Q39" s="232">
        <v>812</v>
      </c>
      <c r="R39" s="233">
        <v>7747</v>
      </c>
      <c r="S39" s="232">
        <v>82099</v>
      </c>
      <c r="T39" s="233">
        <v>789412</v>
      </c>
      <c r="V39" s="228"/>
      <c r="X39" s="274"/>
    </row>
    <row r="40" spans="1:24" x14ac:dyDescent="0.15">
      <c r="A40" s="172">
        <v>17</v>
      </c>
      <c r="B40" s="173">
        <v>39925</v>
      </c>
      <c r="C40" s="174" t="s">
        <v>362</v>
      </c>
      <c r="D40" s="27">
        <v>3</v>
      </c>
      <c r="E40" s="27">
        <v>7</v>
      </c>
      <c r="F40" s="27">
        <v>1</v>
      </c>
      <c r="G40" s="27">
        <v>4</v>
      </c>
      <c r="H40" s="27">
        <v>8</v>
      </c>
      <c r="I40" s="27">
        <v>6</v>
      </c>
      <c r="J40" s="7">
        <v>3</v>
      </c>
      <c r="K40" s="222">
        <v>5465314.5</v>
      </c>
      <c r="L40" s="223" t="s">
        <v>23</v>
      </c>
      <c r="M40" s="224"/>
      <c r="N40" s="225">
        <v>1227279.2</v>
      </c>
      <c r="O40" s="226">
        <v>5</v>
      </c>
      <c r="P40" s="227">
        <v>31</v>
      </c>
      <c r="Q40" s="226">
        <v>343</v>
      </c>
      <c r="R40" s="227">
        <v>3461</v>
      </c>
      <c r="S40" s="226">
        <v>34147</v>
      </c>
      <c r="T40" s="227">
        <v>331770</v>
      </c>
      <c r="V40" s="228"/>
      <c r="X40" s="274"/>
    </row>
    <row r="41" spans="1:24" x14ac:dyDescent="0.15">
      <c r="A41" s="178"/>
      <c r="B41" s="179">
        <v>39928</v>
      </c>
      <c r="C41" s="180" t="s">
        <v>363</v>
      </c>
      <c r="D41" s="19">
        <v>7</v>
      </c>
      <c r="E41" s="19">
        <v>1</v>
      </c>
      <c r="F41" s="19">
        <v>0</v>
      </c>
      <c r="G41" s="19">
        <v>8</v>
      </c>
      <c r="H41" s="19">
        <v>2</v>
      </c>
      <c r="I41" s="19">
        <v>0</v>
      </c>
      <c r="J41" s="13">
        <v>2</v>
      </c>
      <c r="K41" s="229">
        <v>12426123</v>
      </c>
      <c r="L41" s="230">
        <v>1</v>
      </c>
      <c r="M41" s="229">
        <v>1970000</v>
      </c>
      <c r="N41" s="231">
        <v>86101.6</v>
      </c>
      <c r="O41" s="232">
        <v>4</v>
      </c>
      <c r="P41" s="233">
        <v>51</v>
      </c>
      <c r="Q41" s="232">
        <v>634</v>
      </c>
      <c r="R41" s="233">
        <v>6280</v>
      </c>
      <c r="S41" s="232">
        <v>61145</v>
      </c>
      <c r="T41" s="233">
        <v>692120</v>
      </c>
      <c r="V41" s="228"/>
      <c r="X41" s="274"/>
    </row>
    <row r="42" spans="1:24" x14ac:dyDescent="0.15">
      <c r="A42" s="172">
        <v>18</v>
      </c>
      <c r="B42" s="173">
        <v>39932</v>
      </c>
      <c r="C42" s="174" t="s">
        <v>362</v>
      </c>
      <c r="D42" s="27">
        <v>9</v>
      </c>
      <c r="E42" s="27">
        <v>1</v>
      </c>
      <c r="F42" s="27">
        <v>8</v>
      </c>
      <c r="G42" s="27">
        <v>6</v>
      </c>
      <c r="H42" s="27">
        <v>5</v>
      </c>
      <c r="I42" s="27">
        <v>1</v>
      </c>
      <c r="J42" s="7">
        <v>1</v>
      </c>
      <c r="K42" s="222">
        <v>4383976.5</v>
      </c>
      <c r="L42" s="234" t="s">
        <v>23</v>
      </c>
      <c r="M42" s="224"/>
      <c r="N42" s="225">
        <v>378512.8</v>
      </c>
      <c r="O42" s="226">
        <v>2</v>
      </c>
      <c r="P42" s="227">
        <v>31</v>
      </c>
      <c r="Q42" s="226">
        <v>251</v>
      </c>
      <c r="R42" s="227">
        <v>2429</v>
      </c>
      <c r="S42" s="226">
        <v>24631</v>
      </c>
      <c r="T42" s="227">
        <v>233376</v>
      </c>
      <c r="V42" s="228"/>
      <c r="X42" s="274"/>
    </row>
    <row r="43" spans="1:24" x14ac:dyDescent="0.15">
      <c r="A43" s="178"/>
      <c r="B43" s="179">
        <v>39935</v>
      </c>
      <c r="C43" s="180" t="s">
        <v>363</v>
      </c>
      <c r="D43" s="19">
        <v>3</v>
      </c>
      <c r="E43" s="19">
        <v>5</v>
      </c>
      <c r="F43" s="19">
        <v>7</v>
      </c>
      <c r="G43" s="19">
        <v>8</v>
      </c>
      <c r="H43" s="19">
        <v>8</v>
      </c>
      <c r="I43" s="19">
        <v>8</v>
      </c>
      <c r="J43" s="13">
        <v>9</v>
      </c>
      <c r="K43" s="229">
        <v>10551348</v>
      </c>
      <c r="L43" s="237">
        <v>1</v>
      </c>
      <c r="M43" s="229">
        <v>1070000</v>
      </c>
      <c r="N43" s="231">
        <v>12287.7</v>
      </c>
      <c r="O43" s="232">
        <v>3</v>
      </c>
      <c r="P43" s="233">
        <v>53</v>
      </c>
      <c r="Q43" s="232">
        <v>604</v>
      </c>
      <c r="R43" s="233">
        <v>5851</v>
      </c>
      <c r="S43" s="232">
        <v>61129</v>
      </c>
      <c r="T43" s="233">
        <v>621366</v>
      </c>
      <c r="V43" s="228"/>
      <c r="X43" s="274"/>
    </row>
    <row r="44" spans="1:24" x14ac:dyDescent="0.15">
      <c r="A44" s="172">
        <v>19</v>
      </c>
      <c r="B44" s="173">
        <v>39939</v>
      </c>
      <c r="C44" s="174" t="s">
        <v>362</v>
      </c>
      <c r="D44" s="27">
        <v>4</v>
      </c>
      <c r="E44" s="27">
        <v>2</v>
      </c>
      <c r="F44" s="27">
        <v>2</v>
      </c>
      <c r="G44" s="27">
        <v>6</v>
      </c>
      <c r="H44" s="27">
        <v>8</v>
      </c>
      <c r="I44" s="27">
        <v>4</v>
      </c>
      <c r="J44" s="7">
        <v>1</v>
      </c>
      <c r="K44" s="222">
        <v>4568812.5</v>
      </c>
      <c r="L44" s="234" t="s">
        <v>23</v>
      </c>
      <c r="M44" s="224"/>
      <c r="N44" s="225">
        <v>317027.5</v>
      </c>
      <c r="O44" s="226">
        <v>2</v>
      </c>
      <c r="P44" s="227">
        <v>22</v>
      </c>
      <c r="Q44" s="226">
        <v>238</v>
      </c>
      <c r="R44" s="227">
        <v>2406</v>
      </c>
      <c r="S44" s="226">
        <v>23800</v>
      </c>
      <c r="T44" s="227">
        <v>245645</v>
      </c>
      <c r="V44" s="228"/>
      <c r="X44" s="274"/>
    </row>
    <row r="45" spans="1:24" x14ac:dyDescent="0.15">
      <c r="A45" s="178"/>
      <c r="B45" s="179">
        <v>39942</v>
      </c>
      <c r="C45" s="180" t="s">
        <v>363</v>
      </c>
      <c r="D45" s="19">
        <v>5</v>
      </c>
      <c r="E45" s="19">
        <v>1</v>
      </c>
      <c r="F45" s="19">
        <v>2</v>
      </c>
      <c r="G45" s="19">
        <v>6</v>
      </c>
      <c r="H45" s="19">
        <v>7</v>
      </c>
      <c r="I45" s="19">
        <v>3</v>
      </c>
      <c r="J45" s="13">
        <v>3</v>
      </c>
      <c r="K45" s="229">
        <v>10662858</v>
      </c>
      <c r="L45" s="230" t="s">
        <v>23</v>
      </c>
      <c r="M45" s="229"/>
      <c r="N45" s="231">
        <v>1028240.1</v>
      </c>
      <c r="O45" s="232">
        <v>6</v>
      </c>
      <c r="P45" s="233">
        <v>55</v>
      </c>
      <c r="Q45" s="232">
        <v>651</v>
      </c>
      <c r="R45" s="233">
        <v>6542</v>
      </c>
      <c r="S45" s="232">
        <v>64610</v>
      </c>
      <c r="T45" s="233">
        <v>645538</v>
      </c>
      <c r="V45" s="228"/>
      <c r="X45" s="274"/>
    </row>
    <row r="46" spans="1:24" x14ac:dyDescent="0.15">
      <c r="A46" s="172">
        <v>20</v>
      </c>
      <c r="B46" s="173">
        <v>39946</v>
      </c>
      <c r="C46" s="174" t="s">
        <v>362</v>
      </c>
      <c r="D46" s="27">
        <v>4</v>
      </c>
      <c r="E46" s="27">
        <v>5</v>
      </c>
      <c r="F46" s="27">
        <v>1</v>
      </c>
      <c r="G46" s="27">
        <v>9</v>
      </c>
      <c r="H46" s="27">
        <v>8</v>
      </c>
      <c r="I46" s="27">
        <v>9</v>
      </c>
      <c r="J46" s="7">
        <v>5</v>
      </c>
      <c r="K46" s="222">
        <v>4194478.5</v>
      </c>
      <c r="L46" s="223" t="s">
        <v>23</v>
      </c>
      <c r="M46" s="224"/>
      <c r="N46" s="225">
        <v>1308011.8</v>
      </c>
      <c r="O46" s="226">
        <v>6</v>
      </c>
      <c r="P46" s="227">
        <v>25</v>
      </c>
      <c r="Q46" s="226">
        <v>255</v>
      </c>
      <c r="R46" s="227">
        <v>2795</v>
      </c>
      <c r="S46" s="226">
        <v>28856</v>
      </c>
      <c r="T46" s="227">
        <v>306187</v>
      </c>
      <c r="V46" s="228"/>
      <c r="X46" s="274"/>
    </row>
    <row r="47" spans="1:24" x14ac:dyDescent="0.15">
      <c r="A47" s="178"/>
      <c r="B47" s="179">
        <v>39949</v>
      </c>
      <c r="C47" s="180" t="s">
        <v>363</v>
      </c>
      <c r="D47" s="19">
        <v>7</v>
      </c>
      <c r="E47" s="19">
        <v>7</v>
      </c>
      <c r="F47" s="19">
        <v>9</v>
      </c>
      <c r="G47" s="19">
        <v>4</v>
      </c>
      <c r="H47" s="19">
        <v>7</v>
      </c>
      <c r="I47" s="19">
        <v>8</v>
      </c>
      <c r="J47" s="13">
        <v>9</v>
      </c>
      <c r="K47" s="229">
        <v>10488724.5</v>
      </c>
      <c r="L47" s="230">
        <v>2</v>
      </c>
      <c r="M47" s="229">
        <v>970000</v>
      </c>
      <c r="N47" s="231">
        <v>67609.7</v>
      </c>
      <c r="O47" s="232">
        <v>7</v>
      </c>
      <c r="P47" s="233">
        <v>64</v>
      </c>
      <c r="Q47" s="232">
        <v>624</v>
      </c>
      <c r="R47" s="233">
        <v>6177</v>
      </c>
      <c r="S47" s="232">
        <v>61305</v>
      </c>
      <c r="T47" s="233">
        <v>618363</v>
      </c>
      <c r="V47" s="228"/>
      <c r="X47" s="274"/>
    </row>
    <row r="48" spans="1:24" x14ac:dyDescent="0.15">
      <c r="A48" s="172">
        <v>21</v>
      </c>
      <c r="B48" s="173">
        <v>39953</v>
      </c>
      <c r="C48" s="174" t="s">
        <v>362</v>
      </c>
      <c r="D48" s="27">
        <v>9</v>
      </c>
      <c r="E48" s="27">
        <v>8</v>
      </c>
      <c r="F48" s="27">
        <v>2</v>
      </c>
      <c r="G48" s="27">
        <v>2</v>
      </c>
      <c r="H48" s="27">
        <v>5</v>
      </c>
      <c r="I48" s="27">
        <v>0</v>
      </c>
      <c r="J48" s="7">
        <v>4</v>
      </c>
      <c r="K48" s="222">
        <v>4384549.5</v>
      </c>
      <c r="L48" s="223" t="s">
        <v>23</v>
      </c>
      <c r="M48" s="224"/>
      <c r="N48" s="225">
        <v>360059.2</v>
      </c>
      <c r="O48" s="226">
        <v>3</v>
      </c>
      <c r="P48" s="227">
        <v>21</v>
      </c>
      <c r="Q48" s="226">
        <v>199</v>
      </c>
      <c r="R48" s="227">
        <v>2129</v>
      </c>
      <c r="S48" s="226">
        <v>21883</v>
      </c>
      <c r="T48" s="227">
        <v>244061</v>
      </c>
      <c r="V48" s="228"/>
      <c r="X48" s="274"/>
    </row>
    <row r="49" spans="1:24" x14ac:dyDescent="0.15">
      <c r="A49" s="178"/>
      <c r="B49" s="179">
        <v>39956</v>
      </c>
      <c r="C49" s="180" t="s">
        <v>363</v>
      </c>
      <c r="D49" s="19">
        <v>7</v>
      </c>
      <c r="E49" s="19">
        <v>9</v>
      </c>
      <c r="F49" s="19">
        <v>0</v>
      </c>
      <c r="G49" s="19">
        <v>2</v>
      </c>
      <c r="H49" s="19">
        <v>9</v>
      </c>
      <c r="I49" s="19">
        <v>0</v>
      </c>
      <c r="J49" s="13">
        <v>3</v>
      </c>
      <c r="K49" s="229">
        <v>10451356.5</v>
      </c>
      <c r="L49" s="230" t="s">
        <v>23</v>
      </c>
      <c r="M49" s="229"/>
      <c r="N49" s="231">
        <v>1057164.7</v>
      </c>
      <c r="O49" s="232">
        <v>5</v>
      </c>
      <c r="P49" s="233">
        <v>58</v>
      </c>
      <c r="Q49" s="232">
        <v>587</v>
      </c>
      <c r="R49" s="233">
        <v>5383</v>
      </c>
      <c r="S49" s="232">
        <v>53006</v>
      </c>
      <c r="T49" s="233">
        <v>647160</v>
      </c>
      <c r="V49" s="228"/>
      <c r="X49" s="274"/>
    </row>
    <row r="50" spans="1:24" x14ac:dyDescent="0.15">
      <c r="A50" s="172">
        <v>22</v>
      </c>
      <c r="B50" s="173">
        <v>39960</v>
      </c>
      <c r="C50" s="174" t="s">
        <v>362</v>
      </c>
      <c r="D50" s="27">
        <v>6</v>
      </c>
      <c r="E50" s="27">
        <v>0</v>
      </c>
      <c r="F50" s="27">
        <v>6</v>
      </c>
      <c r="G50" s="27">
        <v>4</v>
      </c>
      <c r="H50" s="27">
        <v>4</v>
      </c>
      <c r="I50" s="27">
        <v>6</v>
      </c>
      <c r="J50" s="7">
        <v>1</v>
      </c>
      <c r="K50" s="222">
        <v>4627621.5</v>
      </c>
      <c r="L50" s="223" t="s">
        <v>23</v>
      </c>
      <c r="M50" s="224"/>
      <c r="N50" s="225">
        <v>1365827.1</v>
      </c>
      <c r="O50" s="226">
        <v>3</v>
      </c>
      <c r="P50" s="227">
        <v>28</v>
      </c>
      <c r="Q50" s="226">
        <v>259</v>
      </c>
      <c r="R50" s="227">
        <v>2638</v>
      </c>
      <c r="S50" s="226">
        <v>25726</v>
      </c>
      <c r="T50" s="227">
        <v>247843</v>
      </c>
      <c r="V50" s="228"/>
      <c r="X50" s="274"/>
    </row>
    <row r="51" spans="1:24" x14ac:dyDescent="0.15">
      <c r="A51" s="178"/>
      <c r="B51" s="179">
        <v>39963</v>
      </c>
      <c r="C51" s="180" t="s">
        <v>363</v>
      </c>
      <c r="D51" s="19">
        <v>9</v>
      </c>
      <c r="E51" s="19">
        <v>4</v>
      </c>
      <c r="F51" s="19">
        <v>5</v>
      </c>
      <c r="G51" s="19">
        <v>7</v>
      </c>
      <c r="H51" s="19">
        <v>9</v>
      </c>
      <c r="I51" s="19">
        <v>0</v>
      </c>
      <c r="J51" s="13">
        <v>5</v>
      </c>
      <c r="K51" s="229">
        <v>11989921.5</v>
      </c>
      <c r="L51" s="230" t="s">
        <v>23</v>
      </c>
      <c r="M51" s="229"/>
      <c r="N51" s="231">
        <v>2165554.9</v>
      </c>
      <c r="O51" s="232">
        <v>3</v>
      </c>
      <c r="P51" s="233">
        <v>87</v>
      </c>
      <c r="Q51" s="232">
        <v>721</v>
      </c>
      <c r="R51" s="233">
        <v>7181</v>
      </c>
      <c r="S51" s="232">
        <v>72320</v>
      </c>
      <c r="T51" s="233">
        <v>868592</v>
      </c>
      <c r="V51" s="228"/>
      <c r="X51" s="274"/>
    </row>
    <row r="52" spans="1:24" x14ac:dyDescent="0.15">
      <c r="A52" s="172">
        <v>23</v>
      </c>
      <c r="B52" s="173">
        <v>39967</v>
      </c>
      <c r="C52" s="174" t="s">
        <v>362</v>
      </c>
      <c r="D52" s="27">
        <v>6</v>
      </c>
      <c r="E52" s="27">
        <v>8</v>
      </c>
      <c r="F52" s="27">
        <v>0</v>
      </c>
      <c r="G52" s="27">
        <v>8</v>
      </c>
      <c r="H52" s="27">
        <v>6</v>
      </c>
      <c r="I52" s="27">
        <v>2</v>
      </c>
      <c r="J52" s="7">
        <v>5</v>
      </c>
      <c r="K52" s="222">
        <v>4236199.5</v>
      </c>
      <c r="L52" s="223" t="s">
        <v>23</v>
      </c>
      <c r="M52" s="224"/>
      <c r="N52" s="225">
        <v>2448109.4</v>
      </c>
      <c r="O52" s="226">
        <v>2</v>
      </c>
      <c r="P52" s="227">
        <v>27</v>
      </c>
      <c r="Q52" s="226">
        <v>321</v>
      </c>
      <c r="R52" s="227">
        <v>3216</v>
      </c>
      <c r="S52" s="226">
        <v>31300</v>
      </c>
      <c r="T52" s="227">
        <v>303831</v>
      </c>
      <c r="V52" s="228"/>
      <c r="X52" s="274"/>
    </row>
    <row r="53" spans="1:24" x14ac:dyDescent="0.15">
      <c r="A53" s="178"/>
      <c r="B53" s="179">
        <v>39970</v>
      </c>
      <c r="C53" s="180" t="s">
        <v>363</v>
      </c>
      <c r="D53" s="19">
        <v>7</v>
      </c>
      <c r="E53" s="19">
        <v>7</v>
      </c>
      <c r="F53" s="19">
        <v>9</v>
      </c>
      <c r="G53" s="19">
        <v>1</v>
      </c>
      <c r="H53" s="19">
        <v>5</v>
      </c>
      <c r="I53" s="19">
        <v>6</v>
      </c>
      <c r="J53" s="13">
        <v>8</v>
      </c>
      <c r="K53" s="229">
        <v>10698402</v>
      </c>
      <c r="L53" s="237">
        <v>3</v>
      </c>
      <c r="M53" s="229">
        <v>970000</v>
      </c>
      <c r="N53" s="231">
        <v>251692.79999999999</v>
      </c>
      <c r="O53" s="232">
        <v>4</v>
      </c>
      <c r="P53" s="233">
        <v>95</v>
      </c>
      <c r="Q53" s="232">
        <v>735</v>
      </c>
      <c r="R53" s="233">
        <v>7760</v>
      </c>
      <c r="S53" s="232">
        <v>75286</v>
      </c>
      <c r="T53" s="233">
        <v>716625</v>
      </c>
      <c r="V53" s="228"/>
      <c r="X53" s="274"/>
    </row>
    <row r="54" spans="1:24" x14ac:dyDescent="0.15">
      <c r="A54" s="172">
        <v>24</v>
      </c>
      <c r="B54" s="173">
        <v>39974</v>
      </c>
      <c r="C54" s="174" t="s">
        <v>362</v>
      </c>
      <c r="D54" s="27">
        <v>9</v>
      </c>
      <c r="E54" s="27">
        <v>2</v>
      </c>
      <c r="F54" s="27">
        <v>8</v>
      </c>
      <c r="G54" s="27">
        <v>1</v>
      </c>
      <c r="H54" s="27">
        <v>1</v>
      </c>
      <c r="I54" s="27">
        <v>0</v>
      </c>
      <c r="J54" s="7">
        <v>4</v>
      </c>
      <c r="K54" s="222">
        <v>4264566</v>
      </c>
      <c r="L54" s="223" t="s">
        <v>23</v>
      </c>
      <c r="M54" s="224"/>
      <c r="N54" s="225">
        <v>536139.4</v>
      </c>
      <c r="O54" s="226">
        <v>2</v>
      </c>
      <c r="P54" s="227">
        <v>21</v>
      </c>
      <c r="Q54" s="226">
        <v>193</v>
      </c>
      <c r="R54" s="227">
        <v>2070</v>
      </c>
      <c r="S54" s="226">
        <v>21264</v>
      </c>
      <c r="T54" s="227">
        <v>236239</v>
      </c>
      <c r="V54" s="228"/>
      <c r="X54" s="274"/>
    </row>
    <row r="55" spans="1:24" x14ac:dyDescent="0.15">
      <c r="A55" s="178"/>
      <c r="B55" s="179">
        <v>39977</v>
      </c>
      <c r="C55" s="180" t="s">
        <v>363</v>
      </c>
      <c r="D55" s="19">
        <v>3</v>
      </c>
      <c r="E55" s="19">
        <v>1</v>
      </c>
      <c r="F55" s="19">
        <v>8</v>
      </c>
      <c r="G55" s="19">
        <v>6</v>
      </c>
      <c r="H55" s="19">
        <v>8</v>
      </c>
      <c r="I55" s="19">
        <v>1</v>
      </c>
      <c r="J55" s="13">
        <v>7</v>
      </c>
      <c r="K55" s="229">
        <v>10320354</v>
      </c>
      <c r="L55" s="230" t="s">
        <v>23</v>
      </c>
      <c r="M55" s="229"/>
      <c r="N55" s="231">
        <v>1224507</v>
      </c>
      <c r="O55" s="232">
        <v>5</v>
      </c>
      <c r="P55" s="233">
        <v>56</v>
      </c>
      <c r="Q55" s="232">
        <v>753</v>
      </c>
      <c r="R55" s="233">
        <v>7062</v>
      </c>
      <c r="S55" s="232">
        <v>70031</v>
      </c>
      <c r="T55" s="233">
        <v>722533</v>
      </c>
      <c r="V55" s="228"/>
      <c r="X55" s="274"/>
    </row>
    <row r="56" spans="1:24" x14ac:dyDescent="0.15">
      <c r="A56" s="172">
        <v>25</v>
      </c>
      <c r="B56" s="173">
        <v>39981</v>
      </c>
      <c r="C56" s="174" t="s">
        <v>362</v>
      </c>
      <c r="D56" s="27">
        <v>0</v>
      </c>
      <c r="E56" s="27">
        <v>8</v>
      </c>
      <c r="F56" s="27">
        <v>2</v>
      </c>
      <c r="G56" s="27">
        <v>5</v>
      </c>
      <c r="H56" s="27">
        <v>7</v>
      </c>
      <c r="I56" s="27">
        <v>6</v>
      </c>
      <c r="J56" s="7">
        <v>0</v>
      </c>
      <c r="K56" s="222">
        <v>4112184</v>
      </c>
      <c r="L56" s="234" t="s">
        <v>23</v>
      </c>
      <c r="M56" s="224"/>
      <c r="N56" s="225">
        <v>1498789.7</v>
      </c>
      <c r="O56" s="226">
        <v>1</v>
      </c>
      <c r="P56" s="227">
        <v>27</v>
      </c>
      <c r="Q56" s="226">
        <v>193</v>
      </c>
      <c r="R56" s="227">
        <v>1979</v>
      </c>
      <c r="S56" s="226">
        <v>20146</v>
      </c>
      <c r="T56" s="227">
        <v>197505</v>
      </c>
      <c r="U56" s="240"/>
      <c r="V56" s="275"/>
      <c r="X56" s="274"/>
    </row>
    <row r="57" spans="1:24" x14ac:dyDescent="0.15">
      <c r="A57" s="178"/>
      <c r="B57" s="179">
        <v>39984</v>
      </c>
      <c r="C57" s="180" t="s">
        <v>363</v>
      </c>
      <c r="D57" s="19">
        <v>8</v>
      </c>
      <c r="E57" s="19">
        <v>7</v>
      </c>
      <c r="F57" s="19">
        <v>6</v>
      </c>
      <c r="G57" s="19">
        <v>7</v>
      </c>
      <c r="H57" s="19">
        <v>2</v>
      </c>
      <c r="I57" s="19">
        <v>1</v>
      </c>
      <c r="J57" s="13">
        <v>5</v>
      </c>
      <c r="K57" s="229">
        <v>10463853</v>
      </c>
      <c r="L57" s="230" t="s">
        <v>23</v>
      </c>
      <c r="M57" s="229"/>
      <c r="N57" s="231">
        <v>2196728.7000000002</v>
      </c>
      <c r="O57" s="232">
        <v>7</v>
      </c>
      <c r="P57" s="233">
        <v>74</v>
      </c>
      <c r="Q57" s="232">
        <v>756</v>
      </c>
      <c r="R57" s="233">
        <v>7371</v>
      </c>
      <c r="S57" s="232">
        <v>73136</v>
      </c>
      <c r="T57" s="233">
        <v>763781</v>
      </c>
      <c r="V57" s="228"/>
      <c r="X57" s="274"/>
    </row>
    <row r="58" spans="1:24" x14ac:dyDescent="0.15">
      <c r="A58" s="172">
        <v>26</v>
      </c>
      <c r="B58" s="173">
        <v>39988</v>
      </c>
      <c r="C58" s="174" t="s">
        <v>362</v>
      </c>
      <c r="D58" s="27">
        <v>1</v>
      </c>
      <c r="E58" s="27">
        <v>0</v>
      </c>
      <c r="F58" s="27">
        <v>2</v>
      </c>
      <c r="G58" s="27">
        <v>2</v>
      </c>
      <c r="H58" s="27">
        <v>1</v>
      </c>
      <c r="I58" s="27">
        <v>6</v>
      </c>
      <c r="J58" s="7">
        <v>1</v>
      </c>
      <c r="K58" s="222">
        <v>4097037</v>
      </c>
      <c r="L58" s="223" t="s">
        <v>23</v>
      </c>
      <c r="M58" s="224"/>
      <c r="N58" s="225">
        <v>2470001.1</v>
      </c>
      <c r="O58" s="226">
        <v>2</v>
      </c>
      <c r="P58" s="227">
        <v>25</v>
      </c>
      <c r="Q58" s="226">
        <v>238</v>
      </c>
      <c r="R58" s="227">
        <v>2260</v>
      </c>
      <c r="S58" s="226">
        <v>22794</v>
      </c>
      <c r="T58" s="227">
        <v>217605</v>
      </c>
      <c r="V58" s="228"/>
      <c r="X58" s="274"/>
    </row>
    <row r="59" spans="1:24" x14ac:dyDescent="0.15">
      <c r="A59" s="178"/>
      <c r="B59" s="179">
        <v>39991</v>
      </c>
      <c r="C59" s="180" t="s">
        <v>363</v>
      </c>
      <c r="D59" s="38">
        <v>6</v>
      </c>
      <c r="E59" s="38">
        <v>5</v>
      </c>
      <c r="F59" s="38">
        <v>0</v>
      </c>
      <c r="G59" s="38">
        <v>9</v>
      </c>
      <c r="H59" s="38">
        <v>1</v>
      </c>
      <c r="I59" s="38">
        <v>9</v>
      </c>
      <c r="J59" s="39">
        <v>1</v>
      </c>
      <c r="K59" s="229">
        <v>10348215</v>
      </c>
      <c r="L59" s="230">
        <v>1</v>
      </c>
      <c r="M59" s="229">
        <v>3070000</v>
      </c>
      <c r="N59" s="231">
        <v>90227</v>
      </c>
      <c r="O59" s="232">
        <v>12</v>
      </c>
      <c r="P59" s="233">
        <v>49</v>
      </c>
      <c r="Q59" s="232">
        <v>532</v>
      </c>
      <c r="R59" s="233">
        <v>5031</v>
      </c>
      <c r="S59" s="232">
        <v>51070</v>
      </c>
      <c r="T59" s="233">
        <v>542077</v>
      </c>
      <c r="V59" s="228"/>
      <c r="X59" s="274"/>
    </row>
    <row r="60" spans="1:24" x14ac:dyDescent="0.15">
      <c r="A60" s="45"/>
      <c r="B60" s="46"/>
      <c r="C60" s="46"/>
      <c r="D60" s="276"/>
      <c r="E60" s="276"/>
      <c r="F60" s="276"/>
      <c r="G60" s="276"/>
      <c r="H60" s="276"/>
      <c r="I60" s="276" t="s">
        <v>24</v>
      </c>
      <c r="J60" s="276"/>
      <c r="K60" s="277"/>
      <c r="L60" s="278">
        <f>SUM(L8:L59)</f>
        <v>23</v>
      </c>
      <c r="M60" s="229"/>
      <c r="N60" s="278"/>
      <c r="O60" s="278">
        <f t="shared" ref="O60:T60" si="0">SUM(O8:O59)</f>
        <v>254</v>
      </c>
      <c r="P60" s="278">
        <f t="shared" si="0"/>
        <v>2677</v>
      </c>
      <c r="Q60" s="278">
        <f t="shared" si="0"/>
        <v>26657</v>
      </c>
      <c r="R60" s="278">
        <f t="shared" si="0"/>
        <v>266267</v>
      </c>
      <c r="S60" s="278">
        <f t="shared" si="0"/>
        <v>2666596</v>
      </c>
      <c r="T60" s="272">
        <f t="shared" si="0"/>
        <v>27173855</v>
      </c>
      <c r="V60" s="228"/>
      <c r="X60" s="274"/>
    </row>
    <row r="63" spans="1:24" x14ac:dyDescent="0.15">
      <c r="K63" s="254"/>
    </row>
    <row r="64" spans="1:24" ht="12.75" x14ac:dyDescent="0.2">
      <c r="A64" s="1" t="s">
        <v>364</v>
      </c>
      <c r="T64" s="3" t="s">
        <v>410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2009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366</v>
      </c>
      <c r="M68" s="18"/>
      <c r="N68" s="13" t="s">
        <v>367</v>
      </c>
      <c r="O68" s="239">
        <v>70000</v>
      </c>
      <c r="P68" s="239">
        <v>7000</v>
      </c>
      <c r="Q68" s="239">
        <v>700</v>
      </c>
      <c r="R68" s="239">
        <v>70</v>
      </c>
      <c r="S68" s="239">
        <v>7</v>
      </c>
      <c r="T68" s="239">
        <v>2.5</v>
      </c>
    </row>
    <row r="69" spans="1:24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39995</v>
      </c>
      <c r="C70" s="174" t="s">
        <v>362</v>
      </c>
      <c r="D70" s="27">
        <v>4</v>
      </c>
      <c r="E70" s="27">
        <v>6</v>
      </c>
      <c r="F70" s="27">
        <v>1</v>
      </c>
      <c r="G70" s="27">
        <v>8</v>
      </c>
      <c r="H70" s="27">
        <v>1</v>
      </c>
      <c r="I70" s="27">
        <v>8</v>
      </c>
      <c r="J70" s="7">
        <v>5</v>
      </c>
      <c r="K70" s="222">
        <v>4338693</v>
      </c>
      <c r="L70" s="223">
        <v>1</v>
      </c>
      <c r="M70" s="224">
        <v>370000</v>
      </c>
      <c r="N70" s="225">
        <v>9617.7999999999993</v>
      </c>
      <c r="O70" s="226">
        <v>4</v>
      </c>
      <c r="P70" s="227">
        <v>30</v>
      </c>
      <c r="Q70" s="226">
        <v>298</v>
      </c>
      <c r="R70" s="227">
        <v>3053</v>
      </c>
      <c r="S70" s="226">
        <v>30713</v>
      </c>
      <c r="T70" s="227">
        <v>317297</v>
      </c>
      <c r="U70" s="240"/>
      <c r="V70" s="275"/>
      <c r="X70" s="274"/>
    </row>
    <row r="71" spans="1:24" x14ac:dyDescent="0.15">
      <c r="A71" s="178"/>
      <c r="B71" s="179">
        <v>39998</v>
      </c>
      <c r="C71" s="180" t="s">
        <v>363</v>
      </c>
      <c r="D71" s="19">
        <v>0</v>
      </c>
      <c r="E71" s="19">
        <v>4</v>
      </c>
      <c r="F71" s="19">
        <v>3</v>
      </c>
      <c r="G71" s="19">
        <v>8</v>
      </c>
      <c r="H71" s="19">
        <v>7</v>
      </c>
      <c r="I71" s="19">
        <v>2</v>
      </c>
      <c r="J71" s="13">
        <v>1</v>
      </c>
      <c r="K71" s="229">
        <v>10253928</v>
      </c>
      <c r="L71" s="230" t="s">
        <v>23</v>
      </c>
      <c r="M71" s="229"/>
      <c r="N71" s="231">
        <v>693554.8</v>
      </c>
      <c r="O71" s="232">
        <v>1</v>
      </c>
      <c r="P71" s="233">
        <v>65</v>
      </c>
      <c r="Q71" s="232">
        <v>575</v>
      </c>
      <c r="R71" s="233">
        <v>5545</v>
      </c>
      <c r="S71" s="232">
        <v>55123</v>
      </c>
      <c r="T71" s="233">
        <v>534046</v>
      </c>
      <c r="V71" s="228"/>
      <c r="X71" s="274"/>
    </row>
    <row r="72" spans="1:24" x14ac:dyDescent="0.15">
      <c r="A72" s="172">
        <v>28</v>
      </c>
      <c r="B72" s="173">
        <v>40002</v>
      </c>
      <c r="C72" s="174" t="s">
        <v>362</v>
      </c>
      <c r="D72" s="27">
        <v>3</v>
      </c>
      <c r="E72" s="27">
        <v>9</v>
      </c>
      <c r="F72" s="27">
        <v>3</v>
      </c>
      <c r="G72" s="27">
        <v>2</v>
      </c>
      <c r="H72" s="27">
        <v>6</v>
      </c>
      <c r="I72" s="27">
        <v>0</v>
      </c>
      <c r="J72" s="7">
        <v>5</v>
      </c>
      <c r="K72" s="222">
        <v>4238193</v>
      </c>
      <c r="L72" s="223" t="s">
        <v>23</v>
      </c>
      <c r="M72" s="224"/>
      <c r="N72" s="225">
        <v>976242.3</v>
      </c>
      <c r="O72" s="226">
        <v>2</v>
      </c>
      <c r="P72" s="227">
        <v>27</v>
      </c>
      <c r="Q72" s="226">
        <v>268</v>
      </c>
      <c r="R72" s="227">
        <v>2599</v>
      </c>
      <c r="S72" s="226">
        <v>26246</v>
      </c>
      <c r="T72" s="227">
        <v>320348</v>
      </c>
      <c r="V72" s="228"/>
      <c r="X72" s="274"/>
    </row>
    <row r="73" spans="1:24" x14ac:dyDescent="0.15">
      <c r="A73" s="178"/>
      <c r="B73" s="179">
        <v>40005</v>
      </c>
      <c r="C73" s="180" t="s">
        <v>363</v>
      </c>
      <c r="D73" s="19">
        <v>9</v>
      </c>
      <c r="E73" s="19">
        <v>6</v>
      </c>
      <c r="F73" s="19">
        <v>9</v>
      </c>
      <c r="G73" s="19">
        <v>8</v>
      </c>
      <c r="H73" s="19">
        <v>7</v>
      </c>
      <c r="I73" s="19">
        <v>1</v>
      </c>
      <c r="J73" s="13">
        <v>4</v>
      </c>
      <c r="K73" s="229">
        <v>10659187.5</v>
      </c>
      <c r="L73" s="230" t="s">
        <v>23</v>
      </c>
      <c r="M73" s="229"/>
      <c r="N73" s="231">
        <v>1687210.1</v>
      </c>
      <c r="O73" s="232">
        <v>5</v>
      </c>
      <c r="P73" s="233">
        <v>63</v>
      </c>
      <c r="Q73" s="232">
        <v>595</v>
      </c>
      <c r="R73" s="233">
        <v>5771</v>
      </c>
      <c r="S73" s="232">
        <v>57489</v>
      </c>
      <c r="T73" s="233">
        <v>586642</v>
      </c>
      <c r="V73" s="228"/>
      <c r="X73" s="274"/>
    </row>
    <row r="74" spans="1:24" x14ac:dyDescent="0.15">
      <c r="A74" s="172">
        <v>29</v>
      </c>
      <c r="B74" s="173">
        <v>40009</v>
      </c>
      <c r="C74" s="174" t="s">
        <v>362</v>
      </c>
      <c r="D74" s="27">
        <v>6</v>
      </c>
      <c r="E74" s="27">
        <v>5</v>
      </c>
      <c r="F74" s="27">
        <v>5</v>
      </c>
      <c r="G74" s="27">
        <v>8</v>
      </c>
      <c r="H74" s="27">
        <v>9</v>
      </c>
      <c r="I74" s="27">
        <v>9</v>
      </c>
      <c r="J74" s="7">
        <v>3</v>
      </c>
      <c r="K74" s="222">
        <v>4670935.5</v>
      </c>
      <c r="L74" s="223" t="s">
        <v>23</v>
      </c>
      <c r="M74" s="224"/>
      <c r="N74" s="225">
        <v>1998761.5</v>
      </c>
      <c r="O74" s="226">
        <v>2</v>
      </c>
      <c r="P74" s="227">
        <v>18</v>
      </c>
      <c r="Q74" s="226">
        <v>256</v>
      </c>
      <c r="R74" s="227">
        <v>2452</v>
      </c>
      <c r="S74" s="226">
        <v>26243</v>
      </c>
      <c r="T74" s="227">
        <v>286155</v>
      </c>
      <c r="V74" s="228"/>
      <c r="X74" s="274"/>
    </row>
    <row r="75" spans="1:24" x14ac:dyDescent="0.15">
      <c r="A75" s="178"/>
      <c r="B75" s="179">
        <v>40012</v>
      </c>
      <c r="C75" s="180" t="s">
        <v>363</v>
      </c>
      <c r="D75" s="19">
        <v>8</v>
      </c>
      <c r="E75" s="19">
        <v>0</v>
      </c>
      <c r="F75" s="19">
        <v>3</v>
      </c>
      <c r="G75" s="19">
        <v>2</v>
      </c>
      <c r="H75" s="19">
        <v>7</v>
      </c>
      <c r="I75" s="19">
        <v>8</v>
      </c>
      <c r="J75" s="13">
        <v>5</v>
      </c>
      <c r="K75" s="229">
        <v>11334843</v>
      </c>
      <c r="L75" s="230">
        <v>1</v>
      </c>
      <c r="M75" s="229">
        <v>2670000</v>
      </c>
      <c r="N75" s="231">
        <v>84795.5</v>
      </c>
      <c r="O75" s="232">
        <v>11</v>
      </c>
      <c r="P75" s="233">
        <v>86</v>
      </c>
      <c r="Q75" s="232">
        <v>837</v>
      </c>
      <c r="R75" s="233">
        <v>8254</v>
      </c>
      <c r="S75" s="232">
        <v>81656</v>
      </c>
      <c r="T75" s="233">
        <v>832979</v>
      </c>
      <c r="V75" s="228"/>
      <c r="X75" s="274"/>
    </row>
    <row r="76" spans="1:24" x14ac:dyDescent="0.15">
      <c r="A76" s="172">
        <v>30</v>
      </c>
      <c r="B76" s="173">
        <v>40016</v>
      </c>
      <c r="C76" s="174" t="s">
        <v>362</v>
      </c>
      <c r="D76" s="27">
        <v>8</v>
      </c>
      <c r="E76" s="27">
        <v>8</v>
      </c>
      <c r="F76" s="27">
        <v>8</v>
      </c>
      <c r="G76" s="27">
        <v>8</v>
      </c>
      <c r="H76" s="27">
        <v>5</v>
      </c>
      <c r="I76" s="27">
        <v>7</v>
      </c>
      <c r="J76" s="7">
        <v>9</v>
      </c>
      <c r="K76" s="222">
        <v>4188783</v>
      </c>
      <c r="L76" s="223" t="s">
        <v>23</v>
      </c>
      <c r="M76" s="224"/>
      <c r="N76" s="225">
        <v>364187.3</v>
      </c>
      <c r="O76" s="226">
        <v>1</v>
      </c>
      <c r="P76" s="227">
        <v>27</v>
      </c>
      <c r="Q76" s="226">
        <v>241</v>
      </c>
      <c r="R76" s="227">
        <v>2466</v>
      </c>
      <c r="S76" s="226">
        <v>23887</v>
      </c>
      <c r="T76" s="227">
        <v>237475</v>
      </c>
      <c r="V76" s="228"/>
      <c r="X76" s="274"/>
    </row>
    <row r="77" spans="1:24" x14ac:dyDescent="0.15">
      <c r="A77" s="178"/>
      <c r="B77" s="179">
        <v>40019</v>
      </c>
      <c r="C77" s="180" t="s">
        <v>363</v>
      </c>
      <c r="D77" s="19">
        <v>7</v>
      </c>
      <c r="E77" s="19">
        <v>5</v>
      </c>
      <c r="F77" s="19">
        <v>9</v>
      </c>
      <c r="G77" s="19">
        <v>1</v>
      </c>
      <c r="H77" s="19">
        <v>5</v>
      </c>
      <c r="I77" s="19">
        <v>3</v>
      </c>
      <c r="J77" s="13">
        <v>5</v>
      </c>
      <c r="K77" s="229">
        <v>10338955.5</v>
      </c>
      <c r="L77" s="230">
        <v>2</v>
      </c>
      <c r="M77" s="229">
        <v>470000</v>
      </c>
      <c r="N77" s="231">
        <v>113795.6</v>
      </c>
      <c r="O77" s="232">
        <v>7</v>
      </c>
      <c r="P77" s="233">
        <v>88</v>
      </c>
      <c r="Q77" s="232">
        <v>870</v>
      </c>
      <c r="R77" s="233">
        <v>8488</v>
      </c>
      <c r="S77" s="232">
        <v>79577</v>
      </c>
      <c r="T77" s="233">
        <v>774574</v>
      </c>
      <c r="V77" s="228"/>
      <c r="X77" s="274"/>
    </row>
    <row r="78" spans="1:24" x14ac:dyDescent="0.15">
      <c r="A78" s="172">
        <v>31</v>
      </c>
      <c r="B78" s="173">
        <v>40023</v>
      </c>
      <c r="C78" s="174" t="s">
        <v>362</v>
      </c>
      <c r="D78" s="27">
        <v>4</v>
      </c>
      <c r="E78" s="27">
        <v>0</v>
      </c>
      <c r="F78" s="27">
        <v>5</v>
      </c>
      <c r="G78" s="27">
        <v>5</v>
      </c>
      <c r="H78" s="27">
        <v>4</v>
      </c>
      <c r="I78" s="27">
        <v>7</v>
      </c>
      <c r="J78" s="7">
        <v>0</v>
      </c>
      <c r="K78" s="222">
        <v>4308919.5</v>
      </c>
      <c r="L78" s="223" t="s">
        <v>23</v>
      </c>
      <c r="M78" s="224"/>
      <c r="N78" s="225">
        <v>401200.5</v>
      </c>
      <c r="O78" s="226">
        <v>2</v>
      </c>
      <c r="P78" s="227">
        <v>21</v>
      </c>
      <c r="Q78" s="226">
        <v>196</v>
      </c>
      <c r="R78" s="227">
        <v>1976</v>
      </c>
      <c r="S78" s="226">
        <v>20321</v>
      </c>
      <c r="T78" s="227">
        <v>205682</v>
      </c>
      <c r="V78" s="228"/>
      <c r="X78" s="274"/>
    </row>
    <row r="79" spans="1:24" x14ac:dyDescent="0.15">
      <c r="A79" s="178"/>
      <c r="B79" s="179">
        <v>40026</v>
      </c>
      <c r="C79" s="180" t="s">
        <v>363</v>
      </c>
      <c r="D79" s="19">
        <v>1</v>
      </c>
      <c r="E79" s="19">
        <v>6</v>
      </c>
      <c r="F79" s="19">
        <v>7</v>
      </c>
      <c r="G79" s="19">
        <v>1</v>
      </c>
      <c r="H79" s="19">
        <v>0</v>
      </c>
      <c r="I79" s="19">
        <v>0</v>
      </c>
      <c r="J79" s="13">
        <v>0</v>
      </c>
      <c r="K79" s="229">
        <v>10429623</v>
      </c>
      <c r="L79" s="230">
        <v>1</v>
      </c>
      <c r="M79" s="229">
        <v>1070000</v>
      </c>
      <c r="N79" s="231">
        <v>26856.400000000001</v>
      </c>
      <c r="O79" s="232">
        <v>3</v>
      </c>
      <c r="P79" s="233">
        <v>57</v>
      </c>
      <c r="Q79" s="232">
        <v>649</v>
      </c>
      <c r="R79" s="233">
        <v>6128</v>
      </c>
      <c r="S79" s="232">
        <v>50156</v>
      </c>
      <c r="T79" s="233">
        <v>477827</v>
      </c>
      <c r="V79" s="228"/>
      <c r="X79" s="274"/>
    </row>
    <row r="80" spans="1:24" x14ac:dyDescent="0.15">
      <c r="A80" s="172">
        <v>32</v>
      </c>
      <c r="B80" s="173">
        <v>40030</v>
      </c>
      <c r="C80" s="174" t="s">
        <v>362</v>
      </c>
      <c r="D80" s="27">
        <v>7</v>
      </c>
      <c r="E80" s="27">
        <v>1</v>
      </c>
      <c r="F80" s="27">
        <v>7</v>
      </c>
      <c r="G80" s="27">
        <v>7</v>
      </c>
      <c r="H80" s="27">
        <v>0</v>
      </c>
      <c r="I80" s="27">
        <v>5</v>
      </c>
      <c r="J80" s="7">
        <v>1</v>
      </c>
      <c r="K80" s="222">
        <v>4154173.5</v>
      </c>
      <c r="L80" s="234">
        <v>1</v>
      </c>
      <c r="M80" s="224">
        <v>270000</v>
      </c>
      <c r="N80" s="225">
        <v>33939.800000000003</v>
      </c>
      <c r="O80" s="236">
        <v>2</v>
      </c>
      <c r="P80" s="227">
        <v>30</v>
      </c>
      <c r="Q80" s="226">
        <v>220</v>
      </c>
      <c r="R80" s="227">
        <v>2313</v>
      </c>
      <c r="S80" s="226">
        <v>23330</v>
      </c>
      <c r="T80" s="227">
        <v>223038</v>
      </c>
      <c r="V80" s="228"/>
      <c r="X80" s="274"/>
    </row>
    <row r="81" spans="1:24" x14ac:dyDescent="0.15">
      <c r="A81" s="178"/>
      <c r="B81" s="179">
        <v>40033</v>
      </c>
      <c r="C81" s="180" t="s">
        <v>363</v>
      </c>
      <c r="D81" s="19">
        <v>0</v>
      </c>
      <c r="E81" s="19">
        <v>2</v>
      </c>
      <c r="F81" s="19">
        <v>1</v>
      </c>
      <c r="G81" s="19">
        <v>6</v>
      </c>
      <c r="H81" s="19">
        <v>9</v>
      </c>
      <c r="I81" s="19">
        <v>5</v>
      </c>
      <c r="J81" s="13">
        <v>4</v>
      </c>
      <c r="K81" s="229">
        <v>10399848</v>
      </c>
      <c r="L81" s="230">
        <v>2</v>
      </c>
      <c r="M81" s="229">
        <v>270000</v>
      </c>
      <c r="N81" s="231">
        <v>187609.7</v>
      </c>
      <c r="O81" s="232">
        <v>6</v>
      </c>
      <c r="P81" s="233">
        <v>59</v>
      </c>
      <c r="Q81" s="232">
        <v>592</v>
      </c>
      <c r="R81" s="233">
        <v>6212</v>
      </c>
      <c r="S81" s="232">
        <v>60114</v>
      </c>
      <c r="T81" s="233">
        <v>564434</v>
      </c>
      <c r="V81" s="228"/>
      <c r="X81" s="274"/>
    </row>
    <row r="82" spans="1:24" x14ac:dyDescent="0.15">
      <c r="A82" s="172">
        <v>33</v>
      </c>
      <c r="B82" s="173">
        <v>40037</v>
      </c>
      <c r="C82" s="174" t="s">
        <v>362</v>
      </c>
      <c r="D82" s="27">
        <v>3</v>
      </c>
      <c r="E82" s="27">
        <v>8</v>
      </c>
      <c r="F82" s="27">
        <v>7</v>
      </c>
      <c r="G82" s="27">
        <v>5</v>
      </c>
      <c r="H82" s="27">
        <v>0</v>
      </c>
      <c r="I82" s="27">
        <v>0</v>
      </c>
      <c r="J82" s="7">
        <v>3</v>
      </c>
      <c r="K82" s="222">
        <v>4113139.5</v>
      </c>
      <c r="L82" s="223" t="s">
        <v>23</v>
      </c>
      <c r="M82" s="279"/>
      <c r="N82" s="225">
        <v>461956.1</v>
      </c>
      <c r="O82" s="226">
        <v>2</v>
      </c>
      <c r="P82" s="227">
        <v>17</v>
      </c>
      <c r="Q82" s="226">
        <v>200</v>
      </c>
      <c r="R82" s="227">
        <v>1977</v>
      </c>
      <c r="S82" s="226">
        <v>21410</v>
      </c>
      <c r="T82" s="227">
        <v>251269</v>
      </c>
      <c r="V82" s="228"/>
      <c r="X82" s="274"/>
    </row>
    <row r="83" spans="1:24" x14ac:dyDescent="0.15">
      <c r="A83" s="178"/>
      <c r="B83" s="179">
        <v>40040</v>
      </c>
      <c r="C83" s="180" t="s">
        <v>363</v>
      </c>
      <c r="D83" s="19">
        <v>8</v>
      </c>
      <c r="E83" s="19">
        <v>8</v>
      </c>
      <c r="F83" s="19">
        <v>5</v>
      </c>
      <c r="G83" s="19">
        <v>2</v>
      </c>
      <c r="H83" s="19">
        <v>4</v>
      </c>
      <c r="I83" s="19">
        <v>3</v>
      </c>
      <c r="J83" s="13">
        <v>6</v>
      </c>
      <c r="K83" s="229">
        <v>10303278</v>
      </c>
      <c r="L83" s="230">
        <v>1</v>
      </c>
      <c r="M83" s="229">
        <v>1070000</v>
      </c>
      <c r="N83" s="231">
        <v>79184.7</v>
      </c>
      <c r="O83" s="232">
        <v>7</v>
      </c>
      <c r="P83" s="233">
        <v>69</v>
      </c>
      <c r="Q83" s="232">
        <v>639</v>
      </c>
      <c r="R83" s="233">
        <v>6535</v>
      </c>
      <c r="S83" s="232">
        <v>64662</v>
      </c>
      <c r="T83" s="233">
        <v>623067</v>
      </c>
      <c r="V83" s="228"/>
      <c r="X83" s="274"/>
    </row>
    <row r="84" spans="1:24" x14ac:dyDescent="0.15">
      <c r="A84" s="172">
        <v>34</v>
      </c>
      <c r="B84" s="173">
        <v>40044</v>
      </c>
      <c r="C84" s="174" t="s">
        <v>362</v>
      </c>
      <c r="D84" s="27">
        <v>4</v>
      </c>
      <c r="E84" s="27">
        <v>3</v>
      </c>
      <c r="F84" s="27">
        <v>4</v>
      </c>
      <c r="G84" s="27">
        <v>8</v>
      </c>
      <c r="H84" s="27">
        <v>7</v>
      </c>
      <c r="I84" s="27">
        <v>7</v>
      </c>
      <c r="J84" s="7">
        <v>5</v>
      </c>
      <c r="K84" s="222">
        <v>4278105</v>
      </c>
      <c r="L84" s="223" t="s">
        <v>23</v>
      </c>
      <c r="M84" s="224"/>
      <c r="N84" s="225">
        <v>364534.3</v>
      </c>
      <c r="O84" s="226">
        <v>5</v>
      </c>
      <c r="P84" s="227">
        <v>32</v>
      </c>
      <c r="Q84" s="226">
        <v>318</v>
      </c>
      <c r="R84" s="227">
        <v>3103</v>
      </c>
      <c r="S84" s="226">
        <v>33213</v>
      </c>
      <c r="T84" s="227">
        <v>326363</v>
      </c>
      <c r="V84" s="228"/>
      <c r="X84" s="274"/>
    </row>
    <row r="85" spans="1:24" x14ac:dyDescent="0.15">
      <c r="A85" s="178"/>
      <c r="B85" s="179">
        <v>40047</v>
      </c>
      <c r="C85" s="180" t="s">
        <v>363</v>
      </c>
      <c r="D85" s="19">
        <v>8</v>
      </c>
      <c r="E85" s="19">
        <v>3</v>
      </c>
      <c r="F85" s="19">
        <v>6</v>
      </c>
      <c r="G85" s="19">
        <v>0</v>
      </c>
      <c r="H85" s="19">
        <v>6</v>
      </c>
      <c r="I85" s="19">
        <v>2</v>
      </c>
      <c r="J85" s="13">
        <v>5</v>
      </c>
      <c r="K85" s="229">
        <v>10675489.5</v>
      </c>
      <c r="L85" s="230">
        <v>1</v>
      </c>
      <c r="M85" s="229">
        <v>1070000</v>
      </c>
      <c r="N85" s="231">
        <v>6589.4</v>
      </c>
      <c r="O85" s="232">
        <v>8</v>
      </c>
      <c r="P85" s="233">
        <v>101</v>
      </c>
      <c r="Q85" s="232">
        <v>844</v>
      </c>
      <c r="R85" s="233">
        <v>8335</v>
      </c>
      <c r="S85" s="232">
        <v>81936</v>
      </c>
      <c r="T85" s="233">
        <v>801817</v>
      </c>
      <c r="V85" s="228"/>
      <c r="X85" s="274"/>
    </row>
    <row r="86" spans="1:24" x14ac:dyDescent="0.15">
      <c r="A86" s="172">
        <v>35</v>
      </c>
      <c r="B86" s="173">
        <v>40051</v>
      </c>
      <c r="C86" s="174" t="s">
        <v>362</v>
      </c>
      <c r="D86" s="27">
        <v>5</v>
      </c>
      <c r="E86" s="27">
        <v>5</v>
      </c>
      <c r="F86" s="27">
        <v>6</v>
      </c>
      <c r="G86" s="27">
        <v>5</v>
      </c>
      <c r="H86" s="27">
        <v>0</v>
      </c>
      <c r="I86" s="27">
        <v>4</v>
      </c>
      <c r="J86" s="7">
        <v>0</v>
      </c>
      <c r="K86" s="222">
        <v>4725448.5</v>
      </c>
      <c r="L86" s="223">
        <v>1</v>
      </c>
      <c r="M86" s="224">
        <v>270000</v>
      </c>
      <c r="N86" s="225">
        <v>51776.800000000003</v>
      </c>
      <c r="O86" s="226">
        <v>4</v>
      </c>
      <c r="P86" s="227">
        <v>23</v>
      </c>
      <c r="Q86" s="226">
        <v>214</v>
      </c>
      <c r="R86" s="227">
        <v>2256</v>
      </c>
      <c r="S86" s="226">
        <v>23245</v>
      </c>
      <c r="T86" s="227">
        <v>232611</v>
      </c>
      <c r="V86" s="228"/>
      <c r="X86" s="274"/>
    </row>
    <row r="87" spans="1:24" x14ac:dyDescent="0.15">
      <c r="A87" s="178"/>
      <c r="B87" s="179">
        <v>40054</v>
      </c>
      <c r="C87" s="180" t="s">
        <v>363</v>
      </c>
      <c r="D87" s="19">
        <v>4</v>
      </c>
      <c r="E87" s="19">
        <v>6</v>
      </c>
      <c r="F87" s="19">
        <v>4</v>
      </c>
      <c r="G87" s="19">
        <v>4</v>
      </c>
      <c r="H87" s="19">
        <v>7</v>
      </c>
      <c r="I87" s="19">
        <v>7</v>
      </c>
      <c r="J87" s="13">
        <v>8</v>
      </c>
      <c r="K87" s="229">
        <v>11553819</v>
      </c>
      <c r="L87" s="230">
        <v>1</v>
      </c>
      <c r="M87" s="229">
        <v>770000</v>
      </c>
      <c r="N87" s="231">
        <v>52416.5</v>
      </c>
      <c r="O87" s="232">
        <v>8</v>
      </c>
      <c r="P87" s="233">
        <v>81</v>
      </c>
      <c r="Q87" s="232">
        <v>723</v>
      </c>
      <c r="R87" s="233">
        <v>7390</v>
      </c>
      <c r="S87" s="232">
        <v>78108</v>
      </c>
      <c r="T87" s="233">
        <v>764500</v>
      </c>
      <c r="V87" s="228"/>
      <c r="X87" s="274"/>
    </row>
    <row r="88" spans="1:24" x14ac:dyDescent="0.15">
      <c r="A88" s="172">
        <v>36</v>
      </c>
      <c r="B88" s="173">
        <v>40058</v>
      </c>
      <c r="C88" s="174" t="s">
        <v>362</v>
      </c>
      <c r="D88" s="27">
        <v>1</v>
      </c>
      <c r="E88" s="27">
        <v>7</v>
      </c>
      <c r="F88" s="27">
        <v>6</v>
      </c>
      <c r="G88" s="27">
        <v>3</v>
      </c>
      <c r="H88" s="27">
        <v>9</v>
      </c>
      <c r="I88" s="27">
        <v>2</v>
      </c>
      <c r="J88" s="7">
        <v>6</v>
      </c>
      <c r="K88" s="222">
        <v>5610409.5</v>
      </c>
      <c r="L88" s="223" t="s">
        <v>23</v>
      </c>
      <c r="M88" s="224"/>
      <c r="N88" s="225">
        <v>426630.8</v>
      </c>
      <c r="O88" s="226">
        <v>7</v>
      </c>
      <c r="P88" s="227">
        <v>29</v>
      </c>
      <c r="Q88" s="226">
        <v>366</v>
      </c>
      <c r="R88" s="227">
        <v>3382</v>
      </c>
      <c r="S88" s="226">
        <v>34076</v>
      </c>
      <c r="T88" s="227">
        <v>344237</v>
      </c>
      <c r="V88" s="228"/>
      <c r="X88" s="274"/>
    </row>
    <row r="89" spans="1:24" x14ac:dyDescent="0.15">
      <c r="A89" s="178"/>
      <c r="B89" s="179">
        <v>40061</v>
      </c>
      <c r="C89" s="180" t="s">
        <v>363</v>
      </c>
      <c r="D89" s="19">
        <v>9</v>
      </c>
      <c r="E89" s="19">
        <v>7</v>
      </c>
      <c r="F89" s="19">
        <v>3</v>
      </c>
      <c r="G89" s="19">
        <v>2</v>
      </c>
      <c r="H89" s="19">
        <v>1</v>
      </c>
      <c r="I89" s="19">
        <v>3</v>
      </c>
      <c r="J89" s="13">
        <v>2</v>
      </c>
      <c r="K89" s="229">
        <v>12518469</v>
      </c>
      <c r="L89" s="230" t="s">
        <v>23</v>
      </c>
      <c r="M89" s="229"/>
      <c r="N89" s="231">
        <v>1261612.7</v>
      </c>
      <c r="O89" s="232">
        <v>3</v>
      </c>
      <c r="P89" s="233">
        <v>62</v>
      </c>
      <c r="Q89" s="232">
        <v>649</v>
      </c>
      <c r="R89" s="233">
        <v>6793</v>
      </c>
      <c r="S89" s="232">
        <v>66859</v>
      </c>
      <c r="T89" s="233">
        <v>680853</v>
      </c>
      <c r="V89" s="228"/>
      <c r="X89" s="274"/>
    </row>
    <row r="90" spans="1:24" x14ac:dyDescent="0.15">
      <c r="A90" s="172">
        <v>37</v>
      </c>
      <c r="B90" s="173">
        <v>40065</v>
      </c>
      <c r="C90" s="174" t="s">
        <v>362</v>
      </c>
      <c r="D90" s="27">
        <v>2</v>
      </c>
      <c r="E90" s="27">
        <v>5</v>
      </c>
      <c r="F90" s="27">
        <v>1</v>
      </c>
      <c r="G90" s="27">
        <v>0</v>
      </c>
      <c r="H90" s="27">
        <v>9</v>
      </c>
      <c r="I90" s="27">
        <v>9</v>
      </c>
      <c r="J90" s="7">
        <v>1</v>
      </c>
      <c r="K90" s="222">
        <v>6582148.5</v>
      </c>
      <c r="L90" s="223" t="s">
        <v>23</v>
      </c>
      <c r="M90" s="224"/>
      <c r="N90" s="225">
        <v>1700642</v>
      </c>
      <c r="O90" s="226">
        <v>3</v>
      </c>
      <c r="P90" s="227">
        <v>22</v>
      </c>
      <c r="Q90" s="226">
        <v>324</v>
      </c>
      <c r="R90" s="227">
        <v>3367</v>
      </c>
      <c r="S90" s="226">
        <v>34192</v>
      </c>
      <c r="T90" s="227">
        <v>362262</v>
      </c>
      <c r="V90" s="228"/>
      <c r="X90" s="274"/>
    </row>
    <row r="91" spans="1:24" x14ac:dyDescent="0.15">
      <c r="A91" s="178"/>
      <c r="B91" s="179">
        <v>40068</v>
      </c>
      <c r="C91" s="180" t="s">
        <v>363</v>
      </c>
      <c r="D91" s="19">
        <v>7</v>
      </c>
      <c r="E91" s="19">
        <v>5</v>
      </c>
      <c r="F91" s="19">
        <v>4</v>
      </c>
      <c r="G91" s="19">
        <v>4</v>
      </c>
      <c r="H91" s="19">
        <v>9</v>
      </c>
      <c r="I91" s="19">
        <v>6</v>
      </c>
      <c r="J91" s="13">
        <v>3</v>
      </c>
      <c r="K91" s="229">
        <v>13757376</v>
      </c>
      <c r="L91" s="230">
        <v>2</v>
      </c>
      <c r="M91" s="229">
        <v>1270000</v>
      </c>
      <c r="N91" s="231">
        <v>78259</v>
      </c>
      <c r="O91" s="232">
        <v>8</v>
      </c>
      <c r="P91" s="233">
        <v>87</v>
      </c>
      <c r="Q91" s="232">
        <v>838</v>
      </c>
      <c r="R91" s="233">
        <v>8715</v>
      </c>
      <c r="S91" s="232">
        <v>84439</v>
      </c>
      <c r="T91" s="233">
        <v>830941</v>
      </c>
      <c r="V91" s="228"/>
      <c r="X91" s="274"/>
    </row>
    <row r="92" spans="1:24" x14ac:dyDescent="0.15">
      <c r="A92" s="172">
        <v>38</v>
      </c>
      <c r="B92" s="173">
        <v>40072</v>
      </c>
      <c r="C92" s="174" t="s">
        <v>362</v>
      </c>
      <c r="D92" s="27">
        <v>9</v>
      </c>
      <c r="E92" s="27">
        <v>5</v>
      </c>
      <c r="F92" s="27">
        <v>8</v>
      </c>
      <c r="G92" s="27">
        <v>5</v>
      </c>
      <c r="H92" s="27">
        <v>0</v>
      </c>
      <c r="I92" s="27">
        <v>4</v>
      </c>
      <c r="J92" s="7">
        <v>4</v>
      </c>
      <c r="K92" s="222">
        <v>7700559</v>
      </c>
      <c r="L92" s="223">
        <v>2</v>
      </c>
      <c r="M92" s="224">
        <v>270000</v>
      </c>
      <c r="N92" s="225">
        <v>51886.3</v>
      </c>
      <c r="O92" s="226">
        <v>5</v>
      </c>
      <c r="P92" s="227">
        <v>47</v>
      </c>
      <c r="Q92" s="226">
        <v>431</v>
      </c>
      <c r="R92" s="227">
        <v>4393</v>
      </c>
      <c r="S92" s="226">
        <v>45530</v>
      </c>
      <c r="T92" s="227">
        <v>433520</v>
      </c>
      <c r="V92" s="228"/>
      <c r="X92" s="274"/>
    </row>
    <row r="93" spans="1:24" x14ac:dyDescent="0.15">
      <c r="A93" s="178"/>
      <c r="B93" s="179">
        <v>40075</v>
      </c>
      <c r="C93" s="180" t="s">
        <v>363</v>
      </c>
      <c r="D93" s="19">
        <v>0</v>
      </c>
      <c r="E93" s="19">
        <v>9</v>
      </c>
      <c r="F93" s="19">
        <v>7</v>
      </c>
      <c r="G93" s="19">
        <v>9</v>
      </c>
      <c r="H93" s="19">
        <v>7</v>
      </c>
      <c r="I93" s="19">
        <v>2</v>
      </c>
      <c r="J93" s="13">
        <v>6</v>
      </c>
      <c r="K93" s="229">
        <v>14980681.5</v>
      </c>
      <c r="L93" s="230" t="s">
        <v>23</v>
      </c>
      <c r="M93" s="229"/>
      <c r="N93" s="231">
        <v>1051097.8</v>
      </c>
      <c r="O93" s="232">
        <v>11</v>
      </c>
      <c r="P93" s="233">
        <v>103</v>
      </c>
      <c r="Q93" s="232">
        <v>942</v>
      </c>
      <c r="R93" s="233">
        <v>9313</v>
      </c>
      <c r="S93" s="232">
        <v>92400</v>
      </c>
      <c r="T93" s="233">
        <v>914305</v>
      </c>
      <c r="V93" s="228"/>
      <c r="X93" s="274"/>
    </row>
    <row r="94" spans="1:24" x14ac:dyDescent="0.15">
      <c r="A94" s="172">
        <v>39</v>
      </c>
      <c r="B94" s="173">
        <v>40079</v>
      </c>
      <c r="C94" s="174" t="s">
        <v>362</v>
      </c>
      <c r="D94" s="27">
        <v>1</v>
      </c>
      <c r="E94" s="27">
        <v>5</v>
      </c>
      <c r="F94" s="27">
        <v>9</v>
      </c>
      <c r="G94" s="27">
        <v>9</v>
      </c>
      <c r="H94" s="27">
        <v>6</v>
      </c>
      <c r="I94" s="27">
        <v>8</v>
      </c>
      <c r="J94" s="7">
        <v>8</v>
      </c>
      <c r="K94" s="222">
        <v>14951248.5</v>
      </c>
      <c r="L94" s="234" t="s">
        <v>23</v>
      </c>
      <c r="M94" s="224"/>
      <c r="N94" s="225">
        <v>2048346.1</v>
      </c>
      <c r="O94" s="226">
        <v>12</v>
      </c>
      <c r="P94" s="227">
        <v>93</v>
      </c>
      <c r="Q94" s="226">
        <v>931</v>
      </c>
      <c r="R94" s="227">
        <v>9617</v>
      </c>
      <c r="S94" s="226">
        <v>97477</v>
      </c>
      <c r="T94" s="227">
        <v>931968</v>
      </c>
      <c r="V94" s="228"/>
      <c r="X94" s="274"/>
    </row>
    <row r="95" spans="1:24" x14ac:dyDescent="0.15">
      <c r="A95" s="178"/>
      <c r="B95" s="179">
        <v>40082</v>
      </c>
      <c r="C95" s="180" t="s">
        <v>363</v>
      </c>
      <c r="D95" s="19">
        <v>2</v>
      </c>
      <c r="E95" s="19">
        <v>0</v>
      </c>
      <c r="F95" s="19">
        <v>3</v>
      </c>
      <c r="G95" s="19">
        <v>2</v>
      </c>
      <c r="H95" s="19">
        <v>3</v>
      </c>
      <c r="I95" s="19">
        <v>1</v>
      </c>
      <c r="J95" s="13">
        <v>2</v>
      </c>
      <c r="K95" s="229">
        <v>12520360.5</v>
      </c>
      <c r="L95" s="230">
        <v>2</v>
      </c>
      <c r="M95" s="229">
        <v>1370000</v>
      </c>
      <c r="N95" s="231">
        <v>143454.1</v>
      </c>
      <c r="O95" s="232">
        <v>3</v>
      </c>
      <c r="P95" s="233">
        <v>63</v>
      </c>
      <c r="Q95" s="232">
        <v>696</v>
      </c>
      <c r="R95" s="233">
        <v>6968</v>
      </c>
      <c r="S95" s="232">
        <v>68516</v>
      </c>
      <c r="T95" s="233">
        <v>677946</v>
      </c>
      <c r="V95" s="228"/>
      <c r="X95" s="274"/>
    </row>
    <row r="96" spans="1:24" x14ac:dyDescent="0.15">
      <c r="A96" s="172">
        <v>40</v>
      </c>
      <c r="B96" s="173">
        <v>40086</v>
      </c>
      <c r="C96" s="174" t="s">
        <v>362</v>
      </c>
      <c r="D96" s="27">
        <v>6</v>
      </c>
      <c r="E96" s="27">
        <v>6</v>
      </c>
      <c r="F96" s="27">
        <v>8</v>
      </c>
      <c r="G96" s="27">
        <v>9</v>
      </c>
      <c r="H96" s="27">
        <v>3</v>
      </c>
      <c r="I96" s="27">
        <v>7</v>
      </c>
      <c r="J96" s="7">
        <v>7</v>
      </c>
      <c r="K96" s="222">
        <v>4960798.5</v>
      </c>
      <c r="L96" s="234" t="s">
        <v>23</v>
      </c>
      <c r="M96" s="224"/>
      <c r="N96" s="225">
        <v>474339.4</v>
      </c>
      <c r="O96" s="226" t="s">
        <v>17</v>
      </c>
      <c r="P96" s="227">
        <v>37</v>
      </c>
      <c r="Q96" s="226">
        <v>368</v>
      </c>
      <c r="R96" s="227">
        <v>3688</v>
      </c>
      <c r="S96" s="226">
        <v>40489</v>
      </c>
      <c r="T96" s="227">
        <v>327634</v>
      </c>
      <c r="V96" s="228"/>
      <c r="X96" s="274"/>
    </row>
    <row r="97" spans="1:24" x14ac:dyDescent="0.15">
      <c r="A97" s="178"/>
      <c r="B97" s="179">
        <v>40089</v>
      </c>
      <c r="C97" s="180" t="s">
        <v>363</v>
      </c>
      <c r="D97" s="19">
        <v>7</v>
      </c>
      <c r="E97" s="19">
        <v>1</v>
      </c>
      <c r="F97" s="19">
        <v>1</v>
      </c>
      <c r="G97" s="19">
        <v>6</v>
      </c>
      <c r="H97" s="19">
        <v>5</v>
      </c>
      <c r="I97" s="19">
        <v>8</v>
      </c>
      <c r="J97" s="13">
        <v>9</v>
      </c>
      <c r="K97" s="229">
        <v>10633291.5</v>
      </c>
      <c r="L97" s="230">
        <v>2</v>
      </c>
      <c r="M97" s="229">
        <v>570000</v>
      </c>
      <c r="N97" s="231">
        <v>43579.9</v>
      </c>
      <c r="O97" s="232">
        <v>5</v>
      </c>
      <c r="P97" s="233">
        <v>75</v>
      </c>
      <c r="Q97" s="232">
        <v>583</v>
      </c>
      <c r="R97" s="233">
        <v>6206</v>
      </c>
      <c r="S97" s="232">
        <v>62038</v>
      </c>
      <c r="T97" s="233">
        <v>622807</v>
      </c>
      <c r="V97" s="228"/>
      <c r="X97" s="274"/>
    </row>
    <row r="98" spans="1:24" x14ac:dyDescent="0.15">
      <c r="A98" s="172">
        <v>41</v>
      </c>
      <c r="B98" s="173">
        <v>40093</v>
      </c>
      <c r="C98" s="174" t="s">
        <v>362</v>
      </c>
      <c r="D98" s="27">
        <v>6</v>
      </c>
      <c r="E98" s="27">
        <v>6</v>
      </c>
      <c r="F98" s="27">
        <v>7</v>
      </c>
      <c r="G98" s="27">
        <v>8</v>
      </c>
      <c r="H98" s="27">
        <v>4</v>
      </c>
      <c r="I98" s="27">
        <v>1</v>
      </c>
      <c r="J98" s="7">
        <v>4</v>
      </c>
      <c r="K98" s="222">
        <v>4477534.5</v>
      </c>
      <c r="L98" s="223" t="s">
        <v>23</v>
      </c>
      <c r="M98" s="224"/>
      <c r="N98" s="225">
        <v>342231.5</v>
      </c>
      <c r="O98" s="226">
        <v>1</v>
      </c>
      <c r="P98" s="227">
        <v>18</v>
      </c>
      <c r="Q98" s="226">
        <v>265</v>
      </c>
      <c r="R98" s="227">
        <v>2411</v>
      </c>
      <c r="S98" s="226">
        <v>24536</v>
      </c>
      <c r="T98" s="227">
        <v>247991</v>
      </c>
      <c r="V98" s="228"/>
      <c r="X98" s="274"/>
    </row>
    <row r="99" spans="1:24" x14ac:dyDescent="0.15">
      <c r="A99" s="178"/>
      <c r="B99" s="179">
        <v>40096</v>
      </c>
      <c r="C99" s="180" t="s">
        <v>363</v>
      </c>
      <c r="D99" s="19">
        <v>9</v>
      </c>
      <c r="E99" s="19">
        <v>6</v>
      </c>
      <c r="F99" s="19">
        <v>8</v>
      </c>
      <c r="G99" s="19">
        <v>4</v>
      </c>
      <c r="H99" s="19">
        <v>8</v>
      </c>
      <c r="I99" s="19">
        <v>0</v>
      </c>
      <c r="J99" s="13">
        <v>9</v>
      </c>
      <c r="K99" s="229">
        <v>10723221</v>
      </c>
      <c r="L99" s="230">
        <v>1</v>
      </c>
      <c r="M99" s="229">
        <v>970000</v>
      </c>
      <c r="N99" s="231">
        <v>87470.3</v>
      </c>
      <c r="O99" s="232">
        <v>6</v>
      </c>
      <c r="P99" s="233">
        <v>60</v>
      </c>
      <c r="Q99" s="232">
        <v>596</v>
      </c>
      <c r="R99" s="233">
        <v>5488</v>
      </c>
      <c r="S99" s="232">
        <v>56196</v>
      </c>
      <c r="T99" s="233">
        <v>634163</v>
      </c>
      <c r="V99" s="228"/>
      <c r="X99" s="274"/>
    </row>
    <row r="100" spans="1:24" x14ac:dyDescent="0.15">
      <c r="A100" s="172">
        <v>42</v>
      </c>
      <c r="B100" s="173">
        <v>40100</v>
      </c>
      <c r="C100" s="174" t="s">
        <v>362</v>
      </c>
      <c r="D100" s="27">
        <v>8</v>
      </c>
      <c r="E100" s="27">
        <v>8</v>
      </c>
      <c r="F100" s="27">
        <v>0</v>
      </c>
      <c r="G100" s="27">
        <v>8</v>
      </c>
      <c r="H100" s="27">
        <v>8</v>
      </c>
      <c r="I100" s="27">
        <v>7</v>
      </c>
      <c r="J100" s="7">
        <v>6</v>
      </c>
      <c r="K100" s="222">
        <v>4597533</v>
      </c>
      <c r="L100" s="234">
        <v>2</v>
      </c>
      <c r="M100" s="224">
        <v>170000</v>
      </c>
      <c r="N100" s="225">
        <v>54125.8</v>
      </c>
      <c r="O100" s="226">
        <v>2</v>
      </c>
      <c r="P100" s="227">
        <v>33</v>
      </c>
      <c r="Q100" s="226">
        <v>293</v>
      </c>
      <c r="R100" s="227">
        <v>2923</v>
      </c>
      <c r="S100" s="226">
        <v>28287</v>
      </c>
      <c r="T100" s="227">
        <v>286320</v>
      </c>
      <c r="V100" s="228"/>
      <c r="X100" s="274"/>
    </row>
    <row r="101" spans="1:24" x14ac:dyDescent="0.15">
      <c r="A101" s="178"/>
      <c r="B101" s="179">
        <v>40103</v>
      </c>
      <c r="C101" s="180" t="s">
        <v>363</v>
      </c>
      <c r="D101" s="19">
        <v>1</v>
      </c>
      <c r="E101" s="19">
        <v>0</v>
      </c>
      <c r="F101" s="19">
        <v>7</v>
      </c>
      <c r="G101" s="19">
        <v>4</v>
      </c>
      <c r="H101" s="19">
        <v>6</v>
      </c>
      <c r="I101" s="19">
        <v>2</v>
      </c>
      <c r="J101" s="13">
        <v>4</v>
      </c>
      <c r="K101" s="229">
        <v>10893387</v>
      </c>
      <c r="L101" s="237">
        <v>2</v>
      </c>
      <c r="M101" s="229">
        <v>370000</v>
      </c>
      <c r="N101" s="231">
        <v>40714.699999999997</v>
      </c>
      <c r="O101" s="232">
        <v>4</v>
      </c>
      <c r="P101" s="233">
        <v>51</v>
      </c>
      <c r="Q101" s="232">
        <v>631</v>
      </c>
      <c r="R101" s="233">
        <v>6342</v>
      </c>
      <c r="S101" s="232">
        <v>62127</v>
      </c>
      <c r="T101" s="233">
        <v>601916</v>
      </c>
      <c r="U101" s="228"/>
      <c r="V101" s="228"/>
      <c r="X101" s="274"/>
    </row>
    <row r="102" spans="1:24" x14ac:dyDescent="0.15">
      <c r="A102" s="172">
        <v>43</v>
      </c>
      <c r="B102" s="173">
        <v>40107</v>
      </c>
      <c r="C102" s="174" t="s">
        <v>362</v>
      </c>
      <c r="D102" s="27">
        <v>4</v>
      </c>
      <c r="E102" s="27">
        <v>2</v>
      </c>
      <c r="F102" s="27">
        <v>4</v>
      </c>
      <c r="G102" s="27">
        <v>1</v>
      </c>
      <c r="H102" s="27">
        <v>0</v>
      </c>
      <c r="I102" s="27">
        <v>6</v>
      </c>
      <c r="J102" s="7">
        <v>7</v>
      </c>
      <c r="K102" s="222">
        <v>4941129</v>
      </c>
      <c r="L102" s="223" t="s">
        <v>23</v>
      </c>
      <c r="M102" s="224"/>
      <c r="N102" s="225">
        <v>370288</v>
      </c>
      <c r="O102" s="226">
        <v>3</v>
      </c>
      <c r="P102" s="227">
        <v>30</v>
      </c>
      <c r="Q102" s="226">
        <v>332</v>
      </c>
      <c r="R102" s="227">
        <v>3102</v>
      </c>
      <c r="S102" s="226">
        <v>33522</v>
      </c>
      <c r="T102" s="227">
        <v>336209</v>
      </c>
      <c r="V102" s="228"/>
      <c r="X102" s="274"/>
    </row>
    <row r="103" spans="1:24" x14ac:dyDescent="0.15">
      <c r="A103" s="178"/>
      <c r="B103" s="179">
        <v>40110</v>
      </c>
      <c r="C103" s="180" t="s">
        <v>363</v>
      </c>
      <c r="D103" s="19">
        <v>5</v>
      </c>
      <c r="E103" s="19">
        <v>0</v>
      </c>
      <c r="F103" s="19">
        <v>6</v>
      </c>
      <c r="G103" s="19">
        <v>4</v>
      </c>
      <c r="H103" s="19">
        <v>0</v>
      </c>
      <c r="I103" s="19">
        <v>1</v>
      </c>
      <c r="J103" s="13">
        <v>4</v>
      </c>
      <c r="K103" s="229">
        <v>11507296.5</v>
      </c>
      <c r="L103" s="237">
        <v>2</v>
      </c>
      <c r="M103" s="229">
        <v>470000</v>
      </c>
      <c r="N103" s="231">
        <v>197824.7</v>
      </c>
      <c r="O103" s="232">
        <v>7</v>
      </c>
      <c r="P103" s="233">
        <v>60</v>
      </c>
      <c r="Q103" s="232">
        <v>628</v>
      </c>
      <c r="R103" s="233">
        <v>5968</v>
      </c>
      <c r="S103" s="232">
        <v>63897</v>
      </c>
      <c r="T103" s="233">
        <v>643176</v>
      </c>
      <c r="V103" s="228"/>
      <c r="X103" s="274"/>
    </row>
    <row r="104" spans="1:24" x14ac:dyDescent="0.15">
      <c r="A104" s="172">
        <v>44</v>
      </c>
      <c r="B104" s="173">
        <v>40114</v>
      </c>
      <c r="C104" s="174" t="s">
        <v>362</v>
      </c>
      <c r="D104" s="27">
        <v>6</v>
      </c>
      <c r="E104" s="27">
        <v>8</v>
      </c>
      <c r="F104" s="27">
        <v>3</v>
      </c>
      <c r="G104" s="27">
        <v>4</v>
      </c>
      <c r="H104" s="27">
        <v>6</v>
      </c>
      <c r="I104" s="27">
        <v>6</v>
      </c>
      <c r="J104" s="7">
        <v>6</v>
      </c>
      <c r="K104" s="222">
        <v>4367145</v>
      </c>
      <c r="L104" s="234" t="s">
        <v>23</v>
      </c>
      <c r="M104" s="224"/>
      <c r="N104" s="225">
        <v>489113.3</v>
      </c>
      <c r="O104" s="226">
        <v>2</v>
      </c>
      <c r="P104" s="227">
        <v>48</v>
      </c>
      <c r="Q104" s="226">
        <v>401</v>
      </c>
      <c r="R104" s="227">
        <v>4076</v>
      </c>
      <c r="S104" s="226">
        <v>29091</v>
      </c>
      <c r="T104" s="227">
        <v>272536</v>
      </c>
      <c r="V104" s="228"/>
      <c r="X104" s="274"/>
    </row>
    <row r="105" spans="1:24" x14ac:dyDescent="0.15">
      <c r="A105" s="178"/>
      <c r="B105" s="179">
        <v>40117</v>
      </c>
      <c r="C105" s="180" t="s">
        <v>363</v>
      </c>
      <c r="D105" s="19">
        <v>1</v>
      </c>
      <c r="E105" s="19">
        <v>5</v>
      </c>
      <c r="F105" s="19">
        <v>6</v>
      </c>
      <c r="G105" s="19">
        <v>8</v>
      </c>
      <c r="H105" s="19">
        <v>9</v>
      </c>
      <c r="I105" s="19">
        <v>3</v>
      </c>
      <c r="J105" s="13">
        <v>4</v>
      </c>
      <c r="K105" s="229">
        <v>10635921</v>
      </c>
      <c r="L105" s="237" t="s">
        <v>23</v>
      </c>
      <c r="M105" s="229"/>
      <c r="N105" s="231">
        <v>1198529.2</v>
      </c>
      <c r="O105" s="232">
        <v>9</v>
      </c>
      <c r="P105" s="233">
        <v>58</v>
      </c>
      <c r="Q105" s="232">
        <v>617</v>
      </c>
      <c r="R105" s="233">
        <v>5929</v>
      </c>
      <c r="S105" s="232">
        <v>59977</v>
      </c>
      <c r="T105" s="233">
        <v>597271</v>
      </c>
      <c r="V105" s="228"/>
      <c r="X105" s="274"/>
    </row>
    <row r="106" spans="1:24" x14ac:dyDescent="0.15">
      <c r="A106" s="172">
        <v>45</v>
      </c>
      <c r="B106" s="173">
        <v>40121</v>
      </c>
      <c r="C106" s="174" t="s">
        <v>362</v>
      </c>
      <c r="D106" s="27">
        <v>7</v>
      </c>
      <c r="E106" s="27">
        <v>2</v>
      </c>
      <c r="F106" s="27">
        <v>8</v>
      </c>
      <c r="G106" s="27">
        <v>0</v>
      </c>
      <c r="H106" s="27">
        <v>4</v>
      </c>
      <c r="I106" s="27">
        <v>9</v>
      </c>
      <c r="J106" s="7">
        <v>9</v>
      </c>
      <c r="K106" s="222">
        <v>4326514.5</v>
      </c>
      <c r="L106" s="223" t="s">
        <v>23</v>
      </c>
      <c r="M106" s="224"/>
      <c r="N106" s="225">
        <v>1487107.7</v>
      </c>
      <c r="O106" s="226">
        <v>2</v>
      </c>
      <c r="P106" s="227">
        <v>28</v>
      </c>
      <c r="Q106" s="226">
        <v>237</v>
      </c>
      <c r="R106" s="227">
        <v>2410</v>
      </c>
      <c r="S106" s="226">
        <v>25967</v>
      </c>
      <c r="T106" s="227">
        <v>242626</v>
      </c>
      <c r="V106" s="228"/>
      <c r="X106" s="274"/>
    </row>
    <row r="107" spans="1:24" x14ac:dyDescent="0.15">
      <c r="A107" s="178"/>
      <c r="B107" s="179">
        <v>40124</v>
      </c>
      <c r="C107" s="180" t="s">
        <v>363</v>
      </c>
      <c r="D107" s="19">
        <v>7</v>
      </c>
      <c r="E107" s="19">
        <v>2</v>
      </c>
      <c r="F107" s="19">
        <v>3</v>
      </c>
      <c r="G107" s="19">
        <v>9</v>
      </c>
      <c r="H107" s="19">
        <v>1</v>
      </c>
      <c r="I107" s="19">
        <v>0</v>
      </c>
      <c r="J107" s="13">
        <v>7</v>
      </c>
      <c r="K107" s="229">
        <v>10498419</v>
      </c>
      <c r="L107" s="237" t="s">
        <v>23</v>
      </c>
      <c r="M107" s="229"/>
      <c r="N107" s="231">
        <v>2187352.2000000002</v>
      </c>
      <c r="O107" s="232">
        <v>6</v>
      </c>
      <c r="P107" s="233">
        <v>77</v>
      </c>
      <c r="Q107" s="232">
        <v>579</v>
      </c>
      <c r="R107" s="233">
        <v>6227</v>
      </c>
      <c r="S107" s="232">
        <v>62843</v>
      </c>
      <c r="T107" s="233">
        <v>734620</v>
      </c>
      <c r="V107" s="228"/>
      <c r="X107" s="274"/>
    </row>
    <row r="108" spans="1:24" x14ac:dyDescent="0.15">
      <c r="A108" s="172">
        <v>46</v>
      </c>
      <c r="B108" s="173">
        <v>40128</v>
      </c>
      <c r="C108" s="174" t="s">
        <v>362</v>
      </c>
      <c r="D108" s="27">
        <v>1</v>
      </c>
      <c r="E108" s="27">
        <v>1</v>
      </c>
      <c r="F108" s="27">
        <v>6</v>
      </c>
      <c r="G108" s="27">
        <v>9</v>
      </c>
      <c r="H108" s="27">
        <v>2</v>
      </c>
      <c r="I108" s="27">
        <v>3</v>
      </c>
      <c r="J108" s="7">
        <v>2</v>
      </c>
      <c r="K108" s="222">
        <v>4438872</v>
      </c>
      <c r="L108" s="234" t="s">
        <v>23</v>
      </c>
      <c r="M108" s="224"/>
      <c r="N108" s="225">
        <v>2483425</v>
      </c>
      <c r="O108" s="226">
        <v>4</v>
      </c>
      <c r="P108" s="227">
        <v>19</v>
      </c>
      <c r="Q108" s="226">
        <v>205</v>
      </c>
      <c r="R108" s="227">
        <v>2328</v>
      </c>
      <c r="S108" s="226">
        <v>23216</v>
      </c>
      <c r="T108" s="227">
        <v>234053</v>
      </c>
      <c r="V108" s="228"/>
      <c r="X108" s="274"/>
    </row>
    <row r="109" spans="1:24" x14ac:dyDescent="0.15">
      <c r="A109" s="178"/>
      <c r="B109" s="179">
        <v>40131</v>
      </c>
      <c r="C109" s="180" t="s">
        <v>363</v>
      </c>
      <c r="D109" s="19">
        <v>1</v>
      </c>
      <c r="E109" s="19">
        <v>5</v>
      </c>
      <c r="F109" s="19">
        <v>3</v>
      </c>
      <c r="G109" s="19">
        <v>0</v>
      </c>
      <c r="H109" s="19">
        <v>7</v>
      </c>
      <c r="I109" s="19">
        <v>6</v>
      </c>
      <c r="J109" s="13">
        <v>4</v>
      </c>
      <c r="K109" s="229">
        <v>11159389.5</v>
      </c>
      <c r="L109" s="230">
        <v>1</v>
      </c>
      <c r="M109" s="229">
        <v>3170000</v>
      </c>
      <c r="N109" s="231">
        <v>57756.3</v>
      </c>
      <c r="O109" s="232">
        <v>5</v>
      </c>
      <c r="P109" s="233">
        <v>74</v>
      </c>
      <c r="Q109" s="232">
        <v>642</v>
      </c>
      <c r="R109" s="233">
        <v>6648</v>
      </c>
      <c r="S109" s="232">
        <v>65371</v>
      </c>
      <c r="T109" s="233">
        <v>631780</v>
      </c>
      <c r="V109" s="228"/>
      <c r="X109" s="274"/>
    </row>
    <row r="110" spans="1:24" x14ac:dyDescent="0.15">
      <c r="A110" s="172">
        <v>47</v>
      </c>
      <c r="B110" s="173">
        <v>40135</v>
      </c>
      <c r="C110" s="174" t="s">
        <v>362</v>
      </c>
      <c r="D110" s="27">
        <v>6</v>
      </c>
      <c r="E110" s="27">
        <v>0</v>
      </c>
      <c r="F110" s="27">
        <v>0</v>
      </c>
      <c r="G110" s="27">
        <v>4</v>
      </c>
      <c r="H110" s="27">
        <v>6</v>
      </c>
      <c r="I110" s="27">
        <v>3</v>
      </c>
      <c r="J110" s="7">
        <v>2</v>
      </c>
      <c r="K110" s="222">
        <v>4261017</v>
      </c>
      <c r="L110" s="234" t="s">
        <v>23</v>
      </c>
      <c r="M110" s="224"/>
      <c r="N110" s="225">
        <v>341966.1</v>
      </c>
      <c r="O110" s="226">
        <v>3</v>
      </c>
      <c r="P110" s="227">
        <v>25</v>
      </c>
      <c r="Q110" s="226">
        <v>208</v>
      </c>
      <c r="R110" s="227">
        <v>2221</v>
      </c>
      <c r="S110" s="226">
        <v>22155</v>
      </c>
      <c r="T110" s="227">
        <v>223201</v>
      </c>
      <c r="V110" s="228"/>
      <c r="X110" s="274"/>
    </row>
    <row r="111" spans="1:24" x14ac:dyDescent="0.15">
      <c r="A111" s="178"/>
      <c r="B111" s="179">
        <v>40138</v>
      </c>
      <c r="C111" s="180" t="s">
        <v>363</v>
      </c>
      <c r="D111" s="19">
        <v>0</v>
      </c>
      <c r="E111" s="19">
        <v>9</v>
      </c>
      <c r="F111" s="19">
        <v>1</v>
      </c>
      <c r="G111" s="19">
        <v>2</v>
      </c>
      <c r="H111" s="19">
        <v>7</v>
      </c>
      <c r="I111" s="19">
        <v>7</v>
      </c>
      <c r="J111" s="13">
        <v>9</v>
      </c>
      <c r="K111" s="229">
        <v>10609947</v>
      </c>
      <c r="L111" s="230">
        <v>1</v>
      </c>
      <c r="M111" s="229">
        <v>970000</v>
      </c>
      <c r="N111" s="231">
        <v>79649.600000000006</v>
      </c>
      <c r="O111" s="232">
        <v>4</v>
      </c>
      <c r="P111" s="233">
        <v>72</v>
      </c>
      <c r="Q111" s="232">
        <v>602</v>
      </c>
      <c r="R111" s="233">
        <v>6008</v>
      </c>
      <c r="S111" s="232">
        <v>63665</v>
      </c>
      <c r="T111" s="233">
        <v>621375</v>
      </c>
      <c r="V111" s="228"/>
      <c r="X111" s="274"/>
    </row>
    <row r="112" spans="1:24" x14ac:dyDescent="0.15">
      <c r="A112" s="172">
        <v>48</v>
      </c>
      <c r="B112" s="173">
        <v>40142</v>
      </c>
      <c r="C112" s="174" t="s">
        <v>362</v>
      </c>
      <c r="D112" s="27">
        <v>3</v>
      </c>
      <c r="E112" s="27">
        <v>5</v>
      </c>
      <c r="F112" s="27">
        <v>6</v>
      </c>
      <c r="G112" s="27">
        <v>3</v>
      </c>
      <c r="H112" s="27">
        <v>1</v>
      </c>
      <c r="I112" s="27">
        <v>0</v>
      </c>
      <c r="J112" s="7">
        <v>3</v>
      </c>
      <c r="K112" s="222">
        <v>4400800.5</v>
      </c>
      <c r="L112" s="223" t="s">
        <v>23</v>
      </c>
      <c r="M112" s="224"/>
      <c r="N112" s="225">
        <v>373183</v>
      </c>
      <c r="O112" s="226" t="s">
        <v>17</v>
      </c>
      <c r="P112" s="227">
        <v>23</v>
      </c>
      <c r="Q112" s="226">
        <v>239</v>
      </c>
      <c r="R112" s="227">
        <v>2236</v>
      </c>
      <c r="S112" s="226">
        <v>22789</v>
      </c>
      <c r="T112" s="227">
        <v>266845</v>
      </c>
      <c r="V112" s="228"/>
      <c r="X112" s="274"/>
    </row>
    <row r="113" spans="1:24" x14ac:dyDescent="0.15">
      <c r="A113" s="178"/>
      <c r="B113" s="179">
        <v>40145</v>
      </c>
      <c r="C113" s="180" t="s">
        <v>363</v>
      </c>
      <c r="D113" s="19">
        <v>9</v>
      </c>
      <c r="E113" s="19">
        <v>8</v>
      </c>
      <c r="F113" s="19">
        <v>0</v>
      </c>
      <c r="G113" s="19">
        <v>3</v>
      </c>
      <c r="H113" s="19">
        <v>6</v>
      </c>
      <c r="I113" s="19">
        <v>7</v>
      </c>
      <c r="J113" s="13">
        <v>6</v>
      </c>
      <c r="K113" s="229">
        <v>10501086</v>
      </c>
      <c r="L113" s="230">
        <v>1</v>
      </c>
      <c r="M113" s="229">
        <v>1070000</v>
      </c>
      <c r="N113" s="231">
        <v>3605.4</v>
      </c>
      <c r="O113" s="232">
        <v>7</v>
      </c>
      <c r="P113" s="233">
        <v>82</v>
      </c>
      <c r="Q113" s="232">
        <v>673</v>
      </c>
      <c r="R113" s="233">
        <v>6526</v>
      </c>
      <c r="S113" s="232">
        <v>64317</v>
      </c>
      <c r="T113" s="233">
        <v>649642</v>
      </c>
      <c r="V113" s="228"/>
      <c r="X113" s="274"/>
    </row>
    <row r="114" spans="1:24" x14ac:dyDescent="0.15">
      <c r="A114" s="172">
        <v>49</v>
      </c>
      <c r="B114" s="173">
        <v>40149</v>
      </c>
      <c r="C114" s="174" t="s">
        <v>362</v>
      </c>
      <c r="D114" s="27">
        <v>1</v>
      </c>
      <c r="E114" s="27">
        <v>1</v>
      </c>
      <c r="F114" s="27">
        <v>5</v>
      </c>
      <c r="G114" s="27">
        <v>4</v>
      </c>
      <c r="H114" s="27">
        <v>9</v>
      </c>
      <c r="I114" s="27">
        <v>1</v>
      </c>
      <c r="J114" s="7">
        <v>0</v>
      </c>
      <c r="K114" s="222">
        <v>5116651.5</v>
      </c>
      <c r="L114" s="223" t="s">
        <v>23</v>
      </c>
      <c r="M114" s="224"/>
      <c r="N114" s="225">
        <v>344886.1</v>
      </c>
      <c r="O114" s="226">
        <v>4</v>
      </c>
      <c r="P114" s="227">
        <v>28</v>
      </c>
      <c r="Q114" s="226">
        <v>241</v>
      </c>
      <c r="R114" s="227">
        <v>2451</v>
      </c>
      <c r="S114" s="226">
        <v>25041</v>
      </c>
      <c r="T114" s="227">
        <v>255371</v>
      </c>
      <c r="V114" s="228"/>
      <c r="X114" s="274"/>
    </row>
    <row r="115" spans="1:24" x14ac:dyDescent="0.15">
      <c r="A115" s="178"/>
      <c r="B115" s="179">
        <v>40152</v>
      </c>
      <c r="C115" s="180" t="s">
        <v>363</v>
      </c>
      <c r="D115" s="19">
        <v>9</v>
      </c>
      <c r="E115" s="19">
        <v>0</v>
      </c>
      <c r="F115" s="19">
        <v>9</v>
      </c>
      <c r="G115" s="19">
        <v>7</v>
      </c>
      <c r="H115" s="19">
        <v>7</v>
      </c>
      <c r="I115" s="19">
        <v>3</v>
      </c>
      <c r="J115" s="13">
        <v>9</v>
      </c>
      <c r="K115" s="229">
        <v>12199837.5</v>
      </c>
      <c r="L115" s="230" t="s">
        <v>23</v>
      </c>
      <c r="M115" s="229"/>
      <c r="N115" s="231">
        <v>1158615.3</v>
      </c>
      <c r="O115" s="232">
        <v>6</v>
      </c>
      <c r="P115" s="233">
        <v>62</v>
      </c>
      <c r="Q115" s="232">
        <v>736</v>
      </c>
      <c r="R115" s="233">
        <v>7170</v>
      </c>
      <c r="S115" s="232">
        <v>72053</v>
      </c>
      <c r="T115" s="233">
        <v>719583</v>
      </c>
      <c r="V115" s="228"/>
      <c r="X115" s="274"/>
    </row>
    <row r="116" spans="1:24" x14ac:dyDescent="0.15">
      <c r="A116" s="172">
        <v>50</v>
      </c>
      <c r="B116" s="173">
        <v>40156</v>
      </c>
      <c r="C116" s="174" t="s">
        <v>362</v>
      </c>
      <c r="D116" s="27">
        <v>8</v>
      </c>
      <c r="E116" s="27">
        <v>8</v>
      </c>
      <c r="F116" s="27">
        <v>3</v>
      </c>
      <c r="G116" s="27">
        <v>7</v>
      </c>
      <c r="H116" s="27">
        <v>2</v>
      </c>
      <c r="I116" s="27">
        <v>6</v>
      </c>
      <c r="J116" s="7">
        <v>4</v>
      </c>
      <c r="K116" s="222">
        <v>5032656</v>
      </c>
      <c r="L116" s="223" t="s">
        <v>23</v>
      </c>
      <c r="M116" s="224"/>
      <c r="N116" s="225">
        <v>1494293.5</v>
      </c>
      <c r="O116" s="226">
        <v>4</v>
      </c>
      <c r="P116" s="227">
        <v>25</v>
      </c>
      <c r="Q116" s="226">
        <v>287</v>
      </c>
      <c r="R116" s="227">
        <v>2998</v>
      </c>
      <c r="S116" s="226">
        <v>29531</v>
      </c>
      <c r="T116" s="227">
        <v>287519</v>
      </c>
      <c r="V116" s="228"/>
      <c r="X116" s="274"/>
    </row>
    <row r="117" spans="1:24" x14ac:dyDescent="0.15">
      <c r="A117" s="178"/>
      <c r="B117" s="179">
        <v>40159</v>
      </c>
      <c r="C117" s="180" t="s">
        <v>363</v>
      </c>
      <c r="D117" s="19">
        <v>7</v>
      </c>
      <c r="E117" s="19">
        <v>8</v>
      </c>
      <c r="F117" s="19">
        <v>4</v>
      </c>
      <c r="G117" s="19">
        <v>0</v>
      </c>
      <c r="H117" s="19">
        <v>8</v>
      </c>
      <c r="I117" s="19">
        <v>8</v>
      </c>
      <c r="J117" s="13">
        <v>1</v>
      </c>
      <c r="K117" s="229">
        <v>11787151.5</v>
      </c>
      <c r="L117" s="230" t="s">
        <v>23</v>
      </c>
      <c r="M117" s="229"/>
      <c r="N117" s="231">
        <v>2280496.5</v>
      </c>
      <c r="O117" s="232">
        <v>4</v>
      </c>
      <c r="P117" s="233">
        <v>60</v>
      </c>
      <c r="Q117" s="232">
        <v>637</v>
      </c>
      <c r="R117" s="233">
        <v>6148</v>
      </c>
      <c r="S117" s="232">
        <v>62075</v>
      </c>
      <c r="T117" s="233">
        <v>620840</v>
      </c>
      <c r="V117" s="228"/>
      <c r="X117" s="274"/>
    </row>
    <row r="118" spans="1:24" x14ac:dyDescent="0.15">
      <c r="A118" s="172">
        <v>51</v>
      </c>
      <c r="B118" s="173">
        <v>40163</v>
      </c>
      <c r="C118" s="174" t="s">
        <v>362</v>
      </c>
      <c r="D118" s="27">
        <v>5</v>
      </c>
      <c r="E118" s="27">
        <v>6</v>
      </c>
      <c r="F118" s="27">
        <v>4</v>
      </c>
      <c r="G118" s="27">
        <v>2</v>
      </c>
      <c r="H118" s="27">
        <v>0</v>
      </c>
      <c r="I118" s="27">
        <v>5</v>
      </c>
      <c r="J118" s="7">
        <v>4</v>
      </c>
      <c r="K118" s="222">
        <v>4538271</v>
      </c>
      <c r="L118" s="223" t="s">
        <v>23</v>
      </c>
      <c r="M118" s="224"/>
      <c r="N118" s="225">
        <v>2583199.2000000002</v>
      </c>
      <c r="O118" s="226">
        <v>1</v>
      </c>
      <c r="P118" s="227">
        <v>20</v>
      </c>
      <c r="Q118" s="226">
        <v>251</v>
      </c>
      <c r="R118" s="227">
        <v>2653</v>
      </c>
      <c r="S118" s="226">
        <v>27490</v>
      </c>
      <c r="T118" s="227">
        <v>256623</v>
      </c>
      <c r="V118" s="228"/>
      <c r="X118" s="274"/>
    </row>
    <row r="119" spans="1:24" x14ac:dyDescent="0.15">
      <c r="A119" s="178"/>
      <c r="B119" s="179">
        <v>40166</v>
      </c>
      <c r="C119" s="180" t="s">
        <v>363</v>
      </c>
      <c r="D119" s="19">
        <v>9</v>
      </c>
      <c r="E119" s="19">
        <v>9</v>
      </c>
      <c r="F119" s="19">
        <v>7</v>
      </c>
      <c r="G119" s="19">
        <v>9</v>
      </c>
      <c r="H119" s="19">
        <v>0</v>
      </c>
      <c r="I119" s="19">
        <v>0</v>
      </c>
      <c r="J119" s="13">
        <v>8</v>
      </c>
      <c r="K119" s="229">
        <v>10925214</v>
      </c>
      <c r="L119" s="230" t="s">
        <v>23</v>
      </c>
      <c r="M119" s="229"/>
      <c r="N119" s="231">
        <v>3311911</v>
      </c>
      <c r="O119" s="232">
        <v>6</v>
      </c>
      <c r="P119" s="233">
        <v>55</v>
      </c>
      <c r="Q119" s="232">
        <v>526</v>
      </c>
      <c r="R119" s="233">
        <v>5441</v>
      </c>
      <c r="S119" s="232">
        <v>61124</v>
      </c>
      <c r="T119" s="233">
        <v>744722</v>
      </c>
      <c r="V119" s="228"/>
      <c r="X119" s="274"/>
    </row>
    <row r="120" spans="1:24" x14ac:dyDescent="0.15">
      <c r="A120" s="172">
        <v>52</v>
      </c>
      <c r="B120" s="173">
        <v>40170</v>
      </c>
      <c r="C120" s="174" t="s">
        <v>362</v>
      </c>
      <c r="D120" s="27">
        <v>9</v>
      </c>
      <c r="E120" s="27">
        <v>1</v>
      </c>
      <c r="F120" s="27">
        <v>0</v>
      </c>
      <c r="G120" s="27">
        <v>0</v>
      </c>
      <c r="H120" s="27">
        <v>6</v>
      </c>
      <c r="I120" s="27">
        <v>3</v>
      </c>
      <c r="J120" s="7">
        <v>8</v>
      </c>
      <c r="K120" s="222">
        <v>5289597</v>
      </c>
      <c r="L120" s="223" t="s">
        <v>23</v>
      </c>
      <c r="M120" s="224"/>
      <c r="N120" s="225">
        <v>3664727.1</v>
      </c>
      <c r="O120" s="226">
        <v>2</v>
      </c>
      <c r="P120" s="227">
        <v>34</v>
      </c>
      <c r="Q120" s="226">
        <v>364</v>
      </c>
      <c r="R120" s="227">
        <v>3633</v>
      </c>
      <c r="S120" s="226">
        <v>34823</v>
      </c>
      <c r="T120" s="227">
        <v>343190</v>
      </c>
      <c r="V120" s="228"/>
      <c r="X120" s="274"/>
    </row>
    <row r="121" spans="1:24" x14ac:dyDescent="0.15">
      <c r="A121" s="178"/>
      <c r="B121" s="179">
        <v>40173</v>
      </c>
      <c r="C121" s="180" t="s">
        <v>363</v>
      </c>
      <c r="D121" s="38">
        <v>7</v>
      </c>
      <c r="E121" s="38">
        <v>7</v>
      </c>
      <c r="F121" s="38">
        <v>2</v>
      </c>
      <c r="G121" s="38">
        <v>5</v>
      </c>
      <c r="H121" s="38">
        <v>4</v>
      </c>
      <c r="I121" s="38">
        <v>5</v>
      </c>
      <c r="J121" s="39">
        <v>6</v>
      </c>
      <c r="K121" s="229">
        <v>10606750.5</v>
      </c>
      <c r="L121" s="237">
        <v>1</v>
      </c>
      <c r="M121" s="229">
        <v>4370000</v>
      </c>
      <c r="N121" s="231">
        <v>2197.4</v>
      </c>
      <c r="O121" s="232">
        <v>9</v>
      </c>
      <c r="P121" s="233">
        <v>60</v>
      </c>
      <c r="Q121" s="232">
        <v>680</v>
      </c>
      <c r="R121" s="233">
        <v>7185</v>
      </c>
      <c r="S121" s="232">
        <v>69430</v>
      </c>
      <c r="T121" s="233">
        <v>651859</v>
      </c>
      <c r="V121" s="228"/>
      <c r="X121" s="274"/>
    </row>
    <row r="122" spans="1:24" x14ac:dyDescent="0.15">
      <c r="A122" s="172">
        <v>53</v>
      </c>
      <c r="B122" s="173">
        <v>40177</v>
      </c>
      <c r="C122" s="174" t="s">
        <v>362</v>
      </c>
      <c r="D122" s="27">
        <v>8</v>
      </c>
      <c r="E122" s="27">
        <v>8</v>
      </c>
      <c r="F122" s="27">
        <v>6</v>
      </c>
      <c r="G122" s="27">
        <v>5</v>
      </c>
      <c r="H122" s="27">
        <v>7</v>
      </c>
      <c r="I122" s="27">
        <v>5</v>
      </c>
      <c r="J122" s="7">
        <v>2</v>
      </c>
      <c r="K122" s="222">
        <v>4849173</v>
      </c>
      <c r="L122" s="223" t="s">
        <v>23</v>
      </c>
      <c r="M122" s="224"/>
      <c r="N122" s="225">
        <v>325637.2</v>
      </c>
      <c r="O122" s="226">
        <v>1</v>
      </c>
      <c r="P122" s="227">
        <v>28</v>
      </c>
      <c r="Q122" s="226">
        <v>291</v>
      </c>
      <c r="R122" s="227">
        <v>2873</v>
      </c>
      <c r="S122" s="226">
        <v>27007</v>
      </c>
      <c r="T122" s="227">
        <v>255790</v>
      </c>
      <c r="V122" s="228"/>
      <c r="X122" s="274"/>
    </row>
    <row r="123" spans="1:24" x14ac:dyDescent="0.15">
      <c r="A123" s="178"/>
      <c r="B123" s="179">
        <v>40180</v>
      </c>
      <c r="C123" s="180" t="s">
        <v>363</v>
      </c>
      <c r="D123" s="38">
        <v>5</v>
      </c>
      <c r="E123" s="38">
        <v>2</v>
      </c>
      <c r="F123" s="38">
        <v>4</v>
      </c>
      <c r="G123" s="38">
        <v>4</v>
      </c>
      <c r="H123" s="38">
        <v>2</v>
      </c>
      <c r="I123" s="38">
        <v>2</v>
      </c>
      <c r="J123" s="39">
        <v>7</v>
      </c>
      <c r="K123" s="229">
        <v>10981611</v>
      </c>
      <c r="L123" s="230" t="s">
        <v>23</v>
      </c>
      <c r="M123" s="229"/>
      <c r="N123" s="231">
        <v>1058110.7</v>
      </c>
      <c r="O123" s="232">
        <v>14</v>
      </c>
      <c r="P123" s="233">
        <v>91</v>
      </c>
      <c r="Q123" s="232">
        <v>736</v>
      </c>
      <c r="R123" s="233">
        <v>7607</v>
      </c>
      <c r="S123" s="232">
        <v>78132</v>
      </c>
      <c r="T123" s="233">
        <v>754302</v>
      </c>
      <c r="V123" s="228"/>
      <c r="X123" s="274"/>
    </row>
    <row r="124" spans="1:24" x14ac:dyDescent="0.15">
      <c r="A124" s="45"/>
      <c r="B124" s="46"/>
      <c r="C124" s="46"/>
      <c r="D124" s="276"/>
      <c r="E124" s="276"/>
      <c r="F124" s="276"/>
      <c r="G124" s="276"/>
      <c r="H124" s="276"/>
      <c r="I124" s="276" t="s">
        <v>24</v>
      </c>
      <c r="J124" s="276"/>
      <c r="K124" s="277"/>
      <c r="L124" s="278">
        <f>SUM(L70:L123)</f>
        <v>31</v>
      </c>
      <c r="M124" s="229"/>
      <c r="N124" s="278"/>
      <c r="O124" s="278">
        <f t="shared" ref="O124:T124" si="1">SUM(O70:O123)</f>
        <v>253</v>
      </c>
      <c r="P124" s="278">
        <f t="shared" si="1"/>
        <v>2733</v>
      </c>
      <c r="Q124" s="278">
        <f t="shared" si="1"/>
        <v>26560</v>
      </c>
      <c r="R124" s="278">
        <f t="shared" si="1"/>
        <v>266297</v>
      </c>
      <c r="S124" s="278">
        <f t="shared" si="1"/>
        <v>2658107</v>
      </c>
      <c r="T124" s="272">
        <f t="shared" si="1"/>
        <v>26600120</v>
      </c>
      <c r="V124" s="228"/>
      <c r="X124" s="274"/>
    </row>
    <row r="125" spans="1:24" x14ac:dyDescent="0.15">
      <c r="K125" s="222"/>
      <c r="N125" s="222"/>
      <c r="V125" s="280"/>
      <c r="X125" s="274"/>
    </row>
    <row r="126" spans="1:24" x14ac:dyDescent="0.15">
      <c r="M126" s="281"/>
      <c r="N126" s="281"/>
    </row>
    <row r="129" spans="12:24" x14ac:dyDescent="0.15">
      <c r="L129" s="282"/>
      <c r="N129" s="282"/>
      <c r="O129" s="282"/>
      <c r="P129" s="282"/>
      <c r="Q129" s="282"/>
      <c r="R129" s="282"/>
      <c r="S129" s="282"/>
      <c r="T129" s="282"/>
      <c r="V129" s="282"/>
      <c r="W129" s="283"/>
      <c r="X129" s="283"/>
    </row>
    <row r="130" spans="12:24" x14ac:dyDescent="0.15">
      <c r="L130" s="282"/>
      <c r="N130" s="282"/>
      <c r="O130" s="282"/>
      <c r="P130" s="282"/>
      <c r="Q130" s="282"/>
      <c r="R130" s="282"/>
      <c r="S130" s="282"/>
      <c r="T130" s="282"/>
      <c r="V130" s="282"/>
      <c r="W130" s="283"/>
      <c r="X130" s="283"/>
    </row>
    <row r="131" spans="12:24" x14ac:dyDescent="0.15">
      <c r="L131" s="282"/>
      <c r="N131" s="282"/>
      <c r="O131" s="282"/>
      <c r="P131" s="282"/>
      <c r="Q131" s="282"/>
      <c r="R131" s="282"/>
      <c r="S131" s="282"/>
      <c r="T131" s="282"/>
      <c r="V131" s="282"/>
      <c r="W131" s="283"/>
      <c r="X131" s="283"/>
    </row>
    <row r="132" spans="12:24" x14ac:dyDescent="0.15">
      <c r="L132" s="282"/>
      <c r="N132" s="282"/>
      <c r="O132" s="282"/>
      <c r="P132" s="282"/>
      <c r="Q132" s="282"/>
      <c r="R132" s="282"/>
      <c r="S132" s="282"/>
      <c r="T132" s="282"/>
      <c r="V132" s="282"/>
      <c r="W132" s="283"/>
      <c r="X132" s="283"/>
    </row>
    <row r="133" spans="12:24" x14ac:dyDescent="0.15">
      <c r="L133" s="282"/>
      <c r="N133" s="282"/>
      <c r="O133" s="282"/>
      <c r="P133" s="282"/>
      <c r="Q133" s="282"/>
      <c r="R133" s="282"/>
      <c r="S133" s="282"/>
      <c r="T133" s="282"/>
      <c r="V133" s="282"/>
      <c r="W133" s="282"/>
    </row>
    <row r="134" spans="12:24" x14ac:dyDescent="0.15">
      <c r="L134" s="282"/>
      <c r="N134" s="282"/>
      <c r="O134" s="282"/>
      <c r="P134" s="282"/>
      <c r="Q134" s="282"/>
      <c r="R134" s="282"/>
      <c r="S134" s="282"/>
      <c r="T134" s="282"/>
      <c r="V134" s="282"/>
      <c r="W134" s="283"/>
      <c r="X134" s="283"/>
    </row>
    <row r="135" spans="12:24" x14ac:dyDescent="0.15">
      <c r="L135" s="282"/>
      <c r="N135" s="282"/>
      <c r="O135" s="282"/>
      <c r="P135" s="282"/>
      <c r="Q135" s="282"/>
      <c r="R135" s="282"/>
      <c r="S135" s="282"/>
      <c r="T135" s="282"/>
      <c r="V135" s="282"/>
      <c r="W135" s="283"/>
      <c r="X135" s="283"/>
    </row>
    <row r="136" spans="12:24" x14ac:dyDescent="0.15">
      <c r="L136" s="282"/>
      <c r="N136" s="282"/>
      <c r="O136" s="282"/>
      <c r="P136" s="282"/>
      <c r="Q136" s="282"/>
      <c r="R136" s="282"/>
      <c r="S136" s="282"/>
      <c r="T136" s="282"/>
      <c r="V136" s="282"/>
      <c r="W136" s="282"/>
    </row>
    <row r="137" spans="12:24" x14ac:dyDescent="0.15">
      <c r="L137" s="282"/>
      <c r="N137" s="282"/>
      <c r="O137" s="282"/>
      <c r="P137" s="282"/>
      <c r="Q137" s="282"/>
      <c r="R137" s="282"/>
      <c r="S137" s="282"/>
      <c r="T137" s="282"/>
      <c r="V137" s="282"/>
      <c r="W137" s="283"/>
      <c r="X137" s="283"/>
    </row>
  </sheetData>
  <phoneticPr fontId="0" type="noConversion"/>
  <printOptions horizontalCentered="1" verticalCentered="1"/>
  <pageMargins left="0" right="0" top="0" bottom="0" header="0.51181102300000003" footer="0.51181102300000003"/>
  <pageSetup paperSize="9" scale="87" orientation="landscape" horizontalDpi="4294967292" verticalDpi="4294967292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124"/>
  <sheetViews>
    <sheetView zoomScaleNormal="100" workbookViewId="0"/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1" ht="14.1" customHeight="1" x14ac:dyDescent="0.2">
      <c r="A2" s="1" t="s">
        <v>364</v>
      </c>
      <c r="T2" s="3" t="s">
        <v>409</v>
      </c>
    </row>
    <row r="3" spans="1:21" ht="11.1" customHeight="1" x14ac:dyDescent="0.15">
      <c r="A3" s="6" t="s">
        <v>2</v>
      </c>
    </row>
    <row r="4" spans="1:21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1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1" ht="11.1" customHeight="1" x14ac:dyDescent="0.15">
      <c r="A6" s="13" t="s">
        <v>428</v>
      </c>
      <c r="B6" s="14">
        <v>2010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366</v>
      </c>
      <c r="M6" s="18"/>
      <c r="N6" s="13" t="s">
        <v>367</v>
      </c>
      <c r="O6" s="239">
        <v>70000</v>
      </c>
      <c r="P6" s="239">
        <v>7000</v>
      </c>
      <c r="Q6" s="239">
        <v>700</v>
      </c>
      <c r="R6" s="239">
        <v>70</v>
      </c>
      <c r="S6" s="239">
        <v>7</v>
      </c>
      <c r="T6" s="239">
        <v>2.5</v>
      </c>
    </row>
    <row r="7" spans="1:21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1" x14ac:dyDescent="0.15">
      <c r="A8" s="172">
        <v>1</v>
      </c>
      <c r="B8" s="284">
        <v>40184</v>
      </c>
      <c r="C8" s="174" t="s">
        <v>362</v>
      </c>
      <c r="D8" s="27">
        <v>8</v>
      </c>
      <c r="E8" s="27">
        <v>1</v>
      </c>
      <c r="F8" s="27">
        <v>8</v>
      </c>
      <c r="G8" s="27">
        <v>2</v>
      </c>
      <c r="H8" s="27">
        <v>5</v>
      </c>
      <c r="I8" s="27">
        <v>6</v>
      </c>
      <c r="J8" s="7">
        <v>4</v>
      </c>
      <c r="K8" s="222">
        <v>4449526.5</v>
      </c>
      <c r="L8" s="223" t="s">
        <v>23</v>
      </c>
      <c r="M8" s="224"/>
      <c r="N8" s="224">
        <v>1354894.1</v>
      </c>
      <c r="O8" s="226">
        <v>4</v>
      </c>
      <c r="P8" s="227">
        <v>20</v>
      </c>
      <c r="Q8" s="226">
        <v>273</v>
      </c>
      <c r="R8" s="227">
        <v>2691</v>
      </c>
      <c r="S8" s="226">
        <v>26259</v>
      </c>
      <c r="T8" s="227">
        <v>252363</v>
      </c>
    </row>
    <row r="9" spans="1:21" x14ac:dyDescent="0.15">
      <c r="A9" s="178"/>
      <c r="B9" s="179">
        <v>40187</v>
      </c>
      <c r="C9" s="180" t="s">
        <v>363</v>
      </c>
      <c r="D9" s="19">
        <v>9</v>
      </c>
      <c r="E9" s="19">
        <v>6</v>
      </c>
      <c r="F9" s="19">
        <v>4</v>
      </c>
      <c r="G9" s="19">
        <v>5</v>
      </c>
      <c r="H9" s="19">
        <v>2</v>
      </c>
      <c r="I9" s="19">
        <v>6</v>
      </c>
      <c r="J9" s="13">
        <v>9</v>
      </c>
      <c r="K9" s="229">
        <v>10860441</v>
      </c>
      <c r="L9" s="237" t="s">
        <v>23</v>
      </c>
      <c r="M9" s="229"/>
      <c r="N9" s="231">
        <v>2079285.5</v>
      </c>
      <c r="O9" s="232">
        <v>8</v>
      </c>
      <c r="P9" s="233">
        <v>71</v>
      </c>
      <c r="Q9" s="232">
        <v>634</v>
      </c>
      <c r="R9" s="233">
        <v>6743</v>
      </c>
      <c r="S9" s="232">
        <v>66638</v>
      </c>
      <c r="T9" s="233">
        <v>637071</v>
      </c>
      <c r="U9">
        <v>737224</v>
      </c>
    </row>
    <row r="10" spans="1:21" x14ac:dyDescent="0.15">
      <c r="A10" s="172">
        <v>2</v>
      </c>
      <c r="B10" s="173">
        <v>40191</v>
      </c>
      <c r="C10" s="174" t="s">
        <v>362</v>
      </c>
      <c r="D10" s="238">
        <v>4</v>
      </c>
      <c r="E10" s="27">
        <v>8</v>
      </c>
      <c r="F10" s="27">
        <v>1</v>
      </c>
      <c r="G10" s="27">
        <v>5</v>
      </c>
      <c r="H10" s="27">
        <v>7</v>
      </c>
      <c r="I10" s="27">
        <v>0</v>
      </c>
      <c r="J10" s="7">
        <v>5</v>
      </c>
      <c r="K10" s="222">
        <v>4973928</v>
      </c>
      <c r="L10" s="234" t="s">
        <v>23</v>
      </c>
      <c r="M10" s="224"/>
      <c r="N10" s="225">
        <v>2411046.5</v>
      </c>
      <c r="O10" s="226">
        <v>3</v>
      </c>
      <c r="P10" s="227">
        <v>37</v>
      </c>
      <c r="Q10" s="226">
        <v>348</v>
      </c>
      <c r="R10" s="227">
        <v>3044</v>
      </c>
      <c r="S10" s="226">
        <v>30413</v>
      </c>
      <c r="T10" s="227">
        <v>369249</v>
      </c>
    </row>
    <row r="11" spans="1:21" x14ac:dyDescent="0.15">
      <c r="A11" s="178"/>
      <c r="B11" s="179">
        <v>40194</v>
      </c>
      <c r="C11" s="180" t="s">
        <v>363</v>
      </c>
      <c r="D11" s="76">
        <v>9</v>
      </c>
      <c r="E11" s="76">
        <v>6</v>
      </c>
      <c r="F11" s="76">
        <v>4</v>
      </c>
      <c r="G11" s="76">
        <v>8</v>
      </c>
      <c r="H11" s="76">
        <v>6</v>
      </c>
      <c r="I11" s="76">
        <v>3</v>
      </c>
      <c r="J11" s="13">
        <v>3</v>
      </c>
      <c r="K11" s="229">
        <v>11736976.5</v>
      </c>
      <c r="L11" s="237" t="s">
        <v>23</v>
      </c>
      <c r="M11" s="229"/>
      <c r="N11" s="229">
        <v>3193902.8</v>
      </c>
      <c r="O11" s="232">
        <v>11</v>
      </c>
      <c r="P11" s="233">
        <v>59</v>
      </c>
      <c r="Q11" s="232">
        <v>676</v>
      </c>
      <c r="R11" s="233">
        <v>7163</v>
      </c>
      <c r="S11" s="232">
        <v>71081</v>
      </c>
      <c r="T11" s="233">
        <v>702970</v>
      </c>
    </row>
    <row r="12" spans="1:21" x14ac:dyDescent="0.15">
      <c r="A12" s="172">
        <v>3</v>
      </c>
      <c r="B12" s="173">
        <v>40198</v>
      </c>
      <c r="C12" s="174" t="s">
        <v>362</v>
      </c>
      <c r="D12" s="27">
        <v>2</v>
      </c>
      <c r="E12" s="27">
        <v>1</v>
      </c>
      <c r="F12" s="27">
        <v>3</v>
      </c>
      <c r="G12" s="27">
        <v>0</v>
      </c>
      <c r="H12" s="27">
        <v>8</v>
      </c>
      <c r="I12" s="27">
        <v>8</v>
      </c>
      <c r="J12" s="7">
        <v>3</v>
      </c>
      <c r="K12" s="222">
        <v>4403953.5</v>
      </c>
      <c r="L12" s="234" t="s">
        <v>23</v>
      </c>
      <c r="M12" s="224"/>
      <c r="N12" s="225">
        <v>3487646.5</v>
      </c>
      <c r="O12" s="226">
        <v>3</v>
      </c>
      <c r="P12" s="227">
        <v>37</v>
      </c>
      <c r="Q12" s="226">
        <v>221</v>
      </c>
      <c r="R12" s="227">
        <v>2380</v>
      </c>
      <c r="S12" s="226">
        <v>25218</v>
      </c>
      <c r="T12" s="227">
        <v>265452</v>
      </c>
    </row>
    <row r="13" spans="1:21" x14ac:dyDescent="0.15">
      <c r="A13" s="178"/>
      <c r="B13" s="179">
        <v>40201</v>
      </c>
      <c r="C13" s="180" t="s">
        <v>363</v>
      </c>
      <c r="D13" s="19">
        <v>8</v>
      </c>
      <c r="E13" s="19">
        <v>1</v>
      </c>
      <c r="F13" s="19">
        <v>6</v>
      </c>
      <c r="G13" s="19">
        <v>8</v>
      </c>
      <c r="H13" s="19">
        <v>1</v>
      </c>
      <c r="I13" s="19">
        <v>6</v>
      </c>
      <c r="J13" s="13">
        <v>8</v>
      </c>
      <c r="K13" s="229">
        <v>10691041.5</v>
      </c>
      <c r="L13" s="230">
        <v>1</v>
      </c>
      <c r="M13" s="229">
        <v>4170000</v>
      </c>
      <c r="N13" s="231">
        <v>30739</v>
      </c>
      <c r="O13" s="232">
        <v>14</v>
      </c>
      <c r="P13" s="233">
        <v>70</v>
      </c>
      <c r="Q13" s="232">
        <v>771</v>
      </c>
      <c r="R13" s="233">
        <v>7479</v>
      </c>
      <c r="S13" s="232">
        <v>75566</v>
      </c>
      <c r="T13" s="233">
        <v>712655</v>
      </c>
    </row>
    <row r="14" spans="1:21" x14ac:dyDescent="0.15">
      <c r="A14" s="172">
        <v>4</v>
      </c>
      <c r="B14" s="173">
        <v>40205</v>
      </c>
      <c r="C14" s="174" t="s">
        <v>362</v>
      </c>
      <c r="D14" s="27">
        <v>9</v>
      </c>
      <c r="E14" s="27">
        <v>0</v>
      </c>
      <c r="F14" s="27">
        <v>5</v>
      </c>
      <c r="G14" s="27">
        <v>7</v>
      </c>
      <c r="H14" s="27">
        <v>7</v>
      </c>
      <c r="I14" s="27">
        <v>3</v>
      </c>
      <c r="J14" s="7">
        <v>3</v>
      </c>
      <c r="K14" s="222">
        <v>4423900.5</v>
      </c>
      <c r="L14" s="234" t="s">
        <v>23</v>
      </c>
      <c r="M14" s="224"/>
      <c r="N14" s="225">
        <v>325813.2</v>
      </c>
      <c r="O14" s="226" t="s">
        <v>17</v>
      </c>
      <c r="P14" s="227">
        <v>20</v>
      </c>
      <c r="Q14" s="226">
        <v>311</v>
      </c>
      <c r="R14" s="227">
        <v>2869</v>
      </c>
      <c r="S14" s="226">
        <v>28142</v>
      </c>
      <c r="T14" s="227">
        <v>265368</v>
      </c>
    </row>
    <row r="15" spans="1:21" x14ac:dyDescent="0.15">
      <c r="A15" s="178"/>
      <c r="B15" s="179">
        <v>40208</v>
      </c>
      <c r="C15" s="180" t="s">
        <v>363</v>
      </c>
      <c r="D15" s="19">
        <v>9</v>
      </c>
      <c r="E15" s="19">
        <v>5</v>
      </c>
      <c r="F15" s="19">
        <v>7</v>
      </c>
      <c r="G15" s="19">
        <v>4</v>
      </c>
      <c r="H15" s="19">
        <v>6</v>
      </c>
      <c r="I15" s="19">
        <v>3</v>
      </c>
      <c r="J15" s="13">
        <v>4</v>
      </c>
      <c r="K15" s="229">
        <v>10943755.5</v>
      </c>
      <c r="L15" s="230" t="s">
        <v>23</v>
      </c>
      <c r="M15" s="229"/>
      <c r="N15" s="231">
        <v>1055761.7</v>
      </c>
      <c r="O15" s="232">
        <v>8</v>
      </c>
      <c r="P15" s="233">
        <v>64</v>
      </c>
      <c r="Q15" s="232">
        <v>655</v>
      </c>
      <c r="R15" s="233">
        <v>6197</v>
      </c>
      <c r="S15" s="232">
        <v>62469</v>
      </c>
      <c r="T15" s="233">
        <v>620276</v>
      </c>
    </row>
    <row r="16" spans="1:21" x14ac:dyDescent="0.15">
      <c r="A16" s="172">
        <v>5</v>
      </c>
      <c r="B16" s="173">
        <v>40212</v>
      </c>
      <c r="C16" s="174" t="s">
        <v>362</v>
      </c>
      <c r="D16" s="27">
        <v>6</v>
      </c>
      <c r="E16" s="27">
        <v>1</v>
      </c>
      <c r="F16" s="27">
        <v>5</v>
      </c>
      <c r="G16" s="27">
        <v>1</v>
      </c>
      <c r="H16" s="27">
        <v>1</v>
      </c>
      <c r="I16" s="27">
        <v>0</v>
      </c>
      <c r="J16" s="7">
        <v>5</v>
      </c>
      <c r="K16" s="222">
        <v>5029026</v>
      </c>
      <c r="L16" s="223">
        <v>1</v>
      </c>
      <c r="M16" s="224">
        <v>1370000</v>
      </c>
      <c r="N16" s="224">
        <v>21197.7</v>
      </c>
      <c r="O16" s="226">
        <v>7</v>
      </c>
      <c r="P16" s="227">
        <v>36</v>
      </c>
      <c r="Q16" s="226">
        <v>325</v>
      </c>
      <c r="R16" s="227">
        <v>3191</v>
      </c>
      <c r="S16" s="226">
        <v>31090</v>
      </c>
      <c r="T16" s="227">
        <v>374579</v>
      </c>
    </row>
    <row r="17" spans="1:21" x14ac:dyDescent="0.15">
      <c r="A17" s="178"/>
      <c r="B17" s="179">
        <v>40215</v>
      </c>
      <c r="C17" s="180" t="s">
        <v>363</v>
      </c>
      <c r="D17" s="19">
        <v>5</v>
      </c>
      <c r="E17" s="19">
        <v>2</v>
      </c>
      <c r="F17" s="19">
        <v>7</v>
      </c>
      <c r="G17" s="19">
        <v>3</v>
      </c>
      <c r="H17" s="19">
        <v>5</v>
      </c>
      <c r="I17" s="19">
        <v>7</v>
      </c>
      <c r="J17" s="13">
        <v>3</v>
      </c>
      <c r="K17" s="229">
        <v>11832912</v>
      </c>
      <c r="L17" s="230">
        <v>1</v>
      </c>
      <c r="M17" s="229">
        <v>770000</v>
      </c>
      <c r="N17" s="229">
        <v>40452.9</v>
      </c>
      <c r="O17" s="232">
        <v>7</v>
      </c>
      <c r="P17" s="233">
        <v>67</v>
      </c>
      <c r="Q17" s="232">
        <v>692</v>
      </c>
      <c r="R17" s="233">
        <v>7285</v>
      </c>
      <c r="S17" s="232">
        <v>71053</v>
      </c>
      <c r="T17" s="233">
        <v>715074</v>
      </c>
    </row>
    <row r="18" spans="1:21" x14ac:dyDescent="0.15">
      <c r="A18" s="172">
        <v>6</v>
      </c>
      <c r="B18" s="173">
        <v>40219</v>
      </c>
      <c r="C18" s="174" t="s">
        <v>362</v>
      </c>
      <c r="D18" s="27">
        <v>1</v>
      </c>
      <c r="E18" s="27">
        <v>1</v>
      </c>
      <c r="F18" s="27">
        <v>1</v>
      </c>
      <c r="G18" s="27">
        <v>7</v>
      </c>
      <c r="H18" s="27">
        <v>1</v>
      </c>
      <c r="I18" s="27">
        <v>5</v>
      </c>
      <c r="J18" s="7">
        <v>9</v>
      </c>
      <c r="K18" s="222">
        <v>5620540.5</v>
      </c>
      <c r="L18" s="223" t="s">
        <v>23</v>
      </c>
      <c r="M18" s="224" t="s">
        <v>368</v>
      </c>
      <c r="N18" s="224">
        <v>415343</v>
      </c>
      <c r="O18" s="226">
        <v>5</v>
      </c>
      <c r="P18" s="227">
        <v>33</v>
      </c>
      <c r="Q18" s="226">
        <v>319</v>
      </c>
      <c r="R18" s="227">
        <v>3233</v>
      </c>
      <c r="S18" s="226">
        <v>32649</v>
      </c>
      <c r="T18" s="227">
        <v>318693</v>
      </c>
    </row>
    <row r="19" spans="1:21" x14ac:dyDescent="0.15">
      <c r="A19" s="178"/>
      <c r="B19" s="179">
        <v>40222</v>
      </c>
      <c r="C19" s="180" t="s">
        <v>363</v>
      </c>
      <c r="D19" s="19">
        <v>9</v>
      </c>
      <c r="E19" s="19">
        <v>4</v>
      </c>
      <c r="F19" s="19">
        <v>7</v>
      </c>
      <c r="G19" s="19">
        <v>1</v>
      </c>
      <c r="H19" s="19">
        <v>6</v>
      </c>
      <c r="I19" s="19">
        <v>7</v>
      </c>
      <c r="J19" s="13">
        <v>5</v>
      </c>
      <c r="K19" s="229">
        <v>12355695</v>
      </c>
      <c r="L19" s="230">
        <v>1</v>
      </c>
      <c r="M19" s="229">
        <v>1170000</v>
      </c>
      <c r="N19" s="231">
        <v>69467.899999999994</v>
      </c>
      <c r="O19" s="232">
        <v>13</v>
      </c>
      <c r="P19" s="233">
        <v>99</v>
      </c>
      <c r="Q19" s="232">
        <v>961</v>
      </c>
      <c r="R19" s="233">
        <v>9331</v>
      </c>
      <c r="S19" s="232">
        <v>91478</v>
      </c>
      <c r="T19" s="233">
        <v>886777</v>
      </c>
    </row>
    <row r="20" spans="1:21" x14ac:dyDescent="0.15">
      <c r="A20" s="172">
        <v>7</v>
      </c>
      <c r="B20" s="173">
        <v>40226</v>
      </c>
      <c r="C20" s="174" t="s">
        <v>362</v>
      </c>
      <c r="D20" s="27">
        <v>8</v>
      </c>
      <c r="E20" s="27">
        <v>4</v>
      </c>
      <c r="F20" s="27">
        <v>1</v>
      </c>
      <c r="G20" s="27">
        <v>5</v>
      </c>
      <c r="H20" s="27">
        <v>1</v>
      </c>
      <c r="I20" s="27">
        <v>7</v>
      </c>
      <c r="J20" s="7">
        <v>7</v>
      </c>
      <c r="K20" s="222">
        <v>4424940</v>
      </c>
      <c r="L20" s="223">
        <v>1</v>
      </c>
      <c r="M20" s="224">
        <v>270000</v>
      </c>
      <c r="N20" s="225">
        <v>94611.4</v>
      </c>
      <c r="O20" s="226">
        <v>4</v>
      </c>
      <c r="P20" s="227">
        <v>39</v>
      </c>
      <c r="Q20" s="226">
        <v>324</v>
      </c>
      <c r="R20" s="227">
        <v>3437</v>
      </c>
      <c r="S20" s="226">
        <v>36574</v>
      </c>
      <c r="T20" s="227">
        <v>294735</v>
      </c>
    </row>
    <row r="21" spans="1:21" x14ac:dyDescent="0.15">
      <c r="A21" s="178"/>
      <c r="B21" s="179">
        <v>40229</v>
      </c>
      <c r="C21" s="180" t="s">
        <v>363</v>
      </c>
      <c r="D21" s="19">
        <v>7</v>
      </c>
      <c r="E21" s="19">
        <v>6</v>
      </c>
      <c r="F21" s="19">
        <v>7</v>
      </c>
      <c r="G21" s="19">
        <v>3</v>
      </c>
      <c r="H21" s="19">
        <v>6</v>
      </c>
      <c r="I21" s="19">
        <v>3</v>
      </c>
      <c r="J21" s="13">
        <v>4</v>
      </c>
      <c r="K21" s="229">
        <v>10534632</v>
      </c>
      <c r="L21" s="230" t="s">
        <v>23</v>
      </c>
      <c r="M21" s="229" t="s">
        <v>368</v>
      </c>
      <c r="N21" s="231">
        <v>797271.4</v>
      </c>
      <c r="O21" s="232">
        <v>4</v>
      </c>
      <c r="P21" s="233">
        <v>52</v>
      </c>
      <c r="Q21" s="232">
        <v>619</v>
      </c>
      <c r="R21" s="233">
        <v>6098</v>
      </c>
      <c r="S21" s="232">
        <v>60312</v>
      </c>
      <c r="T21" s="233">
        <v>594931</v>
      </c>
      <c r="U21" s="240"/>
    </row>
    <row r="22" spans="1:21" x14ac:dyDescent="0.15">
      <c r="A22" s="172">
        <v>8</v>
      </c>
      <c r="B22" s="173">
        <v>40233</v>
      </c>
      <c r="C22" s="174" t="s">
        <v>362</v>
      </c>
      <c r="D22" s="27">
        <v>6</v>
      </c>
      <c r="E22" s="27">
        <v>0</v>
      </c>
      <c r="F22" s="27">
        <v>6</v>
      </c>
      <c r="G22" s="27">
        <v>4</v>
      </c>
      <c r="H22" s="27">
        <v>7</v>
      </c>
      <c r="I22" s="27">
        <v>4</v>
      </c>
      <c r="J22" s="7">
        <v>2</v>
      </c>
      <c r="K22" s="222">
        <v>4441875</v>
      </c>
      <c r="L22" s="223" t="s">
        <v>23</v>
      </c>
      <c r="M22" s="224" t="s">
        <v>368</v>
      </c>
      <c r="N22" s="225">
        <v>1093544.5</v>
      </c>
      <c r="O22" s="226">
        <v>1</v>
      </c>
      <c r="P22" s="227">
        <v>13</v>
      </c>
      <c r="Q22" s="226">
        <v>234</v>
      </c>
      <c r="R22" s="227">
        <v>2321</v>
      </c>
      <c r="S22" s="226">
        <v>23438</v>
      </c>
      <c r="T22" s="227">
        <v>232194</v>
      </c>
    </row>
    <row r="23" spans="1:21" x14ac:dyDescent="0.15">
      <c r="A23" s="178"/>
      <c r="B23" s="179">
        <v>40236</v>
      </c>
      <c r="C23" s="180" t="s">
        <v>363</v>
      </c>
      <c r="D23" s="19">
        <v>2</v>
      </c>
      <c r="E23" s="19">
        <v>6</v>
      </c>
      <c r="F23" s="19">
        <v>5</v>
      </c>
      <c r="G23" s="19">
        <v>5</v>
      </c>
      <c r="H23" s="19">
        <v>7</v>
      </c>
      <c r="I23" s="19">
        <v>7</v>
      </c>
      <c r="J23" s="13">
        <v>7</v>
      </c>
      <c r="K23" s="229">
        <v>10591437</v>
      </c>
      <c r="L23" s="230">
        <v>4</v>
      </c>
      <c r="M23" s="229">
        <v>370000</v>
      </c>
      <c r="N23" s="231">
        <v>319993.3</v>
      </c>
      <c r="O23" s="232">
        <v>11</v>
      </c>
      <c r="P23" s="233">
        <v>105</v>
      </c>
      <c r="Q23" s="232">
        <v>1125</v>
      </c>
      <c r="R23" s="233">
        <v>11540</v>
      </c>
      <c r="S23" s="232">
        <v>79718</v>
      </c>
      <c r="T23" s="233">
        <v>722000</v>
      </c>
    </row>
    <row r="24" spans="1:21" x14ac:dyDescent="0.15">
      <c r="A24" s="172">
        <v>9</v>
      </c>
      <c r="B24" s="173">
        <v>40240</v>
      </c>
      <c r="C24" s="174" t="s">
        <v>362</v>
      </c>
      <c r="D24" s="27">
        <v>5</v>
      </c>
      <c r="E24" s="27">
        <v>6</v>
      </c>
      <c r="F24" s="27">
        <v>4</v>
      </c>
      <c r="G24" s="27">
        <v>8</v>
      </c>
      <c r="H24" s="27">
        <v>0</v>
      </c>
      <c r="I24" s="27">
        <v>7</v>
      </c>
      <c r="J24" s="7">
        <v>1</v>
      </c>
      <c r="K24" s="222">
        <v>4346245.5</v>
      </c>
      <c r="L24" s="223" t="s">
        <v>23</v>
      </c>
      <c r="M24" s="224" t="s">
        <v>368</v>
      </c>
      <c r="N24" s="225">
        <v>609887.9</v>
      </c>
      <c r="O24" s="226">
        <v>2</v>
      </c>
      <c r="P24" s="227">
        <v>22</v>
      </c>
      <c r="Q24" s="226">
        <v>218</v>
      </c>
      <c r="R24" s="227">
        <v>2073</v>
      </c>
      <c r="S24" s="226">
        <v>21962</v>
      </c>
      <c r="T24" s="227">
        <v>229168</v>
      </c>
    </row>
    <row r="25" spans="1:21" x14ac:dyDescent="0.15">
      <c r="A25" s="178"/>
      <c r="B25" s="179">
        <v>40243</v>
      </c>
      <c r="C25" s="180" t="s">
        <v>363</v>
      </c>
      <c r="D25" s="19">
        <v>9</v>
      </c>
      <c r="E25" s="19">
        <v>1</v>
      </c>
      <c r="F25" s="19">
        <v>8</v>
      </c>
      <c r="G25" s="19">
        <v>0</v>
      </c>
      <c r="H25" s="19">
        <v>0</v>
      </c>
      <c r="I25" s="19">
        <v>4</v>
      </c>
      <c r="J25" s="13">
        <v>0</v>
      </c>
      <c r="K25" s="229">
        <v>10460223</v>
      </c>
      <c r="L25" s="230">
        <v>1</v>
      </c>
      <c r="M25" s="229">
        <v>1270000</v>
      </c>
      <c r="N25" s="231">
        <v>37584.800000000003</v>
      </c>
      <c r="O25" s="232">
        <v>7</v>
      </c>
      <c r="P25" s="233">
        <v>47</v>
      </c>
      <c r="Q25" s="232">
        <v>435</v>
      </c>
      <c r="R25" s="233">
        <v>4741</v>
      </c>
      <c r="S25" s="232">
        <v>48871</v>
      </c>
      <c r="T25" s="233">
        <v>485218</v>
      </c>
    </row>
    <row r="26" spans="1:21" x14ac:dyDescent="0.15">
      <c r="A26" s="172">
        <v>10</v>
      </c>
      <c r="B26" s="173">
        <v>40247</v>
      </c>
      <c r="C26" s="174" t="s">
        <v>362</v>
      </c>
      <c r="D26" s="27">
        <v>9</v>
      </c>
      <c r="E26" s="27">
        <v>3</v>
      </c>
      <c r="F26" s="27">
        <v>0</v>
      </c>
      <c r="G26" s="27">
        <v>1</v>
      </c>
      <c r="H26" s="27">
        <v>7</v>
      </c>
      <c r="I26" s="27">
        <v>4</v>
      </c>
      <c r="J26" s="7">
        <v>3</v>
      </c>
      <c r="K26" s="222">
        <v>4442073</v>
      </c>
      <c r="L26" s="223">
        <v>1</v>
      </c>
      <c r="M26" s="224">
        <v>270000</v>
      </c>
      <c r="N26" s="225">
        <v>63871.1</v>
      </c>
      <c r="O26" s="226">
        <v>2</v>
      </c>
      <c r="P26" s="227">
        <v>18</v>
      </c>
      <c r="Q26" s="226">
        <v>270</v>
      </c>
      <c r="R26" s="227">
        <v>2632</v>
      </c>
      <c r="S26" s="226">
        <v>26777</v>
      </c>
      <c r="T26" s="227">
        <v>270303</v>
      </c>
    </row>
    <row r="27" spans="1:21" x14ac:dyDescent="0.15">
      <c r="A27" s="178"/>
      <c r="B27" s="179">
        <v>40250</v>
      </c>
      <c r="C27" s="180" t="s">
        <v>363</v>
      </c>
      <c r="D27" s="19">
        <v>3</v>
      </c>
      <c r="E27" s="19">
        <v>6</v>
      </c>
      <c r="F27" s="19">
        <v>1</v>
      </c>
      <c r="G27" s="19">
        <v>0</v>
      </c>
      <c r="H27" s="19">
        <v>9</v>
      </c>
      <c r="I27" s="19">
        <v>3</v>
      </c>
      <c r="J27" s="13">
        <v>4</v>
      </c>
      <c r="K27" s="229">
        <v>10741539</v>
      </c>
      <c r="L27" s="230" t="s">
        <v>23</v>
      </c>
      <c r="M27" s="229" t="s">
        <v>368</v>
      </c>
      <c r="N27" s="231">
        <v>780331.8</v>
      </c>
      <c r="O27" s="232">
        <v>8</v>
      </c>
      <c r="P27" s="233">
        <v>64</v>
      </c>
      <c r="Q27" s="232">
        <v>632</v>
      </c>
      <c r="R27" s="233">
        <v>6271</v>
      </c>
      <c r="S27" s="232">
        <v>62543</v>
      </c>
      <c r="T27" s="233">
        <v>608961</v>
      </c>
    </row>
    <row r="28" spans="1:21" x14ac:dyDescent="0.15">
      <c r="A28" s="172">
        <v>11</v>
      </c>
      <c r="B28" s="173">
        <v>40254</v>
      </c>
      <c r="C28" s="174" t="s">
        <v>362</v>
      </c>
      <c r="D28" s="27">
        <v>9</v>
      </c>
      <c r="E28" s="27">
        <v>5</v>
      </c>
      <c r="F28" s="27">
        <v>5</v>
      </c>
      <c r="G28" s="27">
        <v>8</v>
      </c>
      <c r="H28" s="27">
        <v>7</v>
      </c>
      <c r="I28" s="27">
        <v>8</v>
      </c>
      <c r="J28" s="7">
        <v>3</v>
      </c>
      <c r="K28" s="222">
        <v>4553493</v>
      </c>
      <c r="L28" s="223" t="s">
        <v>23</v>
      </c>
      <c r="M28" s="224" t="s">
        <v>368</v>
      </c>
      <c r="N28" s="225">
        <v>1084049.8</v>
      </c>
      <c r="O28" s="226">
        <v>4</v>
      </c>
      <c r="P28" s="227">
        <v>23</v>
      </c>
      <c r="Q28" s="226">
        <v>266</v>
      </c>
      <c r="R28" s="227">
        <v>2688</v>
      </c>
      <c r="S28" s="226">
        <v>26485</v>
      </c>
      <c r="T28" s="227">
        <v>278026</v>
      </c>
    </row>
    <row r="29" spans="1:21" x14ac:dyDescent="0.15">
      <c r="A29" s="178"/>
      <c r="B29" s="179">
        <v>40257</v>
      </c>
      <c r="C29" s="180" t="s">
        <v>363</v>
      </c>
      <c r="D29" s="19">
        <v>8</v>
      </c>
      <c r="E29" s="19">
        <v>1</v>
      </c>
      <c r="F29" s="19">
        <v>4</v>
      </c>
      <c r="G29" s="19">
        <v>4</v>
      </c>
      <c r="H29" s="19">
        <v>5</v>
      </c>
      <c r="I29" s="19">
        <v>8</v>
      </c>
      <c r="J29" s="13">
        <v>0</v>
      </c>
      <c r="K29" s="229">
        <v>10743897</v>
      </c>
      <c r="L29" s="230" t="s">
        <v>23</v>
      </c>
      <c r="M29" s="229" t="s">
        <v>368</v>
      </c>
      <c r="N29" s="231">
        <v>1800667.6999999979</v>
      </c>
      <c r="O29" s="232">
        <v>2</v>
      </c>
      <c r="P29" s="233">
        <v>50</v>
      </c>
      <c r="Q29" s="232">
        <v>531</v>
      </c>
      <c r="R29" s="233">
        <v>5078</v>
      </c>
      <c r="S29" s="232">
        <v>49117</v>
      </c>
      <c r="T29" s="233">
        <v>501831</v>
      </c>
    </row>
    <row r="30" spans="1:21" x14ac:dyDescent="0.15">
      <c r="A30" s="172">
        <v>12</v>
      </c>
      <c r="B30" s="173">
        <v>40261</v>
      </c>
      <c r="C30" s="174" t="s">
        <v>362</v>
      </c>
      <c r="D30" s="27">
        <v>7</v>
      </c>
      <c r="E30" s="27">
        <v>0</v>
      </c>
      <c r="F30" s="27">
        <v>8</v>
      </c>
      <c r="G30" s="27">
        <v>2</v>
      </c>
      <c r="H30" s="27">
        <v>1</v>
      </c>
      <c r="I30" s="27">
        <v>3</v>
      </c>
      <c r="J30" s="7">
        <v>6</v>
      </c>
      <c r="K30" s="222">
        <v>4901461.5</v>
      </c>
      <c r="L30" s="223" t="s">
        <v>23</v>
      </c>
      <c r="M30" s="224" t="s">
        <v>368</v>
      </c>
      <c r="N30" s="225">
        <v>2127595.1999999974</v>
      </c>
      <c r="O30" s="226">
        <v>1</v>
      </c>
      <c r="P30" s="227">
        <v>43</v>
      </c>
      <c r="Q30" s="226">
        <v>292</v>
      </c>
      <c r="R30" s="227">
        <v>3097</v>
      </c>
      <c r="S30" s="226">
        <v>31264</v>
      </c>
      <c r="T30" s="227">
        <v>301596</v>
      </c>
    </row>
    <row r="31" spans="1:21" x14ac:dyDescent="0.15">
      <c r="A31" s="178"/>
      <c r="B31" s="179">
        <v>40264</v>
      </c>
      <c r="C31" s="180" t="s">
        <v>363</v>
      </c>
      <c r="D31" s="19">
        <v>4</v>
      </c>
      <c r="E31" s="19">
        <v>3</v>
      </c>
      <c r="F31" s="19">
        <v>4</v>
      </c>
      <c r="G31" s="19">
        <v>1</v>
      </c>
      <c r="H31" s="19">
        <v>2</v>
      </c>
      <c r="I31" s="19">
        <v>6</v>
      </c>
      <c r="J31" s="13">
        <v>6</v>
      </c>
      <c r="K31" s="229">
        <v>11360560.5</v>
      </c>
      <c r="L31" s="230">
        <v>3</v>
      </c>
      <c r="M31" s="229">
        <v>870000</v>
      </c>
      <c r="N31" s="231">
        <v>275344.59999999998</v>
      </c>
      <c r="O31" s="232">
        <v>8</v>
      </c>
      <c r="P31" s="233">
        <v>68</v>
      </c>
      <c r="Q31" s="232">
        <v>716</v>
      </c>
      <c r="R31" s="233">
        <v>7265</v>
      </c>
      <c r="S31" s="232">
        <v>73550</v>
      </c>
      <c r="T31" s="233">
        <v>691138</v>
      </c>
    </row>
    <row r="32" spans="1:21" x14ac:dyDescent="0.15">
      <c r="A32" s="172">
        <v>13</v>
      </c>
      <c r="B32" s="173">
        <v>40268</v>
      </c>
      <c r="C32" s="174" t="s">
        <v>362</v>
      </c>
      <c r="D32" s="27">
        <v>3</v>
      </c>
      <c r="E32" s="27">
        <v>1</v>
      </c>
      <c r="F32" s="27">
        <v>6</v>
      </c>
      <c r="G32" s="27">
        <v>0</v>
      </c>
      <c r="H32" s="27">
        <v>3</v>
      </c>
      <c r="I32" s="27">
        <v>9</v>
      </c>
      <c r="J32" s="7">
        <v>1</v>
      </c>
      <c r="K32" s="222">
        <v>5690670</v>
      </c>
      <c r="L32" s="223" t="s">
        <v>23</v>
      </c>
      <c r="M32" s="224" t="s">
        <v>368</v>
      </c>
      <c r="N32" s="225">
        <v>654912.30000000005</v>
      </c>
      <c r="O32" s="226">
        <v>2</v>
      </c>
      <c r="P32" s="227">
        <v>32</v>
      </c>
      <c r="Q32" s="226">
        <v>291</v>
      </c>
      <c r="R32" s="227">
        <v>2866</v>
      </c>
      <c r="S32" s="226">
        <v>28664</v>
      </c>
      <c r="T32" s="227">
        <v>306226</v>
      </c>
    </row>
    <row r="33" spans="1:21" x14ac:dyDescent="0.15">
      <c r="A33" s="178"/>
      <c r="B33" s="179">
        <v>40271</v>
      </c>
      <c r="C33" s="180" t="s">
        <v>363</v>
      </c>
      <c r="D33" s="19">
        <v>6</v>
      </c>
      <c r="E33" s="19">
        <v>6</v>
      </c>
      <c r="F33" s="19">
        <v>0</v>
      </c>
      <c r="G33" s="19">
        <v>3</v>
      </c>
      <c r="H33" s="19">
        <v>5</v>
      </c>
      <c r="I33" s="19">
        <v>6</v>
      </c>
      <c r="J33" s="13">
        <v>9</v>
      </c>
      <c r="K33" s="229">
        <v>10811341.5</v>
      </c>
      <c r="L33" s="230" t="s">
        <v>23</v>
      </c>
      <c r="M33" s="229" t="s">
        <v>368</v>
      </c>
      <c r="N33" s="231">
        <v>1376028.799999997</v>
      </c>
      <c r="O33" s="232">
        <v>8</v>
      </c>
      <c r="P33" s="233">
        <v>87</v>
      </c>
      <c r="Q33" s="232">
        <v>692</v>
      </c>
      <c r="R33" s="233">
        <v>6626</v>
      </c>
      <c r="S33" s="232">
        <v>66397</v>
      </c>
      <c r="T33" s="233">
        <v>632380</v>
      </c>
      <c r="U33" s="240"/>
    </row>
    <row r="34" spans="1:21" x14ac:dyDescent="0.15">
      <c r="A34" s="172">
        <v>14</v>
      </c>
      <c r="B34" s="173">
        <v>40275</v>
      </c>
      <c r="C34" s="174" t="s">
        <v>362</v>
      </c>
      <c r="D34" s="27">
        <v>0</v>
      </c>
      <c r="E34" s="27">
        <v>9</v>
      </c>
      <c r="F34" s="27">
        <v>4</v>
      </c>
      <c r="G34" s="27">
        <v>4</v>
      </c>
      <c r="H34" s="27">
        <v>7</v>
      </c>
      <c r="I34" s="27">
        <v>6</v>
      </c>
      <c r="J34" s="7">
        <v>1</v>
      </c>
      <c r="K34" s="222">
        <v>4289367</v>
      </c>
      <c r="L34" s="223">
        <v>1</v>
      </c>
      <c r="M34" s="224">
        <v>1570000</v>
      </c>
      <c r="N34" s="225">
        <v>92129.600000000006</v>
      </c>
      <c r="O34" s="226">
        <v>3</v>
      </c>
      <c r="P34" s="227">
        <v>22</v>
      </c>
      <c r="Q34" s="226">
        <v>229</v>
      </c>
      <c r="R34" s="227">
        <v>2310</v>
      </c>
      <c r="S34" s="226">
        <v>23321</v>
      </c>
      <c r="T34" s="227">
        <v>227173</v>
      </c>
    </row>
    <row r="35" spans="1:21" x14ac:dyDescent="0.15">
      <c r="A35" s="178"/>
      <c r="B35" s="179">
        <v>40278</v>
      </c>
      <c r="C35" s="180" t="s">
        <v>363</v>
      </c>
      <c r="D35" s="19">
        <v>9</v>
      </c>
      <c r="E35" s="19">
        <v>0</v>
      </c>
      <c r="F35" s="19">
        <v>0</v>
      </c>
      <c r="G35" s="19">
        <v>8</v>
      </c>
      <c r="H35" s="19">
        <v>7</v>
      </c>
      <c r="I35" s="19">
        <v>1</v>
      </c>
      <c r="J35" s="13">
        <v>0</v>
      </c>
      <c r="K35" s="229">
        <v>10517556</v>
      </c>
      <c r="L35" s="230" t="s">
        <v>23</v>
      </c>
      <c r="M35" s="229" t="s">
        <v>368</v>
      </c>
      <c r="N35" s="231">
        <v>793650.6</v>
      </c>
      <c r="O35" s="232">
        <v>8</v>
      </c>
      <c r="P35" s="233">
        <v>43</v>
      </c>
      <c r="Q35" s="232">
        <v>475</v>
      </c>
      <c r="R35" s="233">
        <v>4858</v>
      </c>
      <c r="S35" s="232">
        <v>48498</v>
      </c>
      <c r="T35" s="233">
        <v>492063</v>
      </c>
    </row>
    <row r="36" spans="1:21" x14ac:dyDescent="0.15">
      <c r="A36" s="172">
        <v>15</v>
      </c>
      <c r="B36" s="173">
        <v>40282</v>
      </c>
      <c r="C36" s="174" t="s">
        <v>362</v>
      </c>
      <c r="D36" s="27">
        <v>4</v>
      </c>
      <c r="E36" s="27">
        <v>1</v>
      </c>
      <c r="F36" s="27">
        <v>6</v>
      </c>
      <c r="G36" s="27">
        <v>3</v>
      </c>
      <c r="H36" s="27">
        <v>6</v>
      </c>
      <c r="I36" s="27">
        <v>2</v>
      </c>
      <c r="J36" s="7">
        <v>6</v>
      </c>
      <c r="K36" s="222">
        <v>4841245.5</v>
      </c>
      <c r="L36" s="234" t="s">
        <v>23</v>
      </c>
      <c r="M36" s="224" t="s">
        <v>368</v>
      </c>
      <c r="N36" s="225">
        <v>1116561.6999999969</v>
      </c>
      <c r="O36" s="226">
        <v>4</v>
      </c>
      <c r="P36" s="227">
        <v>37</v>
      </c>
      <c r="Q36" s="226">
        <v>303</v>
      </c>
      <c r="R36" s="227">
        <v>3085</v>
      </c>
      <c r="S36" s="226">
        <v>29673</v>
      </c>
      <c r="T36" s="227">
        <v>300636</v>
      </c>
    </row>
    <row r="37" spans="1:21" x14ac:dyDescent="0.15">
      <c r="A37" s="178"/>
      <c r="B37" s="179">
        <v>40285</v>
      </c>
      <c r="C37" s="180" t="s">
        <v>363</v>
      </c>
      <c r="D37" s="19">
        <v>4</v>
      </c>
      <c r="E37" s="19">
        <v>9</v>
      </c>
      <c r="F37" s="19">
        <v>2</v>
      </c>
      <c r="G37" s="19">
        <v>0</v>
      </c>
      <c r="H37" s="19">
        <v>4</v>
      </c>
      <c r="I37" s="19">
        <v>0</v>
      </c>
      <c r="J37" s="13">
        <v>3</v>
      </c>
      <c r="K37" s="229">
        <v>11253792</v>
      </c>
      <c r="L37" s="230">
        <v>1</v>
      </c>
      <c r="M37" s="229">
        <v>1770000</v>
      </c>
      <c r="N37" s="231">
        <v>97189.6</v>
      </c>
      <c r="O37" s="232">
        <v>4</v>
      </c>
      <c r="P37" s="233">
        <v>49</v>
      </c>
      <c r="Q37" s="232">
        <v>610</v>
      </c>
      <c r="R37" s="233">
        <v>5931</v>
      </c>
      <c r="S37" s="232">
        <v>58150</v>
      </c>
      <c r="T37" s="233">
        <v>690806</v>
      </c>
    </row>
    <row r="38" spans="1:21" x14ac:dyDescent="0.15">
      <c r="A38" s="172">
        <v>16</v>
      </c>
      <c r="B38" s="173">
        <v>40289</v>
      </c>
      <c r="C38" s="174" t="s">
        <v>362</v>
      </c>
      <c r="D38" s="27">
        <v>2</v>
      </c>
      <c r="E38" s="27">
        <v>1</v>
      </c>
      <c r="F38" s="27">
        <v>7</v>
      </c>
      <c r="G38" s="27">
        <v>4</v>
      </c>
      <c r="H38" s="27">
        <v>7</v>
      </c>
      <c r="I38" s="27">
        <v>2</v>
      </c>
      <c r="J38" s="7">
        <v>8</v>
      </c>
      <c r="K38" s="222">
        <v>5336974.5</v>
      </c>
      <c r="L38" s="234" t="s">
        <v>23</v>
      </c>
      <c r="M38" s="224" t="s">
        <v>368</v>
      </c>
      <c r="N38" s="225">
        <v>453165.8</v>
      </c>
      <c r="O38" s="226">
        <v>4</v>
      </c>
      <c r="P38" s="227">
        <v>44</v>
      </c>
      <c r="Q38" s="226">
        <v>347</v>
      </c>
      <c r="R38" s="227">
        <v>3414</v>
      </c>
      <c r="S38" s="226">
        <v>34635</v>
      </c>
      <c r="T38" s="227">
        <v>346104</v>
      </c>
    </row>
    <row r="39" spans="1:21" x14ac:dyDescent="0.15">
      <c r="A39" s="178"/>
      <c r="B39" s="179">
        <v>40292</v>
      </c>
      <c r="C39" s="180" t="s">
        <v>363</v>
      </c>
      <c r="D39" s="19">
        <v>1</v>
      </c>
      <c r="E39" s="19">
        <v>8</v>
      </c>
      <c r="F39" s="19">
        <v>8</v>
      </c>
      <c r="G39" s="19">
        <v>2</v>
      </c>
      <c r="H39" s="19">
        <v>6</v>
      </c>
      <c r="I39" s="19">
        <v>4</v>
      </c>
      <c r="J39" s="13">
        <v>7</v>
      </c>
      <c r="K39" s="229">
        <v>11646106.5</v>
      </c>
      <c r="L39" s="230" t="s">
        <v>23</v>
      </c>
      <c r="M39" s="229" t="s">
        <v>368</v>
      </c>
      <c r="N39" s="231">
        <v>1229961.0999999966</v>
      </c>
      <c r="O39" s="232">
        <v>10</v>
      </c>
      <c r="P39" s="233">
        <v>97</v>
      </c>
      <c r="Q39" s="232">
        <v>845</v>
      </c>
      <c r="R39" s="233">
        <v>8534</v>
      </c>
      <c r="S39" s="232">
        <v>84430</v>
      </c>
      <c r="T39" s="233">
        <v>799356</v>
      </c>
    </row>
    <row r="40" spans="1:21" x14ac:dyDescent="0.15">
      <c r="A40" s="172">
        <v>17</v>
      </c>
      <c r="B40" s="173">
        <v>40296</v>
      </c>
      <c r="C40" s="174" t="s">
        <v>362</v>
      </c>
      <c r="D40" s="27">
        <v>4</v>
      </c>
      <c r="E40" s="27">
        <v>2</v>
      </c>
      <c r="F40" s="27">
        <v>6</v>
      </c>
      <c r="G40" s="27">
        <v>4</v>
      </c>
      <c r="H40" s="27">
        <v>0</v>
      </c>
      <c r="I40" s="27">
        <v>3</v>
      </c>
      <c r="J40" s="7">
        <v>8</v>
      </c>
      <c r="K40" s="222">
        <v>4282086</v>
      </c>
      <c r="L40" s="223" t="s">
        <v>23</v>
      </c>
      <c r="M40" s="224" t="s">
        <v>368</v>
      </c>
      <c r="N40" s="225">
        <v>1515576.1999999969</v>
      </c>
      <c r="O40" s="226">
        <v>2</v>
      </c>
      <c r="P40" s="227">
        <v>31</v>
      </c>
      <c r="Q40" s="226">
        <v>280</v>
      </c>
      <c r="R40" s="227">
        <v>2776</v>
      </c>
      <c r="S40" s="226">
        <v>28663</v>
      </c>
      <c r="T40" s="227">
        <v>280037</v>
      </c>
    </row>
    <row r="41" spans="1:21" x14ac:dyDescent="0.15">
      <c r="A41" s="178"/>
      <c r="B41" s="179">
        <v>40299</v>
      </c>
      <c r="C41" s="180" t="s">
        <v>363</v>
      </c>
      <c r="D41" s="19">
        <v>1</v>
      </c>
      <c r="E41" s="19">
        <v>3</v>
      </c>
      <c r="F41" s="19">
        <v>4</v>
      </c>
      <c r="G41" s="19">
        <v>0</v>
      </c>
      <c r="H41" s="19">
        <v>9</v>
      </c>
      <c r="I41" s="19">
        <v>4</v>
      </c>
      <c r="J41" s="13">
        <v>3</v>
      </c>
      <c r="K41" s="229">
        <v>9798444</v>
      </c>
      <c r="L41" s="230">
        <v>1</v>
      </c>
      <c r="M41" s="229">
        <v>2070000</v>
      </c>
      <c r="N41" s="231">
        <v>99132.4</v>
      </c>
      <c r="O41" s="232">
        <v>4</v>
      </c>
      <c r="P41" s="233">
        <v>65</v>
      </c>
      <c r="Q41" s="232">
        <v>609</v>
      </c>
      <c r="R41" s="233">
        <v>5998</v>
      </c>
      <c r="S41" s="232">
        <v>58780</v>
      </c>
      <c r="T41" s="233">
        <v>590272</v>
      </c>
    </row>
    <row r="42" spans="1:21" x14ac:dyDescent="0.15">
      <c r="A42" s="172">
        <v>18</v>
      </c>
      <c r="B42" s="173">
        <v>40303</v>
      </c>
      <c r="C42" s="174" t="s">
        <v>362</v>
      </c>
      <c r="D42" s="27">
        <v>8</v>
      </c>
      <c r="E42" s="27">
        <v>8</v>
      </c>
      <c r="F42" s="27">
        <v>4</v>
      </c>
      <c r="G42" s="27">
        <v>1</v>
      </c>
      <c r="H42" s="27">
        <v>6</v>
      </c>
      <c r="I42" s="27">
        <v>2</v>
      </c>
      <c r="J42" s="7">
        <v>0</v>
      </c>
      <c r="K42" s="222">
        <v>4488456</v>
      </c>
      <c r="L42" s="234" t="s">
        <v>23</v>
      </c>
      <c r="M42" s="224" t="s">
        <v>368</v>
      </c>
      <c r="N42" s="225">
        <v>398512.4</v>
      </c>
      <c r="O42" s="226">
        <v>1</v>
      </c>
      <c r="P42" s="227">
        <v>20</v>
      </c>
      <c r="Q42" s="226">
        <v>199</v>
      </c>
      <c r="R42" s="227">
        <v>2098</v>
      </c>
      <c r="S42" s="226">
        <v>20566</v>
      </c>
      <c r="T42" s="227">
        <v>220340</v>
      </c>
    </row>
    <row r="43" spans="1:21" x14ac:dyDescent="0.15">
      <c r="A43" s="178"/>
      <c r="B43" s="179">
        <v>40306</v>
      </c>
      <c r="C43" s="180" t="s">
        <v>363</v>
      </c>
      <c r="D43" s="19">
        <v>8</v>
      </c>
      <c r="E43" s="19">
        <v>9</v>
      </c>
      <c r="F43" s="19">
        <v>2</v>
      </c>
      <c r="G43" s="19">
        <v>8</v>
      </c>
      <c r="H43" s="19">
        <v>8</v>
      </c>
      <c r="I43" s="19">
        <v>8</v>
      </c>
      <c r="J43" s="13">
        <v>3</v>
      </c>
      <c r="K43" s="229">
        <v>11160196.5</v>
      </c>
      <c r="L43" s="237">
        <v>2</v>
      </c>
      <c r="M43" s="229">
        <v>570000</v>
      </c>
      <c r="N43" s="231">
        <v>2897.5</v>
      </c>
      <c r="O43" s="232">
        <v>7</v>
      </c>
      <c r="P43" s="233">
        <v>58</v>
      </c>
      <c r="Q43" s="232">
        <v>592</v>
      </c>
      <c r="R43" s="233">
        <v>6223</v>
      </c>
      <c r="S43" s="232">
        <v>65231</v>
      </c>
      <c r="T43" s="233">
        <v>678861</v>
      </c>
    </row>
    <row r="44" spans="1:21" x14ac:dyDescent="0.15">
      <c r="A44" s="172">
        <v>19</v>
      </c>
      <c r="B44" s="173">
        <v>40310</v>
      </c>
      <c r="C44" s="174" t="s">
        <v>362</v>
      </c>
      <c r="D44" s="27">
        <v>4</v>
      </c>
      <c r="E44" s="27">
        <v>8</v>
      </c>
      <c r="F44" s="27">
        <v>3</v>
      </c>
      <c r="G44" s="27">
        <v>4</v>
      </c>
      <c r="H44" s="27">
        <v>4</v>
      </c>
      <c r="I44" s="27">
        <v>1</v>
      </c>
      <c r="J44" s="7">
        <v>7</v>
      </c>
      <c r="K44" s="222">
        <v>5040897</v>
      </c>
      <c r="L44" s="234" t="s">
        <v>23</v>
      </c>
      <c r="M44" s="224" t="s">
        <v>368</v>
      </c>
      <c r="N44" s="225">
        <v>339125.3</v>
      </c>
      <c r="O44" s="226">
        <v>3</v>
      </c>
      <c r="P44" s="227">
        <v>25</v>
      </c>
      <c r="Q44" s="226">
        <v>336</v>
      </c>
      <c r="R44" s="227">
        <v>3335</v>
      </c>
      <c r="S44" s="226">
        <v>33504</v>
      </c>
      <c r="T44" s="227">
        <v>344263</v>
      </c>
    </row>
    <row r="45" spans="1:21" x14ac:dyDescent="0.15">
      <c r="A45" s="178"/>
      <c r="B45" s="179">
        <v>40313</v>
      </c>
      <c r="C45" s="180" t="s">
        <v>363</v>
      </c>
      <c r="D45" s="19">
        <v>1</v>
      </c>
      <c r="E45" s="19">
        <v>6</v>
      </c>
      <c r="F45" s="19">
        <v>7</v>
      </c>
      <c r="G45" s="19">
        <v>2</v>
      </c>
      <c r="H45" s="19">
        <v>4</v>
      </c>
      <c r="I45" s="19">
        <v>6</v>
      </c>
      <c r="J45" s="13">
        <v>2</v>
      </c>
      <c r="K45" s="229">
        <v>11038993.5</v>
      </c>
      <c r="L45" s="237">
        <v>1</v>
      </c>
      <c r="M45" s="229">
        <v>1070000</v>
      </c>
      <c r="N45" s="285">
        <v>5426.2</v>
      </c>
      <c r="O45" s="232">
        <v>6</v>
      </c>
      <c r="P45" s="233">
        <v>60</v>
      </c>
      <c r="Q45" s="232">
        <v>605</v>
      </c>
      <c r="R45" s="233">
        <v>6025</v>
      </c>
      <c r="S45" s="232">
        <v>59279</v>
      </c>
      <c r="T45" s="233">
        <v>589522</v>
      </c>
    </row>
    <row r="46" spans="1:21" x14ac:dyDescent="0.15">
      <c r="A46" s="172">
        <v>20</v>
      </c>
      <c r="B46" s="173">
        <v>40317</v>
      </c>
      <c r="C46" s="174" t="s">
        <v>362</v>
      </c>
      <c r="D46" s="27">
        <v>3</v>
      </c>
      <c r="E46" s="27">
        <v>4</v>
      </c>
      <c r="F46" s="27">
        <v>4</v>
      </c>
      <c r="G46" s="27">
        <v>4</v>
      </c>
      <c r="H46" s="27">
        <v>5</v>
      </c>
      <c r="I46" s="27">
        <v>9</v>
      </c>
      <c r="J46" s="7">
        <v>1</v>
      </c>
      <c r="K46" s="222">
        <v>5452489.5</v>
      </c>
      <c r="L46" s="234" t="s">
        <v>23</v>
      </c>
      <c r="M46" s="222" t="s">
        <v>368</v>
      </c>
      <c r="N46" s="225">
        <v>369107.20000000001</v>
      </c>
      <c r="O46" s="226">
        <v>4</v>
      </c>
      <c r="P46" s="227">
        <v>29</v>
      </c>
      <c r="Q46" s="226">
        <v>290</v>
      </c>
      <c r="R46" s="227">
        <v>2681</v>
      </c>
      <c r="S46" s="226">
        <v>27626</v>
      </c>
      <c r="T46" s="227">
        <v>294226</v>
      </c>
    </row>
    <row r="47" spans="1:21" x14ac:dyDescent="0.15">
      <c r="A47" s="178"/>
      <c r="B47" s="179">
        <v>40320</v>
      </c>
      <c r="C47" s="180" t="s">
        <v>363</v>
      </c>
      <c r="D47" s="19">
        <v>7</v>
      </c>
      <c r="E47" s="19">
        <v>3</v>
      </c>
      <c r="F47" s="19">
        <v>0</v>
      </c>
      <c r="G47" s="19">
        <v>5</v>
      </c>
      <c r="H47" s="19">
        <v>0</v>
      </c>
      <c r="I47" s="19">
        <v>8</v>
      </c>
      <c r="J47" s="13">
        <v>1</v>
      </c>
      <c r="K47" s="229">
        <v>12025480.5</v>
      </c>
      <c r="L47" s="230" t="s">
        <v>23</v>
      </c>
      <c r="M47" s="286" t="s">
        <v>368</v>
      </c>
      <c r="N47" s="231">
        <v>1171206.6999999972</v>
      </c>
      <c r="O47" s="232">
        <v>4</v>
      </c>
      <c r="P47" s="233">
        <v>67</v>
      </c>
      <c r="Q47" s="232">
        <v>602</v>
      </c>
      <c r="R47" s="233">
        <v>5953</v>
      </c>
      <c r="S47" s="232">
        <v>63786</v>
      </c>
      <c r="T47" s="233">
        <v>631701</v>
      </c>
    </row>
    <row r="48" spans="1:21" x14ac:dyDescent="0.15">
      <c r="A48" s="172">
        <v>21</v>
      </c>
      <c r="B48" s="173">
        <v>40324</v>
      </c>
      <c r="C48" s="174" t="s">
        <v>362</v>
      </c>
      <c r="D48" s="27">
        <v>5</v>
      </c>
      <c r="E48" s="27">
        <v>8</v>
      </c>
      <c r="F48" s="27">
        <v>7</v>
      </c>
      <c r="G48" s="27">
        <v>1</v>
      </c>
      <c r="H48" s="27">
        <v>2</v>
      </c>
      <c r="I48" s="27">
        <v>5</v>
      </c>
      <c r="J48" s="7">
        <v>6</v>
      </c>
      <c r="K48" s="222">
        <v>5791617</v>
      </c>
      <c r="L48" s="234">
        <v>1</v>
      </c>
      <c r="M48" s="224">
        <v>1470000</v>
      </c>
      <c r="N48" s="285">
        <v>87507.6</v>
      </c>
      <c r="O48" s="226">
        <v>3</v>
      </c>
      <c r="P48" s="227">
        <v>34</v>
      </c>
      <c r="Q48" s="226">
        <v>366</v>
      </c>
      <c r="R48" s="227">
        <v>3771</v>
      </c>
      <c r="S48" s="226">
        <v>37546</v>
      </c>
      <c r="T48" s="227">
        <v>358538</v>
      </c>
    </row>
    <row r="49" spans="1:21" x14ac:dyDescent="0.15">
      <c r="A49" s="178"/>
      <c r="B49" s="179">
        <v>40327</v>
      </c>
      <c r="C49" s="180" t="s">
        <v>363</v>
      </c>
      <c r="D49" s="19">
        <v>1</v>
      </c>
      <c r="E49" s="19">
        <v>3</v>
      </c>
      <c r="F49" s="19">
        <v>9</v>
      </c>
      <c r="G49" s="19">
        <v>6</v>
      </c>
      <c r="H49" s="19">
        <v>4</v>
      </c>
      <c r="I49" s="19">
        <v>2</v>
      </c>
      <c r="J49" s="13">
        <v>5</v>
      </c>
      <c r="K49" s="229">
        <v>13104546</v>
      </c>
      <c r="L49" s="237">
        <v>1</v>
      </c>
      <c r="M49" s="229">
        <v>870000</v>
      </c>
      <c r="N49" s="231">
        <v>91580.800000000003</v>
      </c>
      <c r="O49" s="232">
        <v>15</v>
      </c>
      <c r="P49" s="233">
        <v>90</v>
      </c>
      <c r="Q49" s="232">
        <v>989</v>
      </c>
      <c r="R49" s="233">
        <v>9777</v>
      </c>
      <c r="S49" s="232">
        <v>94882</v>
      </c>
      <c r="T49" s="233">
        <v>925886</v>
      </c>
    </row>
    <row r="50" spans="1:21" x14ac:dyDescent="0.15">
      <c r="A50" s="172">
        <v>22</v>
      </c>
      <c r="B50" s="173">
        <v>40331</v>
      </c>
      <c r="C50" s="174" t="s">
        <v>362</v>
      </c>
      <c r="D50" s="27">
        <v>5</v>
      </c>
      <c r="E50" s="27">
        <v>4</v>
      </c>
      <c r="F50" s="27">
        <v>4</v>
      </c>
      <c r="G50" s="27">
        <v>6</v>
      </c>
      <c r="H50" s="27">
        <v>0</v>
      </c>
      <c r="I50" s="27">
        <v>8</v>
      </c>
      <c r="J50" s="7">
        <v>8</v>
      </c>
      <c r="K50" s="222">
        <v>4653162</v>
      </c>
      <c r="L50" s="234" t="s">
        <v>23</v>
      </c>
      <c r="M50" s="224" t="s">
        <v>368</v>
      </c>
      <c r="N50" s="225">
        <v>401946.7</v>
      </c>
      <c r="O50" s="226">
        <v>2</v>
      </c>
      <c r="P50" s="227">
        <v>29</v>
      </c>
      <c r="Q50" s="226">
        <v>324</v>
      </c>
      <c r="R50" s="227">
        <v>3232</v>
      </c>
      <c r="S50" s="226">
        <v>34198</v>
      </c>
      <c r="T50" s="227">
        <v>298429</v>
      </c>
    </row>
    <row r="51" spans="1:21" x14ac:dyDescent="0.15">
      <c r="A51" s="178"/>
      <c r="B51" s="179">
        <v>40334</v>
      </c>
      <c r="C51" s="180" t="s">
        <v>363</v>
      </c>
      <c r="D51" s="19">
        <v>1</v>
      </c>
      <c r="E51" s="19">
        <v>4</v>
      </c>
      <c r="F51" s="19">
        <v>5</v>
      </c>
      <c r="G51" s="19">
        <v>4</v>
      </c>
      <c r="H51" s="19">
        <v>8</v>
      </c>
      <c r="I51" s="19">
        <v>3</v>
      </c>
      <c r="J51" s="13">
        <v>1</v>
      </c>
      <c r="K51" s="229">
        <v>10133317.5</v>
      </c>
      <c r="L51" s="237" t="s">
        <v>23</v>
      </c>
      <c r="M51" s="229" t="s">
        <v>368</v>
      </c>
      <c r="N51" s="231">
        <v>1077838.9999999972</v>
      </c>
      <c r="O51" s="232">
        <v>6</v>
      </c>
      <c r="P51" s="233">
        <v>48</v>
      </c>
      <c r="Q51" s="232">
        <v>491</v>
      </c>
      <c r="R51" s="233">
        <v>5339</v>
      </c>
      <c r="S51" s="232">
        <v>53868</v>
      </c>
      <c r="T51" s="233">
        <v>525322</v>
      </c>
    </row>
    <row r="52" spans="1:21" x14ac:dyDescent="0.15">
      <c r="A52" s="172">
        <v>23</v>
      </c>
      <c r="B52" s="173">
        <v>40338</v>
      </c>
      <c r="C52" s="174" t="s">
        <v>362</v>
      </c>
      <c r="D52" s="27">
        <v>6</v>
      </c>
      <c r="E52" s="27">
        <v>7</v>
      </c>
      <c r="F52" s="27">
        <v>0</v>
      </c>
      <c r="G52" s="27">
        <v>1</v>
      </c>
      <c r="H52" s="27">
        <v>5</v>
      </c>
      <c r="I52" s="27">
        <v>8</v>
      </c>
      <c r="J52" s="7">
        <v>1</v>
      </c>
      <c r="K52" s="222">
        <v>4348803</v>
      </c>
      <c r="L52" s="234" t="s">
        <v>23</v>
      </c>
      <c r="M52" s="224" t="s">
        <v>368</v>
      </c>
      <c r="N52" s="225">
        <v>1367904.1999999974</v>
      </c>
      <c r="O52" s="226">
        <v>1</v>
      </c>
      <c r="P52" s="227">
        <v>32</v>
      </c>
      <c r="Q52" s="226">
        <v>249</v>
      </c>
      <c r="R52" s="227">
        <v>2416</v>
      </c>
      <c r="S52" s="226">
        <v>23316</v>
      </c>
      <c r="T52" s="227">
        <v>233340</v>
      </c>
    </row>
    <row r="53" spans="1:21" x14ac:dyDescent="0.15">
      <c r="A53" s="178"/>
      <c r="B53" s="179">
        <v>40341</v>
      </c>
      <c r="C53" s="180" t="s">
        <v>363</v>
      </c>
      <c r="D53" s="19">
        <v>1</v>
      </c>
      <c r="E53" s="19">
        <v>5</v>
      </c>
      <c r="F53" s="19">
        <v>8</v>
      </c>
      <c r="G53" s="19">
        <v>7</v>
      </c>
      <c r="H53" s="19">
        <v>6</v>
      </c>
      <c r="I53" s="19">
        <v>6</v>
      </c>
      <c r="J53" s="13">
        <v>7</v>
      </c>
      <c r="K53" s="229">
        <v>10303324.5</v>
      </c>
      <c r="L53" s="237" t="s">
        <v>23</v>
      </c>
      <c r="M53" s="229" t="s">
        <v>368</v>
      </c>
      <c r="N53" s="231">
        <v>2055135.8999999971</v>
      </c>
      <c r="O53" s="232">
        <v>7</v>
      </c>
      <c r="P53" s="233">
        <v>76</v>
      </c>
      <c r="Q53" s="232">
        <v>683</v>
      </c>
      <c r="R53" s="233">
        <v>6602</v>
      </c>
      <c r="S53" s="232">
        <v>70764</v>
      </c>
      <c r="T53" s="233">
        <v>715426</v>
      </c>
    </row>
    <row r="54" spans="1:21" x14ac:dyDescent="0.15">
      <c r="A54" s="172">
        <v>24</v>
      </c>
      <c r="B54" s="173">
        <v>40345</v>
      </c>
      <c r="C54" s="174" t="s">
        <v>362</v>
      </c>
      <c r="D54" s="27">
        <v>0</v>
      </c>
      <c r="E54" s="27">
        <v>8</v>
      </c>
      <c r="F54" s="27">
        <v>9</v>
      </c>
      <c r="G54" s="27">
        <v>8</v>
      </c>
      <c r="H54" s="27">
        <v>9</v>
      </c>
      <c r="I54" s="27">
        <v>0</v>
      </c>
      <c r="J54" s="7">
        <v>7</v>
      </c>
      <c r="K54" s="222">
        <v>4149385.5</v>
      </c>
      <c r="L54" s="223">
        <v>1</v>
      </c>
      <c r="M54" s="224">
        <v>2270000</v>
      </c>
      <c r="N54" s="225">
        <v>61899.9</v>
      </c>
      <c r="O54" s="226">
        <v>2</v>
      </c>
      <c r="P54" s="227">
        <v>22</v>
      </c>
      <c r="Q54" s="226">
        <v>250</v>
      </c>
      <c r="R54" s="227">
        <v>2356</v>
      </c>
      <c r="S54" s="226">
        <v>24565</v>
      </c>
      <c r="T54" s="227">
        <v>287663</v>
      </c>
    </row>
    <row r="55" spans="1:21" x14ac:dyDescent="0.15">
      <c r="A55" s="178"/>
      <c r="B55" s="179">
        <v>40348</v>
      </c>
      <c r="C55" s="180" t="s">
        <v>363</v>
      </c>
      <c r="D55" s="19">
        <v>9</v>
      </c>
      <c r="E55" s="19">
        <v>0</v>
      </c>
      <c r="F55" s="19">
        <v>4</v>
      </c>
      <c r="G55" s="19">
        <v>0</v>
      </c>
      <c r="H55" s="19">
        <v>7</v>
      </c>
      <c r="I55" s="19">
        <v>7</v>
      </c>
      <c r="J55" s="13">
        <v>3</v>
      </c>
      <c r="K55" s="229">
        <v>10006542</v>
      </c>
      <c r="L55" s="230">
        <v>1</v>
      </c>
      <c r="M55" s="229">
        <v>670000</v>
      </c>
      <c r="N55" s="231">
        <v>59336.3</v>
      </c>
      <c r="O55" s="232">
        <v>6</v>
      </c>
      <c r="P55" s="233">
        <v>61</v>
      </c>
      <c r="Q55" s="232">
        <v>542</v>
      </c>
      <c r="R55" s="233">
        <v>5649</v>
      </c>
      <c r="S55" s="232">
        <v>61437</v>
      </c>
      <c r="T55" s="233">
        <v>610404</v>
      </c>
    </row>
    <row r="56" spans="1:21" x14ac:dyDescent="0.15">
      <c r="A56" s="172">
        <v>25</v>
      </c>
      <c r="B56" s="173">
        <v>40352</v>
      </c>
      <c r="C56" s="174" t="s">
        <v>362</v>
      </c>
      <c r="D56" s="27">
        <v>4</v>
      </c>
      <c r="E56" s="27">
        <v>3</v>
      </c>
      <c r="F56" s="27">
        <v>2</v>
      </c>
      <c r="G56" s="27">
        <v>3</v>
      </c>
      <c r="H56" s="27">
        <v>6</v>
      </c>
      <c r="I56" s="27">
        <v>7</v>
      </c>
      <c r="J56" s="7">
        <v>5</v>
      </c>
      <c r="K56" s="222">
        <v>4066356</v>
      </c>
      <c r="L56" s="234">
        <v>1</v>
      </c>
      <c r="M56" s="224">
        <v>270000</v>
      </c>
      <c r="N56" s="225">
        <v>60562.2</v>
      </c>
      <c r="O56" s="226">
        <v>3</v>
      </c>
      <c r="P56" s="227">
        <v>27</v>
      </c>
      <c r="Q56" s="226">
        <v>319</v>
      </c>
      <c r="R56" s="227">
        <v>3210</v>
      </c>
      <c r="S56" s="226">
        <v>31410</v>
      </c>
      <c r="T56" s="227">
        <v>300795</v>
      </c>
      <c r="U56" s="240"/>
    </row>
    <row r="57" spans="1:21" x14ac:dyDescent="0.15">
      <c r="A57" s="178"/>
      <c r="B57" s="179">
        <v>40355</v>
      </c>
      <c r="C57" s="180" t="s">
        <v>363</v>
      </c>
      <c r="D57" s="19">
        <v>9</v>
      </c>
      <c r="E57" s="19">
        <v>0</v>
      </c>
      <c r="F57" s="19">
        <v>4</v>
      </c>
      <c r="G57" s="19">
        <v>0</v>
      </c>
      <c r="H57" s="19">
        <v>4</v>
      </c>
      <c r="I57" s="19">
        <v>1</v>
      </c>
      <c r="J57" s="13">
        <v>5</v>
      </c>
      <c r="K57" s="229">
        <v>9844902</v>
      </c>
      <c r="L57" s="230" t="s">
        <v>23</v>
      </c>
      <c r="M57" s="229" t="s">
        <v>368</v>
      </c>
      <c r="N57" s="231">
        <v>717217.2</v>
      </c>
      <c r="O57" s="232">
        <v>7</v>
      </c>
      <c r="P57" s="233">
        <v>68</v>
      </c>
      <c r="Q57" s="232">
        <v>720</v>
      </c>
      <c r="R57" s="233">
        <v>7136</v>
      </c>
      <c r="S57" s="232">
        <v>68879</v>
      </c>
      <c r="T57" s="233">
        <v>725327</v>
      </c>
    </row>
    <row r="58" spans="1:21" x14ac:dyDescent="0.15">
      <c r="A58" s="172">
        <v>26</v>
      </c>
      <c r="B58" s="173">
        <v>40359</v>
      </c>
      <c r="C58" s="174" t="s">
        <v>362</v>
      </c>
      <c r="D58" s="27">
        <v>7</v>
      </c>
      <c r="E58" s="27">
        <v>4</v>
      </c>
      <c r="F58" s="27">
        <v>6</v>
      </c>
      <c r="G58" s="27">
        <v>8</v>
      </c>
      <c r="H58" s="27">
        <v>7</v>
      </c>
      <c r="I58" s="27">
        <v>0</v>
      </c>
      <c r="J58" s="7">
        <v>4</v>
      </c>
      <c r="K58" s="222">
        <v>4111599</v>
      </c>
      <c r="L58" s="223" t="s">
        <v>23</v>
      </c>
      <c r="M58" s="224" t="s">
        <v>368</v>
      </c>
      <c r="N58" s="225">
        <v>991460.9</v>
      </c>
      <c r="O58" s="226">
        <v>1</v>
      </c>
      <c r="P58" s="227">
        <v>28</v>
      </c>
      <c r="Q58" s="226">
        <v>224</v>
      </c>
      <c r="R58" s="227">
        <v>2096</v>
      </c>
      <c r="S58" s="226">
        <v>20458</v>
      </c>
      <c r="T58" s="227">
        <v>233342</v>
      </c>
    </row>
    <row r="59" spans="1:21" x14ac:dyDescent="0.15">
      <c r="A59" s="178"/>
      <c r="B59" s="179">
        <v>40362</v>
      </c>
      <c r="C59" s="180" t="s">
        <v>363</v>
      </c>
      <c r="D59" s="38">
        <v>2</v>
      </c>
      <c r="E59" s="38">
        <v>5</v>
      </c>
      <c r="F59" s="38">
        <v>7</v>
      </c>
      <c r="G59" s="38">
        <v>3</v>
      </c>
      <c r="H59" s="38">
        <v>2</v>
      </c>
      <c r="I59" s="38">
        <v>0</v>
      </c>
      <c r="J59" s="39">
        <v>9</v>
      </c>
      <c r="K59" s="229">
        <v>9937731</v>
      </c>
      <c r="L59" s="230">
        <v>2</v>
      </c>
      <c r="M59" s="229">
        <v>770000</v>
      </c>
      <c r="N59" s="231">
        <v>114307.6</v>
      </c>
      <c r="O59" s="232">
        <v>5</v>
      </c>
      <c r="P59" s="233">
        <v>50</v>
      </c>
      <c r="Q59" s="232">
        <v>489</v>
      </c>
      <c r="R59" s="233">
        <v>5253</v>
      </c>
      <c r="S59" s="232">
        <v>51638</v>
      </c>
      <c r="T59" s="233">
        <v>588286</v>
      </c>
    </row>
    <row r="60" spans="1:21" x14ac:dyDescent="0.15">
      <c r="A60" s="45"/>
      <c r="B60" s="46"/>
      <c r="C60" s="46"/>
      <c r="D60" s="276"/>
      <c r="E60" s="276"/>
      <c r="F60" s="276"/>
      <c r="G60" s="276"/>
      <c r="H60" s="276"/>
      <c r="I60" s="276" t="s">
        <v>24</v>
      </c>
      <c r="J60" s="276"/>
      <c r="K60" s="277"/>
      <c r="L60" s="278">
        <f>SUM(L8:L59)</f>
        <v>27</v>
      </c>
      <c r="M60" s="229"/>
      <c r="N60" s="278"/>
      <c r="O60" s="278">
        <f t="shared" ref="O60:T60" si="0">SUM(O8:O59)</f>
        <v>269</v>
      </c>
      <c r="P60" s="278">
        <f t="shared" si="0"/>
        <v>2488</v>
      </c>
      <c r="Q60" s="278">
        <f t="shared" si="0"/>
        <v>24799</v>
      </c>
      <c r="R60" s="278">
        <f t="shared" si="0"/>
        <v>248397</v>
      </c>
      <c r="S60" s="278">
        <f t="shared" si="0"/>
        <v>2456831</v>
      </c>
      <c r="T60" s="272">
        <f t="shared" si="0"/>
        <v>24557352</v>
      </c>
    </row>
    <row r="62" spans="1:21" x14ac:dyDescent="0.15">
      <c r="K62" s="254"/>
    </row>
    <row r="63" spans="1:21" ht="12.75" x14ac:dyDescent="0.2">
      <c r="A63" s="1" t="s">
        <v>364</v>
      </c>
      <c r="T63" s="3" t="s">
        <v>408</v>
      </c>
    </row>
    <row r="64" spans="1:21" ht="11.1" customHeight="1" x14ac:dyDescent="0.15">
      <c r="A64" s="6" t="s">
        <v>2</v>
      </c>
      <c r="T64" s="288" t="s">
        <v>370</v>
      </c>
    </row>
    <row r="65" spans="1:21" ht="11.1" customHeight="1" x14ac:dyDescent="0.15">
      <c r="A65" s="7"/>
      <c r="B65" s="8"/>
      <c r="C65" s="177"/>
      <c r="D65" s="9"/>
      <c r="E65" s="9"/>
      <c r="F65" s="9"/>
      <c r="G65" s="9"/>
      <c r="H65" s="9"/>
      <c r="I65" s="9"/>
      <c r="J65" s="10"/>
      <c r="K65" s="8"/>
      <c r="L65" s="9"/>
      <c r="M65" s="12"/>
      <c r="N65" s="10"/>
      <c r="O65" s="8"/>
      <c r="P65" s="10"/>
      <c r="Q65" s="8"/>
      <c r="R65" s="10"/>
      <c r="S65" s="8"/>
      <c r="T65" s="10"/>
    </row>
    <row r="66" spans="1:21" ht="11.1" customHeight="1" x14ac:dyDescent="0.15">
      <c r="A66" s="13"/>
      <c r="B66" s="14"/>
      <c r="C66" s="125"/>
      <c r="D66" s="15" t="s">
        <v>4</v>
      </c>
      <c r="E66" s="16"/>
      <c r="F66" s="16"/>
      <c r="G66" s="16"/>
      <c r="H66" s="16"/>
      <c r="I66" s="16"/>
      <c r="J66" s="17" t="s">
        <v>5</v>
      </c>
      <c r="K66" s="209" t="s">
        <v>6</v>
      </c>
      <c r="L66" s="6" t="s">
        <v>7</v>
      </c>
      <c r="M66" s="18"/>
      <c r="N66" s="13" t="s">
        <v>21</v>
      </c>
      <c r="O66" s="14" t="s">
        <v>8</v>
      </c>
      <c r="P66" s="13" t="s">
        <v>9</v>
      </c>
      <c r="Q66" s="14" t="s">
        <v>10</v>
      </c>
      <c r="R66" s="13" t="s">
        <v>11</v>
      </c>
      <c r="S66" s="14" t="s">
        <v>12</v>
      </c>
      <c r="T66" s="13" t="s">
        <v>49</v>
      </c>
    </row>
    <row r="67" spans="1:21" ht="11.1" customHeight="1" x14ac:dyDescent="0.15">
      <c r="A67" s="13" t="s">
        <v>428</v>
      </c>
      <c r="B67" s="14">
        <v>2010</v>
      </c>
      <c r="C67" s="220" t="s">
        <v>361</v>
      </c>
      <c r="D67" s="19"/>
      <c r="E67" s="19"/>
      <c r="F67" s="19"/>
      <c r="G67" s="19"/>
      <c r="H67" s="19"/>
      <c r="I67" s="19"/>
      <c r="J67" s="17" t="s">
        <v>13</v>
      </c>
      <c r="K67" s="14"/>
      <c r="L67" s="6" t="s">
        <v>366</v>
      </c>
      <c r="M67" s="18"/>
      <c r="N67" s="13" t="s">
        <v>367</v>
      </c>
      <c r="O67" s="239">
        <v>70000</v>
      </c>
      <c r="P67" s="239">
        <v>7000</v>
      </c>
      <c r="Q67" s="239">
        <v>700</v>
      </c>
      <c r="R67" s="239">
        <v>70</v>
      </c>
      <c r="S67" s="239">
        <v>7</v>
      </c>
      <c r="T67" s="239">
        <v>2.5</v>
      </c>
    </row>
    <row r="68" spans="1:21" ht="11.1" customHeight="1" x14ac:dyDescent="0.15">
      <c r="A68" s="13"/>
      <c r="B68" s="14"/>
      <c r="C68" s="220"/>
      <c r="D68" s="289"/>
      <c r="E68" s="289"/>
      <c r="F68" s="289"/>
      <c r="G68" s="289"/>
      <c r="H68" s="289"/>
      <c r="I68" s="289"/>
      <c r="J68" s="290"/>
      <c r="K68" s="14"/>
      <c r="L68" s="368" t="s">
        <v>369</v>
      </c>
      <c r="M68" s="369"/>
      <c r="N68" s="13"/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1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</row>
    <row r="70" spans="1:21" x14ac:dyDescent="0.15">
      <c r="A70" s="172">
        <v>27</v>
      </c>
      <c r="B70" s="173">
        <v>40366</v>
      </c>
      <c r="C70" s="174" t="s">
        <v>362</v>
      </c>
      <c r="D70" s="27">
        <v>2</v>
      </c>
      <c r="E70" s="27">
        <v>8</v>
      </c>
      <c r="F70" s="27">
        <v>8</v>
      </c>
      <c r="G70" s="27">
        <v>4</v>
      </c>
      <c r="H70" s="27">
        <v>7</v>
      </c>
      <c r="I70" s="27">
        <v>3</v>
      </c>
      <c r="J70" s="7">
        <v>8</v>
      </c>
      <c r="K70" s="222">
        <v>4047873</v>
      </c>
      <c r="L70" s="223" t="s">
        <v>23</v>
      </c>
      <c r="M70" s="224" t="s">
        <v>368</v>
      </c>
      <c r="N70" s="225">
        <v>384300.7</v>
      </c>
      <c r="O70" s="226">
        <v>2</v>
      </c>
      <c r="P70" s="227">
        <v>34</v>
      </c>
      <c r="Q70" s="226">
        <v>265</v>
      </c>
      <c r="R70" s="227">
        <v>2673</v>
      </c>
      <c r="S70" s="226">
        <v>27176</v>
      </c>
      <c r="T70" s="227">
        <v>262899</v>
      </c>
      <c r="U70" s="240"/>
    </row>
    <row r="71" spans="1:21" x14ac:dyDescent="0.15">
      <c r="A71" s="178"/>
      <c r="B71" s="179">
        <v>40369</v>
      </c>
      <c r="C71" s="180" t="s">
        <v>363</v>
      </c>
      <c r="D71" s="19">
        <v>7</v>
      </c>
      <c r="E71" s="19">
        <v>3</v>
      </c>
      <c r="F71" s="19">
        <v>8</v>
      </c>
      <c r="G71" s="19">
        <v>1</v>
      </c>
      <c r="H71" s="19">
        <v>7</v>
      </c>
      <c r="I71" s="19">
        <v>0</v>
      </c>
      <c r="J71" s="13">
        <v>7</v>
      </c>
      <c r="K71" s="229">
        <v>9682114.5</v>
      </c>
      <c r="L71" s="230" t="s">
        <v>23</v>
      </c>
      <c r="M71" s="229" t="s">
        <v>368</v>
      </c>
      <c r="N71" s="231">
        <v>1030097.6999999972</v>
      </c>
      <c r="O71" s="232">
        <v>4</v>
      </c>
      <c r="P71" s="233">
        <v>58</v>
      </c>
      <c r="Q71" s="232">
        <v>681</v>
      </c>
      <c r="R71" s="233">
        <v>6383</v>
      </c>
      <c r="S71" s="232">
        <v>58319</v>
      </c>
      <c r="T71" s="233">
        <v>692048</v>
      </c>
    </row>
    <row r="72" spans="1:21" x14ac:dyDescent="0.15">
      <c r="A72" s="172">
        <v>28</v>
      </c>
      <c r="B72" s="173">
        <v>40373</v>
      </c>
      <c r="C72" s="174" t="s">
        <v>362</v>
      </c>
      <c r="D72" s="27">
        <v>8</v>
      </c>
      <c r="E72" s="27">
        <v>6</v>
      </c>
      <c r="F72" s="27">
        <v>5</v>
      </c>
      <c r="G72" s="27">
        <v>0</v>
      </c>
      <c r="H72" s="27">
        <v>6</v>
      </c>
      <c r="I72" s="27">
        <v>7</v>
      </c>
      <c r="J72" s="7">
        <v>6</v>
      </c>
      <c r="K72" s="222">
        <v>4066428</v>
      </c>
      <c r="L72" s="223" t="s">
        <v>23</v>
      </c>
      <c r="M72" s="224" t="s">
        <v>368</v>
      </c>
      <c r="N72" s="225">
        <v>1301328.3999999971</v>
      </c>
      <c r="O72" s="226">
        <v>5</v>
      </c>
      <c r="P72" s="227">
        <v>16</v>
      </c>
      <c r="Q72" s="226">
        <v>244</v>
      </c>
      <c r="R72" s="227">
        <v>2550</v>
      </c>
      <c r="S72" s="226">
        <v>25266</v>
      </c>
      <c r="T72" s="227">
        <v>251356</v>
      </c>
    </row>
    <row r="73" spans="1:21" x14ac:dyDescent="0.15">
      <c r="A73" s="178"/>
      <c r="B73" s="179">
        <v>40376</v>
      </c>
      <c r="C73" s="180" t="s">
        <v>363</v>
      </c>
      <c r="D73" s="19">
        <v>4</v>
      </c>
      <c r="E73" s="19">
        <v>0</v>
      </c>
      <c r="F73" s="19">
        <v>4</v>
      </c>
      <c r="G73" s="19">
        <v>6</v>
      </c>
      <c r="H73" s="19">
        <v>8</v>
      </c>
      <c r="I73" s="19">
        <v>5</v>
      </c>
      <c r="J73" s="13">
        <v>6</v>
      </c>
      <c r="K73" s="229">
        <v>9947580</v>
      </c>
      <c r="L73" s="237">
        <v>2</v>
      </c>
      <c r="M73" s="229">
        <v>970000</v>
      </c>
      <c r="N73" s="231">
        <v>24832</v>
      </c>
      <c r="O73" s="232">
        <v>5</v>
      </c>
      <c r="P73" s="233">
        <v>61</v>
      </c>
      <c r="Q73" s="232">
        <v>636</v>
      </c>
      <c r="R73" s="233">
        <v>6551</v>
      </c>
      <c r="S73" s="232">
        <v>65391</v>
      </c>
      <c r="T73" s="233">
        <v>600941</v>
      </c>
    </row>
    <row r="74" spans="1:21" x14ac:dyDescent="0.15">
      <c r="A74" s="172">
        <v>29</v>
      </c>
      <c r="B74" s="173">
        <v>40380</v>
      </c>
      <c r="C74" s="174" t="s">
        <v>362</v>
      </c>
      <c r="D74" s="27">
        <v>7</v>
      </c>
      <c r="E74" s="27">
        <v>3</v>
      </c>
      <c r="F74" s="27">
        <v>3</v>
      </c>
      <c r="G74" s="27">
        <v>6</v>
      </c>
      <c r="H74" s="27">
        <v>1</v>
      </c>
      <c r="I74" s="27">
        <v>1</v>
      </c>
      <c r="J74" s="7">
        <v>0</v>
      </c>
      <c r="K74" s="222">
        <v>4343458.5</v>
      </c>
      <c r="L74" s="223" t="s">
        <v>23</v>
      </c>
      <c r="M74" s="224" t="s">
        <v>368</v>
      </c>
      <c r="N74" s="225">
        <v>314540.7</v>
      </c>
      <c r="O74" s="226">
        <v>2</v>
      </c>
      <c r="P74" s="227">
        <v>17</v>
      </c>
      <c r="Q74" s="226">
        <v>211</v>
      </c>
      <c r="R74" s="227">
        <v>2045</v>
      </c>
      <c r="S74" s="226">
        <v>20918</v>
      </c>
      <c r="T74" s="227">
        <v>212682</v>
      </c>
    </row>
    <row r="75" spans="1:21" x14ac:dyDescent="0.15">
      <c r="A75" s="178"/>
      <c r="B75" s="179">
        <v>40383</v>
      </c>
      <c r="C75" s="180" t="s">
        <v>363</v>
      </c>
      <c r="D75" s="19">
        <v>7</v>
      </c>
      <c r="E75" s="19">
        <v>5</v>
      </c>
      <c r="F75" s="19">
        <v>0</v>
      </c>
      <c r="G75" s="19">
        <v>5</v>
      </c>
      <c r="H75" s="19">
        <v>7</v>
      </c>
      <c r="I75" s="19">
        <v>9</v>
      </c>
      <c r="J75" s="13">
        <v>1</v>
      </c>
      <c r="K75" s="229">
        <v>10475014.5</v>
      </c>
      <c r="L75" s="230" t="s">
        <v>23</v>
      </c>
      <c r="M75" s="229" t="s">
        <v>368</v>
      </c>
      <c r="N75" s="231">
        <v>1013224.1999999972</v>
      </c>
      <c r="O75" s="232">
        <v>2</v>
      </c>
      <c r="P75" s="233">
        <v>66</v>
      </c>
      <c r="Q75" s="232">
        <v>545</v>
      </c>
      <c r="R75" s="233">
        <v>5335</v>
      </c>
      <c r="S75" s="232">
        <v>52128</v>
      </c>
      <c r="T75" s="233">
        <v>551408</v>
      </c>
    </row>
    <row r="76" spans="1:21" x14ac:dyDescent="0.15">
      <c r="A76" s="172">
        <v>30</v>
      </c>
      <c r="B76" s="173">
        <v>40387</v>
      </c>
      <c r="C76" s="174" t="s">
        <v>362</v>
      </c>
      <c r="D76" s="27">
        <v>2</v>
      </c>
      <c r="E76" s="27">
        <v>1</v>
      </c>
      <c r="F76" s="27">
        <v>3</v>
      </c>
      <c r="G76" s="27">
        <v>4</v>
      </c>
      <c r="H76" s="27">
        <v>7</v>
      </c>
      <c r="I76" s="27">
        <v>3</v>
      </c>
      <c r="J76" s="7">
        <v>3</v>
      </c>
      <c r="K76" s="222">
        <v>4988974.5</v>
      </c>
      <c r="L76" s="223" t="s">
        <v>23</v>
      </c>
      <c r="M76" s="224" t="s">
        <v>368</v>
      </c>
      <c r="N76" s="225">
        <v>1345988.7999999973</v>
      </c>
      <c r="O76" s="226">
        <v>1</v>
      </c>
      <c r="P76" s="227">
        <v>34</v>
      </c>
      <c r="Q76" s="226">
        <v>328</v>
      </c>
      <c r="R76" s="227">
        <v>3382</v>
      </c>
      <c r="S76" s="226">
        <v>31699</v>
      </c>
      <c r="T76" s="227">
        <v>306148</v>
      </c>
    </row>
    <row r="77" spans="1:21" x14ac:dyDescent="0.15">
      <c r="A77" s="178"/>
      <c r="B77" s="179">
        <v>40390</v>
      </c>
      <c r="C77" s="180" t="s">
        <v>363</v>
      </c>
      <c r="D77" s="19">
        <v>0</v>
      </c>
      <c r="E77" s="19">
        <v>7</v>
      </c>
      <c r="F77" s="19">
        <v>5</v>
      </c>
      <c r="G77" s="19">
        <v>1</v>
      </c>
      <c r="H77" s="19">
        <v>7</v>
      </c>
      <c r="I77" s="19">
        <v>6</v>
      </c>
      <c r="J77" s="13">
        <v>4</v>
      </c>
      <c r="K77" s="229">
        <v>10146069</v>
      </c>
      <c r="L77" s="230">
        <v>1</v>
      </c>
      <c r="M77" s="229">
        <v>1970000</v>
      </c>
      <c r="N77" s="231">
        <v>52731.6</v>
      </c>
      <c r="O77" s="232">
        <v>5</v>
      </c>
      <c r="P77" s="233">
        <v>44</v>
      </c>
      <c r="Q77" s="232">
        <v>632</v>
      </c>
      <c r="R77" s="233">
        <v>6096</v>
      </c>
      <c r="S77" s="232">
        <v>59255</v>
      </c>
      <c r="T77" s="233">
        <v>567577</v>
      </c>
    </row>
    <row r="78" spans="1:21" x14ac:dyDescent="0.15">
      <c r="A78" s="172">
        <v>31</v>
      </c>
      <c r="B78" s="173">
        <v>40394</v>
      </c>
      <c r="C78" s="174" t="s">
        <v>362</v>
      </c>
      <c r="D78" s="27">
        <v>6</v>
      </c>
      <c r="E78" s="27">
        <v>5</v>
      </c>
      <c r="F78" s="27">
        <v>7</v>
      </c>
      <c r="G78" s="27">
        <v>7</v>
      </c>
      <c r="H78" s="27">
        <v>8</v>
      </c>
      <c r="I78" s="27">
        <v>1</v>
      </c>
      <c r="J78" s="7">
        <v>5</v>
      </c>
      <c r="K78" s="222">
        <v>4132441.5</v>
      </c>
      <c r="L78" s="223" t="s">
        <v>23</v>
      </c>
      <c r="M78" s="224" t="s">
        <v>368</v>
      </c>
      <c r="N78" s="225">
        <v>328365.40000000002</v>
      </c>
      <c r="O78" s="226" t="s">
        <v>17</v>
      </c>
      <c r="P78" s="227">
        <v>35</v>
      </c>
      <c r="Q78" s="226">
        <v>324</v>
      </c>
      <c r="R78" s="227">
        <v>2997</v>
      </c>
      <c r="S78" s="226">
        <v>29592</v>
      </c>
      <c r="T78" s="227">
        <v>311180</v>
      </c>
    </row>
    <row r="79" spans="1:21" x14ac:dyDescent="0.15">
      <c r="A79" s="178"/>
      <c r="B79" s="179">
        <v>40397</v>
      </c>
      <c r="C79" s="180" t="s">
        <v>363</v>
      </c>
      <c r="D79" s="19">
        <v>8</v>
      </c>
      <c r="E79" s="19">
        <v>5</v>
      </c>
      <c r="F79" s="19">
        <v>6</v>
      </c>
      <c r="G79" s="19">
        <v>7</v>
      </c>
      <c r="H79" s="19">
        <v>6</v>
      </c>
      <c r="I79" s="19">
        <v>0</v>
      </c>
      <c r="J79" s="13">
        <v>1</v>
      </c>
      <c r="K79" s="229">
        <v>9962076</v>
      </c>
      <c r="L79" s="230">
        <v>1</v>
      </c>
      <c r="M79" s="229">
        <v>970000</v>
      </c>
      <c r="N79" s="231">
        <v>22835.9</v>
      </c>
      <c r="O79" s="232">
        <v>6</v>
      </c>
      <c r="P79" s="233">
        <v>45</v>
      </c>
      <c r="Q79" s="232">
        <v>442</v>
      </c>
      <c r="R79" s="233">
        <v>4898</v>
      </c>
      <c r="S79" s="232">
        <v>47934</v>
      </c>
      <c r="T79" s="233">
        <v>525664</v>
      </c>
    </row>
    <row r="80" spans="1:21" x14ac:dyDescent="0.15">
      <c r="A80" s="172">
        <v>32</v>
      </c>
      <c r="B80" s="173">
        <v>40401</v>
      </c>
      <c r="C80" s="174" t="s">
        <v>362</v>
      </c>
      <c r="D80" s="27">
        <v>5</v>
      </c>
      <c r="E80" s="27">
        <v>1</v>
      </c>
      <c r="F80" s="27">
        <v>3</v>
      </c>
      <c r="G80" s="27">
        <v>3</v>
      </c>
      <c r="H80" s="27">
        <v>7</v>
      </c>
      <c r="I80" s="27">
        <v>3</v>
      </c>
      <c r="J80" s="7">
        <v>8</v>
      </c>
      <c r="K80" s="222">
        <v>4064886</v>
      </c>
      <c r="L80" s="234">
        <v>1</v>
      </c>
      <c r="M80" s="224">
        <v>270000</v>
      </c>
      <c r="N80" s="225">
        <v>23963.8</v>
      </c>
      <c r="O80" s="236">
        <v>2</v>
      </c>
      <c r="P80" s="227">
        <v>26</v>
      </c>
      <c r="Q80" s="226">
        <v>263</v>
      </c>
      <c r="R80" s="227">
        <v>2832</v>
      </c>
      <c r="S80" s="226">
        <v>27423</v>
      </c>
      <c r="T80" s="227">
        <v>262661</v>
      </c>
    </row>
    <row r="81" spans="1:20" x14ac:dyDescent="0.15">
      <c r="A81" s="178"/>
      <c r="B81" s="179">
        <v>40404</v>
      </c>
      <c r="C81" s="180" t="s">
        <v>363</v>
      </c>
      <c r="D81" s="19">
        <v>2</v>
      </c>
      <c r="E81" s="19">
        <v>8</v>
      </c>
      <c r="F81" s="19">
        <v>7</v>
      </c>
      <c r="G81" s="19">
        <v>0</v>
      </c>
      <c r="H81" s="19">
        <v>5</v>
      </c>
      <c r="I81" s="19">
        <v>8</v>
      </c>
      <c r="J81" s="13">
        <v>7</v>
      </c>
      <c r="K81" s="229">
        <v>10137994.5</v>
      </c>
      <c r="L81" s="230">
        <v>2</v>
      </c>
      <c r="M81" s="229">
        <v>270000</v>
      </c>
      <c r="N81" s="231">
        <v>160168</v>
      </c>
      <c r="O81" s="232">
        <v>6</v>
      </c>
      <c r="P81" s="233">
        <v>72</v>
      </c>
      <c r="Q81" s="232">
        <v>642</v>
      </c>
      <c r="R81" s="233">
        <v>6769</v>
      </c>
      <c r="S81" s="232">
        <v>67842</v>
      </c>
      <c r="T81" s="233">
        <v>712618</v>
      </c>
    </row>
    <row r="82" spans="1:20" x14ac:dyDescent="0.15">
      <c r="A82" s="172">
        <v>33</v>
      </c>
      <c r="B82" s="173">
        <v>40408</v>
      </c>
      <c r="C82" s="174" t="s">
        <v>362</v>
      </c>
      <c r="D82" s="27">
        <v>7</v>
      </c>
      <c r="E82" s="27">
        <v>6</v>
      </c>
      <c r="F82" s="27">
        <v>7</v>
      </c>
      <c r="G82" s="27">
        <v>7</v>
      </c>
      <c r="H82" s="27">
        <v>5</v>
      </c>
      <c r="I82" s="27">
        <v>3</v>
      </c>
      <c r="J82" s="7">
        <v>7</v>
      </c>
      <c r="K82" s="222">
        <v>4305156</v>
      </c>
      <c r="L82" s="223">
        <v>1</v>
      </c>
      <c r="M82" s="279">
        <v>370000</v>
      </c>
      <c r="N82" s="225">
        <v>77321.899999999994</v>
      </c>
      <c r="O82" s="226">
        <v>4</v>
      </c>
      <c r="P82" s="227">
        <v>32</v>
      </c>
      <c r="Q82" s="226">
        <v>276</v>
      </c>
      <c r="R82" s="227">
        <v>2863</v>
      </c>
      <c r="S82" s="226">
        <v>28513</v>
      </c>
      <c r="T82" s="227">
        <v>298413</v>
      </c>
    </row>
    <row r="83" spans="1:20" x14ac:dyDescent="0.15">
      <c r="A83" s="178"/>
      <c r="B83" s="179">
        <v>40411</v>
      </c>
      <c r="C83" s="180" t="s">
        <v>363</v>
      </c>
      <c r="D83" s="19">
        <v>1</v>
      </c>
      <c r="E83" s="19">
        <v>2</v>
      </c>
      <c r="F83" s="19">
        <v>3</v>
      </c>
      <c r="G83" s="19">
        <v>2</v>
      </c>
      <c r="H83" s="19">
        <v>1</v>
      </c>
      <c r="I83" s="19">
        <v>3</v>
      </c>
      <c r="J83" s="13">
        <v>9</v>
      </c>
      <c r="K83" s="229">
        <v>10242076.5</v>
      </c>
      <c r="L83" s="230">
        <v>1</v>
      </c>
      <c r="M83" s="229">
        <v>670000</v>
      </c>
      <c r="N83" s="231">
        <v>90468.4</v>
      </c>
      <c r="O83" s="232">
        <v>11</v>
      </c>
      <c r="P83" s="233">
        <v>68</v>
      </c>
      <c r="Q83" s="232">
        <v>592</v>
      </c>
      <c r="R83" s="233">
        <v>6061</v>
      </c>
      <c r="S83" s="232">
        <v>59921</v>
      </c>
      <c r="T83" s="233">
        <v>596558</v>
      </c>
    </row>
    <row r="84" spans="1:20" x14ac:dyDescent="0.15">
      <c r="A84" s="172">
        <v>34</v>
      </c>
      <c r="B84" s="173">
        <v>40415</v>
      </c>
      <c r="C84" s="174" t="s">
        <v>362</v>
      </c>
      <c r="D84" s="27">
        <v>1</v>
      </c>
      <c r="E84" s="27">
        <v>5</v>
      </c>
      <c r="F84" s="27">
        <v>2</v>
      </c>
      <c r="G84" s="27">
        <v>3</v>
      </c>
      <c r="H84" s="27">
        <v>3</v>
      </c>
      <c r="I84" s="27">
        <v>0</v>
      </c>
      <c r="J84" s="7">
        <v>0</v>
      </c>
      <c r="K84" s="222">
        <v>4691862</v>
      </c>
      <c r="L84" s="223" t="s">
        <v>23</v>
      </c>
      <c r="M84" s="224" t="s">
        <v>368</v>
      </c>
      <c r="N84" s="225">
        <v>403415.6</v>
      </c>
      <c r="O84" s="226">
        <v>4</v>
      </c>
      <c r="P84" s="227">
        <v>29</v>
      </c>
      <c r="Q84" s="226">
        <v>274</v>
      </c>
      <c r="R84" s="227">
        <v>2431</v>
      </c>
      <c r="S84" s="226">
        <v>26657</v>
      </c>
      <c r="T84" s="227">
        <v>225907</v>
      </c>
    </row>
    <row r="85" spans="1:20" x14ac:dyDescent="0.15">
      <c r="A85" s="178"/>
      <c r="B85" s="179">
        <v>40418</v>
      </c>
      <c r="C85" s="180" t="s">
        <v>363</v>
      </c>
      <c r="D85" s="19">
        <v>1</v>
      </c>
      <c r="E85" s="19">
        <v>8</v>
      </c>
      <c r="F85" s="19">
        <v>3</v>
      </c>
      <c r="G85" s="19">
        <v>7</v>
      </c>
      <c r="H85" s="19">
        <v>5</v>
      </c>
      <c r="I85" s="19">
        <v>5</v>
      </c>
      <c r="J85" s="13">
        <v>5</v>
      </c>
      <c r="K85" s="229">
        <v>11065432.5</v>
      </c>
      <c r="L85" s="230">
        <v>1</v>
      </c>
      <c r="M85" s="229">
        <v>1070000</v>
      </c>
      <c r="N85" s="231">
        <v>71479.899999999994</v>
      </c>
      <c r="O85" s="232">
        <v>10</v>
      </c>
      <c r="P85" s="233">
        <v>94</v>
      </c>
      <c r="Q85" s="232">
        <v>975</v>
      </c>
      <c r="R85" s="233">
        <v>9564</v>
      </c>
      <c r="S85" s="232">
        <v>83876</v>
      </c>
      <c r="T85" s="233">
        <v>796802</v>
      </c>
    </row>
    <row r="86" spans="1:20" x14ac:dyDescent="0.15">
      <c r="A86" s="172">
        <v>35</v>
      </c>
      <c r="B86" s="173">
        <v>40422</v>
      </c>
      <c r="C86" s="174" t="s">
        <v>362</v>
      </c>
      <c r="D86" s="27">
        <v>8</v>
      </c>
      <c r="E86" s="27">
        <v>4</v>
      </c>
      <c r="F86" s="27">
        <v>7</v>
      </c>
      <c r="G86" s="27">
        <v>2</v>
      </c>
      <c r="H86" s="27">
        <v>7</v>
      </c>
      <c r="I86" s="27">
        <v>3</v>
      </c>
      <c r="J86" s="7">
        <v>0</v>
      </c>
      <c r="K86" s="222">
        <v>9358467.5</v>
      </c>
      <c r="L86" s="223">
        <v>1</v>
      </c>
      <c r="M86" s="224">
        <v>677777</v>
      </c>
      <c r="N86" s="225">
        <v>59089.9</v>
      </c>
      <c r="O86" s="226">
        <v>5</v>
      </c>
      <c r="P86" s="227">
        <v>24</v>
      </c>
      <c r="Q86" s="226">
        <v>275</v>
      </c>
      <c r="R86" s="227">
        <v>2722</v>
      </c>
      <c r="S86" s="226">
        <v>26782</v>
      </c>
      <c r="T86" s="227">
        <v>281840</v>
      </c>
    </row>
    <row r="87" spans="1:20" x14ac:dyDescent="0.15">
      <c r="A87" s="178"/>
      <c r="B87" s="179">
        <v>40425</v>
      </c>
      <c r="C87" s="180" t="s">
        <v>363</v>
      </c>
      <c r="D87" s="19">
        <v>1</v>
      </c>
      <c r="E87" s="19">
        <v>2</v>
      </c>
      <c r="F87" s="19">
        <v>1</v>
      </c>
      <c r="G87" s="19">
        <v>8</v>
      </c>
      <c r="H87" s="19">
        <v>5</v>
      </c>
      <c r="I87" s="19">
        <v>7</v>
      </c>
      <c r="J87" s="13">
        <v>3</v>
      </c>
      <c r="K87" s="229">
        <v>17307705</v>
      </c>
      <c r="L87" s="230">
        <v>1</v>
      </c>
      <c r="M87" s="229">
        <v>1277777</v>
      </c>
      <c r="N87" s="231">
        <v>11890.7</v>
      </c>
      <c r="O87" s="232">
        <v>8</v>
      </c>
      <c r="P87" s="233">
        <v>57</v>
      </c>
      <c r="Q87" s="232">
        <v>629</v>
      </c>
      <c r="R87" s="233">
        <v>6569</v>
      </c>
      <c r="S87" s="232">
        <v>64181</v>
      </c>
      <c r="T87" s="233">
        <v>637491</v>
      </c>
    </row>
    <row r="88" spans="1:20" x14ac:dyDescent="0.15">
      <c r="A88" s="172">
        <v>36</v>
      </c>
      <c r="B88" s="173">
        <v>40429</v>
      </c>
      <c r="C88" s="174" t="s">
        <v>362</v>
      </c>
      <c r="D88" s="27">
        <v>5</v>
      </c>
      <c r="E88" s="27">
        <v>0</v>
      </c>
      <c r="F88" s="27">
        <v>8</v>
      </c>
      <c r="G88" s="27">
        <v>5</v>
      </c>
      <c r="H88" s="27">
        <v>3</v>
      </c>
      <c r="I88" s="27">
        <v>8</v>
      </c>
      <c r="J88" s="7">
        <v>3</v>
      </c>
      <c r="K88" s="222">
        <v>6896672.5</v>
      </c>
      <c r="L88" s="234">
        <v>1</v>
      </c>
      <c r="M88" s="224">
        <v>477777</v>
      </c>
      <c r="N88" s="225">
        <v>24467.1</v>
      </c>
      <c r="O88" s="226">
        <v>3</v>
      </c>
      <c r="P88" s="227">
        <v>12</v>
      </c>
      <c r="Q88" s="226">
        <v>225</v>
      </c>
      <c r="R88" s="227">
        <v>2419</v>
      </c>
      <c r="S88" s="226">
        <v>24843</v>
      </c>
      <c r="T88" s="227">
        <v>259770</v>
      </c>
    </row>
    <row r="89" spans="1:20" x14ac:dyDescent="0.15">
      <c r="A89" s="178"/>
      <c r="B89" s="179">
        <v>40432</v>
      </c>
      <c r="C89" s="180" t="s">
        <v>363</v>
      </c>
      <c r="D89" s="19">
        <v>0</v>
      </c>
      <c r="E89" s="19">
        <v>7</v>
      </c>
      <c r="F89" s="19">
        <v>2</v>
      </c>
      <c r="G89" s="19">
        <v>2</v>
      </c>
      <c r="H89" s="19">
        <v>5</v>
      </c>
      <c r="I89" s="19">
        <v>0</v>
      </c>
      <c r="J89" s="13">
        <v>1</v>
      </c>
      <c r="K89" s="229">
        <v>16515875</v>
      </c>
      <c r="L89" s="237" t="s">
        <v>23</v>
      </c>
      <c r="M89" s="229" t="s">
        <v>368</v>
      </c>
      <c r="N89" s="231">
        <v>1198745.7999999963</v>
      </c>
      <c r="O89" s="232">
        <v>8</v>
      </c>
      <c r="P89" s="233">
        <v>44</v>
      </c>
      <c r="Q89" s="232">
        <v>492</v>
      </c>
      <c r="R89" s="233">
        <v>5178</v>
      </c>
      <c r="S89" s="232">
        <v>47698</v>
      </c>
      <c r="T89" s="233">
        <v>522825</v>
      </c>
    </row>
    <row r="90" spans="1:20" x14ac:dyDescent="0.15">
      <c r="A90" s="172">
        <v>37</v>
      </c>
      <c r="B90" s="173">
        <v>40436</v>
      </c>
      <c r="C90" s="174" t="s">
        <v>362</v>
      </c>
      <c r="D90" s="27">
        <v>5</v>
      </c>
      <c r="E90" s="27">
        <v>7</v>
      </c>
      <c r="F90" s="27">
        <v>1</v>
      </c>
      <c r="G90" s="27">
        <v>1</v>
      </c>
      <c r="H90" s="27">
        <v>3</v>
      </c>
      <c r="I90" s="27">
        <v>3</v>
      </c>
      <c r="J90" s="7">
        <v>0</v>
      </c>
      <c r="K90" s="222">
        <v>7101695</v>
      </c>
      <c r="L90" s="234">
        <v>1</v>
      </c>
      <c r="M90" s="224">
        <v>1677777</v>
      </c>
      <c r="N90" s="225">
        <v>25899.3</v>
      </c>
      <c r="O90" s="226">
        <v>2</v>
      </c>
      <c r="P90" s="227">
        <v>25</v>
      </c>
      <c r="Q90" s="226">
        <v>216</v>
      </c>
      <c r="R90" s="227">
        <v>1962</v>
      </c>
      <c r="S90" s="226">
        <v>20650</v>
      </c>
      <c r="T90" s="227">
        <v>212627</v>
      </c>
    </row>
    <row r="91" spans="1:20" x14ac:dyDescent="0.15">
      <c r="A91" s="178"/>
      <c r="B91" s="179">
        <v>40439</v>
      </c>
      <c r="C91" s="180" t="s">
        <v>363</v>
      </c>
      <c r="D91" s="19">
        <v>3</v>
      </c>
      <c r="E91" s="19">
        <v>0</v>
      </c>
      <c r="F91" s="19">
        <v>5</v>
      </c>
      <c r="G91" s="19">
        <v>3</v>
      </c>
      <c r="H91" s="19">
        <v>5</v>
      </c>
      <c r="I91" s="19">
        <v>8</v>
      </c>
      <c r="J91" s="13">
        <v>0</v>
      </c>
      <c r="K91" s="229">
        <v>16964487.5</v>
      </c>
      <c r="L91" s="230" t="s">
        <v>23</v>
      </c>
      <c r="M91" s="229" t="s">
        <v>368</v>
      </c>
      <c r="N91" s="231">
        <v>1232074.3999999962</v>
      </c>
      <c r="O91" s="232">
        <v>4</v>
      </c>
      <c r="P91" s="233">
        <v>35</v>
      </c>
      <c r="Q91" s="232">
        <v>486</v>
      </c>
      <c r="R91" s="233">
        <v>5038</v>
      </c>
      <c r="S91" s="232">
        <v>47557</v>
      </c>
      <c r="T91" s="233">
        <v>484057</v>
      </c>
    </row>
    <row r="92" spans="1:20" x14ac:dyDescent="0.15">
      <c r="A92" s="172">
        <v>38</v>
      </c>
      <c r="B92" s="173">
        <v>40443</v>
      </c>
      <c r="C92" s="174" t="s">
        <v>362</v>
      </c>
      <c r="D92" s="27">
        <v>2</v>
      </c>
      <c r="E92" s="27">
        <v>0</v>
      </c>
      <c r="F92" s="27">
        <v>8</v>
      </c>
      <c r="G92" s="27">
        <v>0</v>
      </c>
      <c r="H92" s="27">
        <v>6</v>
      </c>
      <c r="I92" s="27">
        <v>7</v>
      </c>
      <c r="J92" s="7">
        <v>6</v>
      </c>
      <c r="K92" s="222">
        <v>7725182.5</v>
      </c>
      <c r="L92" s="223" t="s">
        <v>23</v>
      </c>
      <c r="M92" s="224" t="s">
        <v>368</v>
      </c>
      <c r="N92" s="225">
        <v>1781334.8999999964</v>
      </c>
      <c r="O92" s="226">
        <v>2</v>
      </c>
      <c r="P92" s="226">
        <v>27</v>
      </c>
      <c r="Q92" s="227">
        <v>285</v>
      </c>
      <c r="R92" s="226">
        <v>2898</v>
      </c>
      <c r="S92" s="227">
        <v>28660</v>
      </c>
      <c r="T92" s="226">
        <v>283663</v>
      </c>
    </row>
    <row r="93" spans="1:20" x14ac:dyDescent="0.15">
      <c r="A93" s="178"/>
      <c r="B93" s="179">
        <v>40446</v>
      </c>
      <c r="C93" s="180" t="s">
        <v>363</v>
      </c>
      <c r="D93" s="19">
        <v>9</v>
      </c>
      <c r="E93" s="19">
        <v>7</v>
      </c>
      <c r="F93" s="19">
        <v>7</v>
      </c>
      <c r="G93" s="19">
        <v>7</v>
      </c>
      <c r="H93" s="19">
        <v>6</v>
      </c>
      <c r="I93" s="19">
        <v>9</v>
      </c>
      <c r="J93" s="13">
        <v>8</v>
      </c>
      <c r="K93" s="229">
        <v>16222525</v>
      </c>
      <c r="L93" s="237" t="s">
        <v>23</v>
      </c>
      <c r="M93" s="229" t="s">
        <v>368</v>
      </c>
      <c r="N93" s="231">
        <v>2934756.3999999966</v>
      </c>
      <c r="O93" s="232">
        <v>5</v>
      </c>
      <c r="P93" s="232">
        <v>63</v>
      </c>
      <c r="Q93" s="233">
        <v>613</v>
      </c>
      <c r="R93" s="232">
        <v>6290</v>
      </c>
      <c r="S93" s="233">
        <v>61053</v>
      </c>
      <c r="T93" s="232">
        <v>651570</v>
      </c>
    </row>
    <row r="94" spans="1:20" x14ac:dyDescent="0.15">
      <c r="A94" s="172">
        <v>39</v>
      </c>
      <c r="B94" s="173">
        <v>40450</v>
      </c>
      <c r="C94" s="174" t="s">
        <v>362</v>
      </c>
      <c r="D94" s="27">
        <v>0</v>
      </c>
      <c r="E94" s="27">
        <v>4</v>
      </c>
      <c r="F94" s="27">
        <v>6</v>
      </c>
      <c r="G94" s="27">
        <v>8</v>
      </c>
      <c r="H94" s="27">
        <v>9</v>
      </c>
      <c r="I94" s="27">
        <v>2</v>
      </c>
      <c r="J94" s="7">
        <v>4</v>
      </c>
      <c r="K94" s="222">
        <v>7345032.5</v>
      </c>
      <c r="L94" s="234" t="s">
        <v>23</v>
      </c>
      <c r="M94" s="224" t="s">
        <v>368</v>
      </c>
      <c r="N94" s="225">
        <v>3456988.1999999965</v>
      </c>
      <c r="O94" s="226">
        <v>2</v>
      </c>
      <c r="P94" s="226">
        <v>24</v>
      </c>
      <c r="Q94" s="227">
        <v>265</v>
      </c>
      <c r="R94" s="226">
        <v>2546</v>
      </c>
      <c r="S94" s="227">
        <v>24961</v>
      </c>
      <c r="T94" s="226">
        <v>245237</v>
      </c>
    </row>
    <row r="95" spans="1:20" x14ac:dyDescent="0.15">
      <c r="A95" s="178"/>
      <c r="B95" s="179">
        <v>40453</v>
      </c>
      <c r="C95" s="180" t="s">
        <v>363</v>
      </c>
      <c r="D95" s="19">
        <v>5</v>
      </c>
      <c r="E95" s="19">
        <v>0</v>
      </c>
      <c r="F95" s="19">
        <v>9</v>
      </c>
      <c r="G95" s="19">
        <v>2</v>
      </c>
      <c r="H95" s="19">
        <v>4</v>
      </c>
      <c r="I95" s="19">
        <v>6</v>
      </c>
      <c r="J95" s="13">
        <v>6</v>
      </c>
      <c r="K95" s="229">
        <v>17582467.5</v>
      </c>
      <c r="L95" s="230" t="s">
        <v>23</v>
      </c>
      <c r="M95" s="229" t="s">
        <v>368</v>
      </c>
      <c r="N95" s="231">
        <v>4707101.5999999968</v>
      </c>
      <c r="O95" s="232">
        <v>5</v>
      </c>
      <c r="P95" s="233">
        <v>55</v>
      </c>
      <c r="Q95" s="232">
        <v>685</v>
      </c>
      <c r="R95" s="233">
        <v>6715</v>
      </c>
      <c r="S95" s="232">
        <v>68434</v>
      </c>
      <c r="T95" s="233">
        <v>638197</v>
      </c>
    </row>
    <row r="96" spans="1:20" x14ac:dyDescent="0.15">
      <c r="A96" s="172">
        <v>40</v>
      </c>
      <c r="B96" s="173">
        <v>40457</v>
      </c>
      <c r="C96" s="174" t="s">
        <v>362</v>
      </c>
      <c r="D96" s="27">
        <v>7</v>
      </c>
      <c r="E96" s="27">
        <v>7</v>
      </c>
      <c r="F96" s="27">
        <v>1</v>
      </c>
      <c r="G96" s="27">
        <v>3</v>
      </c>
      <c r="H96" s="27">
        <v>3</v>
      </c>
      <c r="I96" s="27">
        <v>8</v>
      </c>
      <c r="J96" s="7">
        <v>1</v>
      </c>
      <c r="K96" s="222">
        <v>6910967.5</v>
      </c>
      <c r="L96" s="234">
        <v>1</v>
      </c>
      <c r="M96" s="224">
        <v>5177777</v>
      </c>
      <c r="N96" s="224">
        <v>20694.400000000001</v>
      </c>
      <c r="O96" s="226">
        <v>2</v>
      </c>
      <c r="P96" s="226">
        <v>15</v>
      </c>
      <c r="Q96" s="227">
        <v>211</v>
      </c>
      <c r="R96" s="226">
        <v>2119</v>
      </c>
      <c r="S96" s="227">
        <v>21897</v>
      </c>
      <c r="T96" s="226">
        <v>219794</v>
      </c>
    </row>
    <row r="97" spans="1:21" x14ac:dyDescent="0.15">
      <c r="A97" s="178"/>
      <c r="B97" s="179">
        <v>40460</v>
      </c>
      <c r="C97" s="180" t="s">
        <v>363</v>
      </c>
      <c r="D97" s="19">
        <v>7</v>
      </c>
      <c r="E97" s="19">
        <v>2</v>
      </c>
      <c r="F97" s="19">
        <v>6</v>
      </c>
      <c r="G97" s="19">
        <v>8</v>
      </c>
      <c r="H97" s="19">
        <v>4</v>
      </c>
      <c r="I97" s="19">
        <v>8</v>
      </c>
      <c r="J97" s="13">
        <v>4</v>
      </c>
      <c r="K97" s="229">
        <v>16320905</v>
      </c>
      <c r="L97" s="237" t="s">
        <v>23</v>
      </c>
      <c r="M97" s="229" t="s">
        <v>368</v>
      </c>
      <c r="N97" s="231">
        <v>1181110.6999999967</v>
      </c>
      <c r="O97" s="232">
        <v>4</v>
      </c>
      <c r="P97" s="233">
        <v>58</v>
      </c>
      <c r="Q97" s="232">
        <v>580</v>
      </c>
      <c r="R97" s="233">
        <v>5506</v>
      </c>
      <c r="S97" s="232">
        <v>54759</v>
      </c>
      <c r="T97" s="233">
        <v>546311</v>
      </c>
    </row>
    <row r="98" spans="1:21" x14ac:dyDescent="0.15">
      <c r="A98" s="172">
        <v>41</v>
      </c>
      <c r="B98" s="173">
        <v>40464</v>
      </c>
      <c r="C98" s="174" t="s">
        <v>362</v>
      </c>
      <c r="D98" s="27">
        <v>3</v>
      </c>
      <c r="E98" s="27">
        <v>1</v>
      </c>
      <c r="F98" s="27">
        <v>4</v>
      </c>
      <c r="G98" s="27">
        <v>0</v>
      </c>
      <c r="H98" s="27">
        <v>9</v>
      </c>
      <c r="I98" s="27">
        <v>3</v>
      </c>
      <c r="J98" s="7">
        <v>1</v>
      </c>
      <c r="K98" s="222">
        <v>6960187.5</v>
      </c>
      <c r="L98" s="223">
        <v>1</v>
      </c>
      <c r="M98" s="224">
        <v>1577777</v>
      </c>
      <c r="N98" s="225">
        <v>98203</v>
      </c>
      <c r="O98" s="226">
        <v>2</v>
      </c>
      <c r="P98" s="227">
        <v>17</v>
      </c>
      <c r="Q98" s="226">
        <v>189</v>
      </c>
      <c r="R98" s="227">
        <v>2178</v>
      </c>
      <c r="S98" s="226">
        <v>22623</v>
      </c>
      <c r="T98" s="227">
        <v>221648</v>
      </c>
    </row>
    <row r="99" spans="1:21" x14ac:dyDescent="0.15">
      <c r="A99" s="178"/>
      <c r="B99" s="179">
        <v>40467</v>
      </c>
      <c r="C99" s="180" t="s">
        <v>363</v>
      </c>
      <c r="D99" s="19">
        <v>7</v>
      </c>
      <c r="E99" s="19">
        <v>2</v>
      </c>
      <c r="F99" s="19">
        <v>0</v>
      </c>
      <c r="G99" s="19">
        <v>9</v>
      </c>
      <c r="H99" s="19">
        <v>8</v>
      </c>
      <c r="I99" s="19">
        <v>4</v>
      </c>
      <c r="J99" s="13">
        <v>1</v>
      </c>
      <c r="K99" s="229">
        <v>16772050</v>
      </c>
      <c r="L99" s="230" t="s">
        <v>23</v>
      </c>
      <c r="M99" s="229" t="s">
        <v>368</v>
      </c>
      <c r="N99" s="231">
        <v>1290695.7999999973</v>
      </c>
      <c r="O99" s="232">
        <v>3</v>
      </c>
      <c r="P99" s="233">
        <v>55</v>
      </c>
      <c r="Q99" s="232">
        <v>525</v>
      </c>
      <c r="R99" s="233">
        <v>5252</v>
      </c>
      <c r="S99" s="232">
        <v>51806</v>
      </c>
      <c r="T99" s="233">
        <v>530323</v>
      </c>
    </row>
    <row r="100" spans="1:21" x14ac:dyDescent="0.15">
      <c r="A100" s="172">
        <v>42</v>
      </c>
      <c r="B100" s="173">
        <v>40471</v>
      </c>
      <c r="C100" s="174" t="s">
        <v>362</v>
      </c>
      <c r="D100" s="27">
        <v>1</v>
      </c>
      <c r="E100" s="27">
        <v>1</v>
      </c>
      <c r="F100" s="27">
        <v>6</v>
      </c>
      <c r="G100" s="27">
        <v>6</v>
      </c>
      <c r="H100" s="27">
        <v>4</v>
      </c>
      <c r="I100" s="27">
        <v>1</v>
      </c>
      <c r="J100" s="7">
        <v>8</v>
      </c>
      <c r="K100" s="222">
        <v>7586765</v>
      </c>
      <c r="L100" s="234" t="s">
        <v>23</v>
      </c>
      <c r="M100" s="224" t="s">
        <v>368</v>
      </c>
      <c r="N100" s="225">
        <v>1830114.799999997</v>
      </c>
      <c r="O100" s="226">
        <v>5</v>
      </c>
      <c r="P100" s="227">
        <v>30</v>
      </c>
      <c r="Q100" s="226">
        <v>312</v>
      </c>
      <c r="R100" s="227">
        <v>2876</v>
      </c>
      <c r="S100" s="226">
        <v>28342</v>
      </c>
      <c r="T100" s="227">
        <v>297963</v>
      </c>
    </row>
    <row r="101" spans="1:21" x14ac:dyDescent="0.15">
      <c r="A101" s="178"/>
      <c r="B101" s="179">
        <v>40474</v>
      </c>
      <c r="C101" s="180" t="s">
        <v>363</v>
      </c>
      <c r="D101" s="19">
        <v>4</v>
      </c>
      <c r="E101" s="19">
        <v>0</v>
      </c>
      <c r="F101" s="19">
        <v>1</v>
      </c>
      <c r="G101" s="19">
        <v>8</v>
      </c>
      <c r="H101" s="19">
        <v>0</v>
      </c>
      <c r="I101" s="19">
        <v>2</v>
      </c>
      <c r="J101" s="13">
        <v>9</v>
      </c>
      <c r="K101" s="229">
        <v>17738737.5</v>
      </c>
      <c r="L101" s="237">
        <v>1</v>
      </c>
      <c r="M101" s="229">
        <v>3077777</v>
      </c>
      <c r="N101" s="231">
        <v>13562</v>
      </c>
      <c r="O101" s="232">
        <v>7</v>
      </c>
      <c r="P101" s="233">
        <v>54</v>
      </c>
      <c r="Q101" s="232">
        <v>576</v>
      </c>
      <c r="R101" s="233">
        <v>5812</v>
      </c>
      <c r="S101" s="232">
        <v>61434</v>
      </c>
      <c r="T101" s="233">
        <v>614670</v>
      </c>
      <c r="U101" s="228"/>
    </row>
    <row r="102" spans="1:21" x14ac:dyDescent="0.15">
      <c r="A102" s="172">
        <v>43</v>
      </c>
      <c r="B102" s="173">
        <v>40478</v>
      </c>
      <c r="C102" s="174" t="s">
        <v>362</v>
      </c>
      <c r="D102" s="27">
        <v>0</v>
      </c>
      <c r="E102" s="27">
        <v>8</v>
      </c>
      <c r="F102" s="27">
        <v>0</v>
      </c>
      <c r="G102" s="27">
        <v>9</v>
      </c>
      <c r="H102" s="27">
        <v>6</v>
      </c>
      <c r="I102" s="27">
        <v>8</v>
      </c>
      <c r="J102" s="7">
        <v>6</v>
      </c>
      <c r="K102" s="222">
        <v>8683192.5</v>
      </c>
      <c r="L102" s="223" t="s">
        <v>23</v>
      </c>
      <c r="M102" s="224" t="s">
        <v>368</v>
      </c>
      <c r="N102" s="225">
        <v>630937</v>
      </c>
      <c r="O102" s="226">
        <v>5</v>
      </c>
      <c r="P102" s="227">
        <v>32</v>
      </c>
      <c r="Q102" s="226">
        <v>329</v>
      </c>
      <c r="R102" s="227">
        <v>3285</v>
      </c>
      <c r="S102" s="226">
        <v>31603</v>
      </c>
      <c r="T102" s="227">
        <v>328053</v>
      </c>
    </row>
    <row r="103" spans="1:21" x14ac:dyDescent="0.15">
      <c r="A103" s="178"/>
      <c r="B103" s="287">
        <v>40481</v>
      </c>
      <c r="C103" s="180" t="s">
        <v>363</v>
      </c>
      <c r="D103" s="19">
        <v>0</v>
      </c>
      <c r="E103" s="19">
        <v>5</v>
      </c>
      <c r="F103" s="19">
        <v>5</v>
      </c>
      <c r="G103" s="19">
        <v>5</v>
      </c>
      <c r="H103" s="19">
        <v>8</v>
      </c>
      <c r="I103" s="19">
        <v>6</v>
      </c>
      <c r="J103" s="13">
        <v>0</v>
      </c>
      <c r="K103" s="229">
        <v>19716282.5</v>
      </c>
      <c r="L103" s="237">
        <v>1</v>
      </c>
      <c r="M103" s="229">
        <v>1977777</v>
      </c>
      <c r="N103" s="231">
        <v>54987.7</v>
      </c>
      <c r="O103" s="232">
        <v>6</v>
      </c>
      <c r="P103" s="233">
        <v>55</v>
      </c>
      <c r="Q103" s="232">
        <v>577</v>
      </c>
      <c r="R103" s="233">
        <v>5837</v>
      </c>
      <c r="S103" s="232">
        <v>57961</v>
      </c>
      <c r="T103" s="233">
        <v>575925</v>
      </c>
    </row>
    <row r="104" spans="1:21" x14ac:dyDescent="0.15">
      <c r="A104" s="172">
        <v>44</v>
      </c>
      <c r="B104" s="173">
        <v>40485</v>
      </c>
      <c r="C104" s="174" t="s">
        <v>362</v>
      </c>
      <c r="D104" s="27">
        <v>7</v>
      </c>
      <c r="E104" s="27">
        <v>4</v>
      </c>
      <c r="F104" s="27">
        <v>6</v>
      </c>
      <c r="G104" s="27">
        <v>5</v>
      </c>
      <c r="H104" s="27">
        <v>3</v>
      </c>
      <c r="I104" s="27">
        <v>4</v>
      </c>
      <c r="J104" s="7">
        <v>8</v>
      </c>
      <c r="K104" s="222">
        <v>10248482.5</v>
      </c>
      <c r="L104" s="234">
        <v>1</v>
      </c>
      <c r="M104" s="224">
        <v>777777</v>
      </c>
      <c r="N104" s="225">
        <v>5877.8</v>
      </c>
      <c r="O104" s="226">
        <v>4</v>
      </c>
      <c r="P104" s="227">
        <v>29</v>
      </c>
      <c r="Q104" s="226">
        <v>425</v>
      </c>
      <c r="R104" s="227">
        <v>4214</v>
      </c>
      <c r="S104" s="226">
        <v>40644</v>
      </c>
      <c r="T104" s="227">
        <v>393457</v>
      </c>
    </row>
    <row r="105" spans="1:21" x14ac:dyDescent="0.15">
      <c r="A105" s="178"/>
      <c r="B105" s="179">
        <v>40488</v>
      </c>
      <c r="C105" s="180" t="s">
        <v>363</v>
      </c>
      <c r="D105" s="19">
        <v>7</v>
      </c>
      <c r="E105" s="19">
        <v>6</v>
      </c>
      <c r="F105" s="19">
        <v>3</v>
      </c>
      <c r="G105" s="19">
        <v>1</v>
      </c>
      <c r="H105" s="19">
        <v>5</v>
      </c>
      <c r="I105" s="19">
        <v>2</v>
      </c>
      <c r="J105" s="13">
        <v>7</v>
      </c>
      <c r="K105" s="229">
        <v>21439162.5</v>
      </c>
      <c r="L105" s="237" t="s">
        <v>23</v>
      </c>
      <c r="M105" s="229" t="s">
        <v>368</v>
      </c>
      <c r="N105" s="231">
        <v>1530202.3</v>
      </c>
      <c r="O105" s="232">
        <v>7</v>
      </c>
      <c r="P105" s="232">
        <v>101</v>
      </c>
      <c r="Q105" s="233">
        <v>874</v>
      </c>
      <c r="R105" s="232">
        <v>8813</v>
      </c>
      <c r="S105" s="233">
        <v>89870</v>
      </c>
      <c r="T105" s="232">
        <v>875810</v>
      </c>
    </row>
    <row r="106" spans="1:21" x14ac:dyDescent="0.15">
      <c r="A106" s="172">
        <v>45</v>
      </c>
      <c r="B106" s="173">
        <v>40492</v>
      </c>
      <c r="C106" s="174" t="s">
        <v>362</v>
      </c>
      <c r="D106" s="27">
        <v>6</v>
      </c>
      <c r="E106" s="27">
        <v>1</v>
      </c>
      <c r="F106" s="27">
        <v>2</v>
      </c>
      <c r="G106" s="27">
        <v>4</v>
      </c>
      <c r="H106" s="27">
        <v>5</v>
      </c>
      <c r="I106" s="27">
        <v>0</v>
      </c>
      <c r="J106" s="7">
        <v>0</v>
      </c>
      <c r="K106" s="222">
        <v>7269507.5</v>
      </c>
      <c r="L106" s="223">
        <v>1</v>
      </c>
      <c r="M106" s="224">
        <v>1977777</v>
      </c>
      <c r="N106" s="225">
        <v>69287.3</v>
      </c>
      <c r="O106" s="226">
        <v>4</v>
      </c>
      <c r="P106" s="227">
        <v>24</v>
      </c>
      <c r="Q106" s="226">
        <v>244</v>
      </c>
      <c r="R106" s="227">
        <v>2697</v>
      </c>
      <c r="S106" s="226">
        <v>25611</v>
      </c>
      <c r="T106" s="227">
        <v>217903</v>
      </c>
    </row>
    <row r="107" spans="1:21" x14ac:dyDescent="0.15">
      <c r="A107" s="178"/>
      <c r="B107" s="179">
        <v>40495</v>
      </c>
      <c r="C107" s="180" t="s">
        <v>363</v>
      </c>
      <c r="D107" s="19">
        <v>0</v>
      </c>
      <c r="E107" s="19">
        <v>7</v>
      </c>
      <c r="F107" s="19">
        <v>7</v>
      </c>
      <c r="G107" s="19">
        <v>2</v>
      </c>
      <c r="H107" s="19">
        <v>6</v>
      </c>
      <c r="I107" s="19">
        <v>8</v>
      </c>
      <c r="J107" s="13">
        <v>5</v>
      </c>
      <c r="K107" s="229">
        <v>16573665</v>
      </c>
      <c r="L107" s="237" t="s">
        <v>23</v>
      </c>
      <c r="M107" s="229" t="s">
        <v>368</v>
      </c>
      <c r="N107" s="231">
        <v>1247674.8999999957</v>
      </c>
      <c r="O107" s="232">
        <v>4</v>
      </c>
      <c r="P107" s="233">
        <v>91</v>
      </c>
      <c r="Q107" s="232">
        <v>708</v>
      </c>
      <c r="R107" s="233">
        <v>7121</v>
      </c>
      <c r="S107" s="232">
        <v>71258</v>
      </c>
      <c r="T107" s="233">
        <v>726211</v>
      </c>
    </row>
    <row r="108" spans="1:21" x14ac:dyDescent="0.15">
      <c r="A108" s="172">
        <v>46</v>
      </c>
      <c r="B108" s="173">
        <v>40499</v>
      </c>
      <c r="C108" s="174" t="s">
        <v>362</v>
      </c>
      <c r="D108" s="27">
        <v>4</v>
      </c>
      <c r="E108" s="27">
        <v>8</v>
      </c>
      <c r="F108" s="27">
        <v>6</v>
      </c>
      <c r="G108" s="27">
        <v>2</v>
      </c>
      <c r="H108" s="27">
        <v>6</v>
      </c>
      <c r="I108" s="27">
        <v>3</v>
      </c>
      <c r="J108" s="7">
        <v>1</v>
      </c>
      <c r="K108" s="222">
        <v>6739847.5</v>
      </c>
      <c r="L108" s="234" t="s">
        <v>23</v>
      </c>
      <c r="M108" s="224" t="s">
        <v>368</v>
      </c>
      <c r="N108" s="225">
        <v>1726878.0999999959</v>
      </c>
      <c r="O108" s="226">
        <v>5</v>
      </c>
      <c r="P108" s="227">
        <v>24</v>
      </c>
      <c r="Q108" s="226">
        <v>222</v>
      </c>
      <c r="R108" s="227">
        <v>2276</v>
      </c>
      <c r="S108" s="226">
        <v>22167</v>
      </c>
      <c r="T108" s="227">
        <v>218675</v>
      </c>
    </row>
    <row r="109" spans="1:21" x14ac:dyDescent="0.15">
      <c r="A109" s="178"/>
      <c r="B109" s="179">
        <v>40502</v>
      </c>
      <c r="C109" s="180" t="s">
        <v>363</v>
      </c>
      <c r="D109" s="19">
        <v>9</v>
      </c>
      <c r="E109" s="19">
        <v>6</v>
      </c>
      <c r="F109" s="19">
        <v>9</v>
      </c>
      <c r="G109" s="19">
        <v>3</v>
      </c>
      <c r="H109" s="19">
        <v>1</v>
      </c>
      <c r="I109" s="19">
        <v>6</v>
      </c>
      <c r="J109" s="13">
        <v>6</v>
      </c>
      <c r="K109" s="229">
        <v>16407770</v>
      </c>
      <c r="L109" s="237">
        <v>1</v>
      </c>
      <c r="M109" s="229">
        <v>2877777</v>
      </c>
      <c r="N109" s="231">
        <v>15693.5</v>
      </c>
      <c r="O109" s="232">
        <v>8</v>
      </c>
      <c r="P109" s="233">
        <v>50</v>
      </c>
      <c r="Q109" s="232">
        <v>634</v>
      </c>
      <c r="R109" s="233">
        <v>6066</v>
      </c>
      <c r="S109" s="232">
        <v>65374</v>
      </c>
      <c r="T109" s="233">
        <v>598806</v>
      </c>
    </row>
    <row r="110" spans="1:21" x14ac:dyDescent="0.15">
      <c r="A110" s="172">
        <v>47</v>
      </c>
      <c r="B110" s="173">
        <v>40506</v>
      </c>
      <c r="C110" s="174" t="s">
        <v>362</v>
      </c>
      <c r="D110" s="27">
        <v>5</v>
      </c>
      <c r="E110" s="27">
        <v>3</v>
      </c>
      <c r="F110" s="27">
        <v>2</v>
      </c>
      <c r="G110" s="27">
        <v>4</v>
      </c>
      <c r="H110" s="27">
        <v>1</v>
      </c>
      <c r="I110" s="27">
        <v>0</v>
      </c>
      <c r="J110" s="7">
        <v>9</v>
      </c>
      <c r="K110" s="222">
        <v>6928815</v>
      </c>
      <c r="L110" s="234" t="s">
        <v>23</v>
      </c>
      <c r="M110" s="224" t="s">
        <v>368</v>
      </c>
      <c r="N110" s="225">
        <v>508332.2</v>
      </c>
      <c r="O110" s="226">
        <v>1</v>
      </c>
      <c r="P110" s="227">
        <v>18</v>
      </c>
      <c r="Q110" s="226">
        <v>209</v>
      </c>
      <c r="R110" s="227">
        <v>2033</v>
      </c>
      <c r="S110" s="226">
        <v>20522</v>
      </c>
      <c r="T110" s="227">
        <v>228683</v>
      </c>
    </row>
    <row r="111" spans="1:21" x14ac:dyDescent="0.15">
      <c r="A111" s="178"/>
      <c r="B111" s="179">
        <v>40509</v>
      </c>
      <c r="C111" s="180" t="s">
        <v>363</v>
      </c>
      <c r="D111" s="19">
        <v>5</v>
      </c>
      <c r="E111" s="19">
        <v>8</v>
      </c>
      <c r="F111" s="19">
        <v>3</v>
      </c>
      <c r="G111" s="19">
        <v>9</v>
      </c>
      <c r="H111" s="19">
        <v>7</v>
      </c>
      <c r="I111" s="19">
        <v>3</v>
      </c>
      <c r="J111" s="13">
        <v>7</v>
      </c>
      <c r="K111" s="229">
        <v>16093527.5</v>
      </c>
      <c r="L111" s="230">
        <v>1</v>
      </c>
      <c r="M111" s="229">
        <v>1577777</v>
      </c>
      <c r="N111" s="231">
        <v>74805</v>
      </c>
      <c r="O111" s="232">
        <v>6</v>
      </c>
      <c r="P111" s="233">
        <v>73</v>
      </c>
      <c r="Q111" s="232">
        <v>666</v>
      </c>
      <c r="R111" s="233">
        <v>6832</v>
      </c>
      <c r="S111" s="232">
        <v>65628</v>
      </c>
      <c r="T111" s="233">
        <v>672749</v>
      </c>
    </row>
    <row r="112" spans="1:21" x14ac:dyDescent="0.15">
      <c r="A112" s="172">
        <v>48</v>
      </c>
      <c r="B112" s="173">
        <v>40513</v>
      </c>
      <c r="C112" s="174" t="s">
        <v>362</v>
      </c>
      <c r="D112" s="27">
        <v>6</v>
      </c>
      <c r="E112" s="27">
        <v>5</v>
      </c>
      <c r="F112" s="27">
        <v>8</v>
      </c>
      <c r="G112" s="27">
        <v>6</v>
      </c>
      <c r="H112" s="27">
        <v>0</v>
      </c>
      <c r="I112" s="27">
        <v>1</v>
      </c>
      <c r="J112" s="7">
        <v>4</v>
      </c>
      <c r="K112" s="222">
        <v>7907100</v>
      </c>
      <c r="L112" s="234" t="s">
        <v>23</v>
      </c>
      <c r="M112" s="224" t="s">
        <v>368</v>
      </c>
      <c r="N112" s="225">
        <v>636999.80000000005</v>
      </c>
      <c r="O112" s="226">
        <v>4</v>
      </c>
      <c r="P112" s="227">
        <v>26</v>
      </c>
      <c r="Q112" s="226">
        <v>240</v>
      </c>
      <c r="R112" s="227">
        <v>2542</v>
      </c>
      <c r="S112" s="226">
        <v>26823</v>
      </c>
      <c r="T112" s="227">
        <v>269282</v>
      </c>
    </row>
    <row r="113" spans="1:20" x14ac:dyDescent="0.15">
      <c r="A113" s="178"/>
      <c r="B113" s="179">
        <v>40516</v>
      </c>
      <c r="C113" s="180" t="s">
        <v>363</v>
      </c>
      <c r="D113" s="19">
        <v>4</v>
      </c>
      <c r="E113" s="19">
        <v>0</v>
      </c>
      <c r="F113" s="19">
        <v>1</v>
      </c>
      <c r="G113" s="19">
        <v>7</v>
      </c>
      <c r="H113" s="19">
        <v>9</v>
      </c>
      <c r="I113" s="19">
        <v>0</v>
      </c>
      <c r="J113" s="13">
        <v>8</v>
      </c>
      <c r="K113" s="229">
        <v>18759437.5</v>
      </c>
      <c r="L113" s="230" t="s">
        <v>23</v>
      </c>
      <c r="M113" s="229" t="s">
        <v>368</v>
      </c>
      <c r="N113" s="231">
        <v>1970795.7999999963</v>
      </c>
      <c r="O113" s="232">
        <v>6</v>
      </c>
      <c r="P113" s="233">
        <v>66</v>
      </c>
      <c r="Q113" s="232">
        <v>586</v>
      </c>
      <c r="R113" s="233">
        <v>6172</v>
      </c>
      <c r="S113" s="232">
        <v>62791</v>
      </c>
      <c r="T113" s="233">
        <v>757325</v>
      </c>
    </row>
    <row r="114" spans="1:20" x14ac:dyDescent="0.15">
      <c r="A114" s="172">
        <v>49</v>
      </c>
      <c r="B114" s="173">
        <v>40520</v>
      </c>
      <c r="C114" s="174" t="s">
        <v>362</v>
      </c>
      <c r="D114" s="27">
        <v>6</v>
      </c>
      <c r="E114" s="27">
        <v>9</v>
      </c>
      <c r="F114" s="27">
        <v>1</v>
      </c>
      <c r="G114" s="27">
        <v>1</v>
      </c>
      <c r="H114" s="27">
        <v>6</v>
      </c>
      <c r="I114" s="27">
        <v>6</v>
      </c>
      <c r="J114" s="7">
        <v>6</v>
      </c>
      <c r="K114" s="222">
        <v>6916225</v>
      </c>
      <c r="L114" s="234" t="s">
        <v>23</v>
      </c>
      <c r="M114" s="224" t="s">
        <v>368</v>
      </c>
      <c r="N114" s="225">
        <v>2462539.3999999971</v>
      </c>
      <c r="O114" s="226">
        <v>4</v>
      </c>
      <c r="P114" s="227">
        <v>35</v>
      </c>
      <c r="Q114" s="226">
        <v>360</v>
      </c>
      <c r="R114" s="227">
        <v>4163</v>
      </c>
      <c r="S114" s="226">
        <v>28172</v>
      </c>
      <c r="T114" s="227">
        <v>259296</v>
      </c>
    </row>
    <row r="115" spans="1:20" x14ac:dyDescent="0.15">
      <c r="A115" s="178"/>
      <c r="B115" s="179">
        <v>40523</v>
      </c>
      <c r="C115" s="180" t="s">
        <v>363</v>
      </c>
      <c r="D115" s="19">
        <v>1</v>
      </c>
      <c r="E115" s="19">
        <v>5</v>
      </c>
      <c r="F115" s="19">
        <v>2</v>
      </c>
      <c r="G115" s="19">
        <v>4</v>
      </c>
      <c r="H115" s="19">
        <v>4</v>
      </c>
      <c r="I115" s="19">
        <v>0</v>
      </c>
      <c r="J115" s="13">
        <v>4</v>
      </c>
      <c r="K115" s="229">
        <v>16580800</v>
      </c>
      <c r="L115" s="230" t="s">
        <v>23</v>
      </c>
      <c r="M115" s="229" t="s">
        <v>368</v>
      </c>
      <c r="N115" s="231">
        <v>3641434.2999999961</v>
      </c>
      <c r="O115" s="232">
        <v>5</v>
      </c>
      <c r="P115" s="233">
        <v>50</v>
      </c>
      <c r="Q115" s="232">
        <v>527</v>
      </c>
      <c r="R115" s="233">
        <v>5148</v>
      </c>
      <c r="S115" s="232">
        <v>49386</v>
      </c>
      <c r="T115" s="233">
        <v>570229</v>
      </c>
    </row>
    <row r="116" spans="1:20" x14ac:dyDescent="0.15">
      <c r="A116" s="172">
        <v>50</v>
      </c>
      <c r="B116" s="173">
        <v>40527</v>
      </c>
      <c r="C116" s="174" t="s">
        <v>362</v>
      </c>
      <c r="D116" s="27">
        <v>9</v>
      </c>
      <c r="E116" s="27">
        <v>0</v>
      </c>
      <c r="F116" s="27">
        <v>0</v>
      </c>
      <c r="G116" s="27">
        <v>4</v>
      </c>
      <c r="H116" s="27">
        <v>2</v>
      </c>
      <c r="I116" s="27">
        <v>8</v>
      </c>
      <c r="J116" s="7">
        <v>8</v>
      </c>
      <c r="K116" s="222">
        <v>6747867.5</v>
      </c>
      <c r="L116" s="234" t="s">
        <v>23</v>
      </c>
      <c r="M116" s="224" t="s">
        <v>368</v>
      </c>
      <c r="N116" s="225">
        <v>4121207.699999996</v>
      </c>
      <c r="O116" s="226">
        <v>2</v>
      </c>
      <c r="P116" s="227">
        <v>27</v>
      </c>
      <c r="Q116" s="226">
        <v>277</v>
      </c>
      <c r="R116" s="227">
        <v>2788</v>
      </c>
      <c r="S116" s="226">
        <v>31195</v>
      </c>
      <c r="T116" s="227">
        <v>264238</v>
      </c>
    </row>
    <row r="117" spans="1:20" x14ac:dyDescent="0.15">
      <c r="A117" s="178"/>
      <c r="B117" s="179">
        <v>40530</v>
      </c>
      <c r="C117" s="180" t="s">
        <v>363</v>
      </c>
      <c r="D117" s="19">
        <v>7</v>
      </c>
      <c r="E117" s="19">
        <v>9</v>
      </c>
      <c r="F117" s="19">
        <v>9</v>
      </c>
      <c r="G117" s="19">
        <v>2</v>
      </c>
      <c r="H117" s="19">
        <v>1</v>
      </c>
      <c r="I117" s="19">
        <v>1</v>
      </c>
      <c r="J117" s="13">
        <v>6</v>
      </c>
      <c r="K117" s="229">
        <v>16580755</v>
      </c>
      <c r="L117" s="230" t="s">
        <v>23</v>
      </c>
      <c r="M117" s="229" t="s">
        <v>368</v>
      </c>
      <c r="N117" s="231">
        <v>5300099.3999999976</v>
      </c>
      <c r="O117" s="232">
        <v>7</v>
      </c>
      <c r="P117" s="233">
        <v>46</v>
      </c>
      <c r="Q117" s="232">
        <v>541</v>
      </c>
      <c r="R117" s="233">
        <v>5468</v>
      </c>
      <c r="S117" s="232">
        <v>57940</v>
      </c>
      <c r="T117" s="233">
        <v>617985</v>
      </c>
    </row>
    <row r="118" spans="1:20" x14ac:dyDescent="0.15">
      <c r="A118" s="172">
        <v>51</v>
      </c>
      <c r="B118" s="173">
        <v>40534</v>
      </c>
      <c r="C118" s="174" t="s">
        <v>362</v>
      </c>
      <c r="D118" s="27">
        <v>8</v>
      </c>
      <c r="E118" s="27">
        <v>9</v>
      </c>
      <c r="F118" s="27">
        <v>1</v>
      </c>
      <c r="G118" s="27">
        <v>6</v>
      </c>
      <c r="H118" s="27">
        <v>8</v>
      </c>
      <c r="I118" s="27">
        <v>8</v>
      </c>
      <c r="J118" s="7">
        <v>8</v>
      </c>
      <c r="K118" s="222">
        <v>7412182.5</v>
      </c>
      <c r="L118" s="234" t="s">
        <v>23</v>
      </c>
      <c r="M118" s="224" t="s">
        <v>368</v>
      </c>
      <c r="N118" s="225">
        <v>5827105.5999999968</v>
      </c>
      <c r="O118" s="226">
        <v>3</v>
      </c>
      <c r="P118" s="227">
        <v>45</v>
      </c>
      <c r="Q118" s="226">
        <v>503</v>
      </c>
      <c r="R118" s="227">
        <v>5168</v>
      </c>
      <c r="S118" s="226">
        <v>31808</v>
      </c>
      <c r="T118" s="227">
        <v>290591</v>
      </c>
    </row>
    <row r="119" spans="1:20" x14ac:dyDescent="0.15">
      <c r="A119" s="178"/>
      <c r="B119" s="179">
        <v>40537</v>
      </c>
      <c r="C119" s="180" t="s">
        <v>363</v>
      </c>
      <c r="D119" s="19">
        <v>8</v>
      </c>
      <c r="E119" s="19">
        <v>1</v>
      </c>
      <c r="F119" s="19">
        <v>0</v>
      </c>
      <c r="G119" s="19">
        <v>9</v>
      </c>
      <c r="H119" s="19">
        <v>6</v>
      </c>
      <c r="I119" s="19">
        <v>4</v>
      </c>
      <c r="J119" s="13">
        <v>2</v>
      </c>
      <c r="K119" s="229">
        <v>17203337.5</v>
      </c>
      <c r="L119" s="230" t="s">
        <v>23</v>
      </c>
      <c r="M119" s="229" t="s">
        <v>368</v>
      </c>
      <c r="N119" s="231">
        <v>7050262.8999999985</v>
      </c>
      <c r="O119" s="232">
        <v>7</v>
      </c>
      <c r="P119" s="233">
        <v>53</v>
      </c>
      <c r="Q119" s="232">
        <v>529</v>
      </c>
      <c r="R119" s="233">
        <v>5628</v>
      </c>
      <c r="S119" s="232">
        <v>55001</v>
      </c>
      <c r="T119" s="233">
        <v>542909</v>
      </c>
    </row>
    <row r="120" spans="1:20" x14ac:dyDescent="0.15">
      <c r="A120" s="172">
        <v>52</v>
      </c>
      <c r="B120" s="173">
        <v>40541</v>
      </c>
      <c r="C120" s="174" t="s">
        <v>362</v>
      </c>
      <c r="D120" s="27">
        <v>3</v>
      </c>
      <c r="E120" s="27">
        <v>6</v>
      </c>
      <c r="F120" s="27">
        <v>0</v>
      </c>
      <c r="G120" s="27">
        <v>2</v>
      </c>
      <c r="H120" s="27">
        <v>3</v>
      </c>
      <c r="I120" s="27">
        <v>7</v>
      </c>
      <c r="J120" s="7">
        <v>3</v>
      </c>
      <c r="K120" s="222">
        <v>7250880</v>
      </c>
      <c r="L120" s="223" t="s">
        <v>23</v>
      </c>
      <c r="M120" s="224" t="s">
        <v>368</v>
      </c>
      <c r="N120" s="225">
        <v>7565800.4999999972</v>
      </c>
      <c r="O120" s="226">
        <v>4</v>
      </c>
      <c r="P120" s="227">
        <v>30</v>
      </c>
      <c r="Q120" s="226">
        <v>260</v>
      </c>
      <c r="R120" s="227">
        <v>2718</v>
      </c>
      <c r="S120" s="226">
        <v>26699</v>
      </c>
      <c r="T120" s="227">
        <v>266074</v>
      </c>
    </row>
    <row r="121" spans="1:20" x14ac:dyDescent="0.15">
      <c r="A121" s="178"/>
      <c r="B121" s="179">
        <v>40544</v>
      </c>
      <c r="C121" s="180" t="s">
        <v>363</v>
      </c>
      <c r="D121" s="38">
        <v>5</v>
      </c>
      <c r="E121" s="38">
        <v>5</v>
      </c>
      <c r="F121" s="38">
        <v>0</v>
      </c>
      <c r="G121" s="38">
        <v>0</v>
      </c>
      <c r="H121" s="38">
        <v>3</v>
      </c>
      <c r="I121" s="38">
        <v>4</v>
      </c>
      <c r="J121" s="39">
        <v>8</v>
      </c>
      <c r="K121" s="229">
        <v>17394472.5</v>
      </c>
      <c r="L121" s="237" t="s">
        <v>23</v>
      </c>
      <c r="M121" s="229" t="s">
        <v>368</v>
      </c>
      <c r="N121" s="231">
        <v>8802547.4999999981</v>
      </c>
      <c r="O121" s="232">
        <v>5</v>
      </c>
      <c r="P121" s="233">
        <v>56</v>
      </c>
      <c r="Q121" s="232">
        <v>725</v>
      </c>
      <c r="R121" s="233">
        <v>7542</v>
      </c>
      <c r="S121" s="232">
        <v>73195</v>
      </c>
      <c r="T121" s="233">
        <v>692236</v>
      </c>
    </row>
    <row r="122" spans="1:20" hidden="1" x14ac:dyDescent="0.15">
      <c r="A122" s="172">
        <v>53</v>
      </c>
      <c r="B122" s="173"/>
      <c r="C122" s="174" t="s">
        <v>362</v>
      </c>
      <c r="D122" s="27"/>
      <c r="E122" s="27"/>
      <c r="F122" s="27"/>
      <c r="G122" s="27"/>
      <c r="H122" s="27"/>
      <c r="I122" s="27"/>
      <c r="J122" s="7"/>
      <c r="K122" s="222"/>
      <c r="L122" s="223"/>
      <c r="M122" s="224"/>
      <c r="N122" s="225"/>
      <c r="O122" s="226"/>
      <c r="P122" s="227"/>
      <c r="Q122" s="226"/>
      <c r="R122" s="227"/>
      <c r="S122" s="226"/>
      <c r="T122" s="227"/>
    </row>
    <row r="123" spans="1:20" hidden="1" x14ac:dyDescent="0.15">
      <c r="A123" s="178"/>
      <c r="B123" s="179"/>
      <c r="C123" s="180" t="s">
        <v>363</v>
      </c>
      <c r="D123" s="38"/>
      <c r="E123" s="38"/>
      <c r="F123" s="38"/>
      <c r="G123" s="38"/>
      <c r="H123" s="38"/>
      <c r="I123" s="38"/>
      <c r="J123" s="39"/>
      <c r="K123" s="229"/>
      <c r="L123" s="230"/>
      <c r="M123" s="229"/>
      <c r="N123" s="231"/>
      <c r="O123" s="232"/>
      <c r="P123" s="233"/>
      <c r="Q123" s="232"/>
      <c r="R123" s="233"/>
      <c r="S123" s="232"/>
      <c r="T123" s="233"/>
    </row>
    <row r="124" spans="1:20" x14ac:dyDescent="0.15">
      <c r="A124" s="45"/>
      <c r="B124" s="46"/>
      <c r="C124" s="46"/>
      <c r="D124" s="276"/>
      <c r="E124" s="276"/>
      <c r="F124" s="276"/>
      <c r="G124" s="276"/>
      <c r="H124" s="276"/>
      <c r="I124" s="276" t="s">
        <v>24</v>
      </c>
      <c r="J124" s="276"/>
      <c r="K124" s="277"/>
      <c r="L124" s="278">
        <v>22</v>
      </c>
      <c r="M124" s="229"/>
      <c r="N124" s="278"/>
      <c r="O124" s="278">
        <v>233</v>
      </c>
      <c r="P124" s="278">
        <v>2257</v>
      </c>
      <c r="Q124" s="278">
        <v>23330</v>
      </c>
      <c r="R124" s="278">
        <v>236021</v>
      </c>
      <c r="S124" s="278">
        <v>2301238</v>
      </c>
      <c r="T124" s="272">
        <v>23189285</v>
      </c>
    </row>
  </sheetData>
  <mergeCells count="1">
    <mergeCell ref="L68:M68"/>
  </mergeCells>
  <printOptions horizontalCentered="1" verticalCentered="1"/>
  <pageMargins left="0" right="0" top="0" bottom="0" header="0.51181102362204722" footer="0.51181102362204722"/>
  <pageSetup paperSize="9" scale="8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123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1" ht="14.1" customHeight="1" x14ac:dyDescent="0.2">
      <c r="A2" s="1" t="s">
        <v>364</v>
      </c>
      <c r="T2" s="3" t="s">
        <v>407</v>
      </c>
    </row>
    <row r="3" spans="1:21" ht="11.1" customHeight="1" x14ac:dyDescent="0.15">
      <c r="A3" s="6" t="s">
        <v>2</v>
      </c>
    </row>
    <row r="4" spans="1:21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1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1" ht="11.1" customHeight="1" x14ac:dyDescent="0.15">
      <c r="A6" s="13" t="s">
        <v>428</v>
      </c>
      <c r="B6" s="14">
        <v>2011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371</v>
      </c>
      <c r="M6" s="18"/>
      <c r="N6" s="13" t="s">
        <v>367</v>
      </c>
      <c r="O6" s="239">
        <v>77777</v>
      </c>
      <c r="P6" s="239">
        <v>7777</v>
      </c>
      <c r="Q6" s="239">
        <v>777</v>
      </c>
      <c r="R6" s="239">
        <v>77</v>
      </c>
      <c r="S6" s="239">
        <v>17</v>
      </c>
      <c r="T6" s="239">
        <v>5</v>
      </c>
    </row>
    <row r="7" spans="1:21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1" x14ac:dyDescent="0.15">
      <c r="A8" s="172">
        <v>1</v>
      </c>
      <c r="B8" s="284">
        <v>40548</v>
      </c>
      <c r="C8" s="174" t="s">
        <v>362</v>
      </c>
      <c r="D8" s="27">
        <v>9</v>
      </c>
      <c r="E8" s="27">
        <v>2</v>
      </c>
      <c r="F8" s="27">
        <v>3</v>
      </c>
      <c r="G8" s="27">
        <v>3</v>
      </c>
      <c r="H8" s="27">
        <v>3</v>
      </c>
      <c r="I8" s="27">
        <v>0</v>
      </c>
      <c r="J8" s="7">
        <v>1</v>
      </c>
      <c r="K8" s="222">
        <v>7255320</v>
      </c>
      <c r="L8" s="223" t="s">
        <v>23</v>
      </c>
      <c r="M8" s="224" t="s">
        <v>368</v>
      </c>
      <c r="N8" s="224">
        <v>9318400.799999997</v>
      </c>
      <c r="O8" s="226">
        <v>2</v>
      </c>
      <c r="P8" s="227">
        <v>21</v>
      </c>
      <c r="Q8" s="226">
        <v>196</v>
      </c>
      <c r="R8" s="227">
        <v>2134</v>
      </c>
      <c r="S8" s="226">
        <v>22067</v>
      </c>
      <c r="T8" s="227">
        <v>238228</v>
      </c>
    </row>
    <row r="9" spans="1:21" x14ac:dyDescent="0.15">
      <c r="A9" s="178"/>
      <c r="B9" s="179">
        <v>40551</v>
      </c>
      <c r="C9" s="180" t="s">
        <v>363</v>
      </c>
      <c r="D9" s="19">
        <v>2</v>
      </c>
      <c r="E9" s="19">
        <v>2</v>
      </c>
      <c r="F9" s="19">
        <v>5</v>
      </c>
      <c r="G9" s="19">
        <v>7</v>
      </c>
      <c r="H9" s="19">
        <v>4</v>
      </c>
      <c r="I9" s="19">
        <v>4</v>
      </c>
      <c r="J9" s="13">
        <v>2</v>
      </c>
      <c r="K9" s="229">
        <v>17450252.5</v>
      </c>
      <c r="L9" s="237" t="s">
        <v>23</v>
      </c>
      <c r="M9" s="229" t="s">
        <v>368</v>
      </c>
      <c r="N9" s="231">
        <v>10559113.799999999</v>
      </c>
      <c r="O9" s="232">
        <v>5</v>
      </c>
      <c r="P9" s="233">
        <v>54</v>
      </c>
      <c r="Q9" s="232">
        <v>518</v>
      </c>
      <c r="R9" s="233">
        <v>5519</v>
      </c>
      <c r="S9" s="232">
        <v>56107</v>
      </c>
      <c r="T9" s="233">
        <v>545551</v>
      </c>
      <c r="U9">
        <v>737224</v>
      </c>
    </row>
    <row r="10" spans="1:21" x14ac:dyDescent="0.15">
      <c r="A10" s="172">
        <v>2</v>
      </c>
      <c r="B10" s="173">
        <v>40555</v>
      </c>
      <c r="C10" s="174" t="s">
        <v>362</v>
      </c>
      <c r="D10" s="238">
        <v>3</v>
      </c>
      <c r="E10" s="27">
        <v>8</v>
      </c>
      <c r="F10" s="27">
        <v>2</v>
      </c>
      <c r="G10" s="27">
        <v>1</v>
      </c>
      <c r="H10" s="27">
        <v>8</v>
      </c>
      <c r="I10" s="27">
        <v>8</v>
      </c>
      <c r="J10" s="7">
        <v>8</v>
      </c>
      <c r="K10" s="222">
        <v>8043365</v>
      </c>
      <c r="L10" s="234">
        <v>1</v>
      </c>
      <c r="M10" s="224">
        <v>11077777</v>
      </c>
      <c r="N10" s="225">
        <v>53220.1</v>
      </c>
      <c r="O10" s="226">
        <v>3</v>
      </c>
      <c r="P10" s="227">
        <v>53</v>
      </c>
      <c r="Q10" s="226">
        <v>618</v>
      </c>
      <c r="R10" s="227">
        <v>5821</v>
      </c>
      <c r="S10" s="226">
        <v>35456</v>
      </c>
      <c r="T10" s="227">
        <v>315655</v>
      </c>
    </row>
    <row r="11" spans="1:21" x14ac:dyDescent="0.15">
      <c r="A11" s="178"/>
      <c r="B11" s="179">
        <v>40558</v>
      </c>
      <c r="C11" s="180" t="s">
        <v>363</v>
      </c>
      <c r="D11" s="76">
        <v>2</v>
      </c>
      <c r="E11" s="76">
        <v>5</v>
      </c>
      <c r="F11" s="76">
        <v>8</v>
      </c>
      <c r="G11" s="76">
        <v>6</v>
      </c>
      <c r="H11" s="76">
        <v>8</v>
      </c>
      <c r="I11" s="76">
        <v>9</v>
      </c>
      <c r="J11" s="13">
        <v>1</v>
      </c>
      <c r="K11" s="229">
        <v>16525622.5</v>
      </c>
      <c r="L11" s="237" t="s">
        <v>23</v>
      </c>
      <c r="M11" s="229" t="s">
        <v>368</v>
      </c>
      <c r="N11" s="229">
        <v>1228191.8999999957</v>
      </c>
      <c r="O11" s="232">
        <v>4</v>
      </c>
      <c r="P11" s="233">
        <v>32</v>
      </c>
      <c r="Q11" s="232">
        <v>499</v>
      </c>
      <c r="R11" s="233">
        <v>4892</v>
      </c>
      <c r="S11" s="232">
        <v>49497</v>
      </c>
      <c r="T11" s="233">
        <v>526958</v>
      </c>
    </row>
    <row r="12" spans="1:21" x14ac:dyDescent="0.15">
      <c r="A12" s="172">
        <v>3</v>
      </c>
      <c r="B12" s="173">
        <v>40562</v>
      </c>
      <c r="C12" s="174" t="s">
        <v>362</v>
      </c>
      <c r="D12" s="27">
        <v>2</v>
      </c>
      <c r="E12" s="27">
        <v>9</v>
      </c>
      <c r="F12" s="27">
        <v>0</v>
      </c>
      <c r="G12" s="27">
        <v>5</v>
      </c>
      <c r="H12" s="27">
        <v>7</v>
      </c>
      <c r="I12" s="27">
        <v>7</v>
      </c>
      <c r="J12" s="7">
        <v>6</v>
      </c>
      <c r="K12" s="222">
        <v>6648782.5</v>
      </c>
      <c r="L12" s="234">
        <v>1</v>
      </c>
      <c r="M12" s="224">
        <v>1677777</v>
      </c>
      <c r="N12" s="225">
        <v>23143.3</v>
      </c>
      <c r="O12" s="226">
        <v>5</v>
      </c>
      <c r="P12" s="227">
        <v>25</v>
      </c>
      <c r="Q12" s="226">
        <v>239</v>
      </c>
      <c r="R12" s="227">
        <v>2410</v>
      </c>
      <c r="S12" s="226">
        <v>25698</v>
      </c>
      <c r="T12" s="227">
        <v>253884</v>
      </c>
    </row>
    <row r="13" spans="1:21" x14ac:dyDescent="0.15">
      <c r="A13" s="178"/>
      <c r="B13" s="179">
        <v>40565</v>
      </c>
      <c r="C13" s="180" t="s">
        <v>363</v>
      </c>
      <c r="D13" s="19">
        <v>4</v>
      </c>
      <c r="E13" s="19">
        <v>9</v>
      </c>
      <c r="F13" s="19">
        <v>2</v>
      </c>
      <c r="G13" s="19">
        <v>6</v>
      </c>
      <c r="H13" s="19">
        <v>5</v>
      </c>
      <c r="I13" s="19">
        <v>4</v>
      </c>
      <c r="J13" s="13">
        <v>6</v>
      </c>
      <c r="K13" s="229">
        <v>16111147.5</v>
      </c>
      <c r="L13" s="230">
        <v>1</v>
      </c>
      <c r="M13" s="229">
        <v>1077777</v>
      </c>
      <c r="N13" s="231">
        <v>90868.9</v>
      </c>
      <c r="O13" s="232">
        <v>9</v>
      </c>
      <c r="P13" s="233">
        <v>56</v>
      </c>
      <c r="Q13" s="232">
        <v>617</v>
      </c>
      <c r="R13" s="233">
        <v>6260</v>
      </c>
      <c r="S13" s="232">
        <v>62646</v>
      </c>
      <c r="T13" s="233">
        <v>599177</v>
      </c>
    </row>
    <row r="14" spans="1:21" x14ac:dyDescent="0.15">
      <c r="A14" s="172">
        <v>4</v>
      </c>
      <c r="B14" s="173">
        <v>40569</v>
      </c>
      <c r="C14" s="174" t="s">
        <v>362</v>
      </c>
      <c r="D14" s="27">
        <v>0</v>
      </c>
      <c r="E14" s="27">
        <v>3</v>
      </c>
      <c r="F14" s="27">
        <v>5</v>
      </c>
      <c r="G14" s="27">
        <v>3</v>
      </c>
      <c r="H14" s="27">
        <v>7</v>
      </c>
      <c r="I14" s="27">
        <v>2</v>
      </c>
      <c r="J14" s="7">
        <v>1</v>
      </c>
      <c r="K14" s="222">
        <v>7511245</v>
      </c>
      <c r="L14" s="234" t="s">
        <v>23</v>
      </c>
      <c r="M14" s="224" t="s">
        <v>368</v>
      </c>
      <c r="N14" s="225">
        <v>624918.4</v>
      </c>
      <c r="O14" s="226">
        <v>4</v>
      </c>
      <c r="P14" s="227">
        <v>23</v>
      </c>
      <c r="Q14" s="226">
        <v>261</v>
      </c>
      <c r="R14" s="227">
        <v>2455</v>
      </c>
      <c r="S14" s="226">
        <v>24882</v>
      </c>
      <c r="T14" s="227">
        <v>245633</v>
      </c>
    </row>
    <row r="15" spans="1:21" x14ac:dyDescent="0.15">
      <c r="A15" s="178"/>
      <c r="B15" s="179">
        <v>40572</v>
      </c>
      <c r="C15" s="180" t="s">
        <v>363</v>
      </c>
      <c r="D15" s="19">
        <v>9</v>
      </c>
      <c r="E15" s="19">
        <v>4</v>
      </c>
      <c r="F15" s="19">
        <v>9</v>
      </c>
      <c r="G15" s="19">
        <v>8</v>
      </c>
      <c r="H15" s="19">
        <v>3</v>
      </c>
      <c r="I15" s="19">
        <v>2</v>
      </c>
      <c r="J15" s="13">
        <v>8</v>
      </c>
      <c r="K15" s="229">
        <v>17735855</v>
      </c>
      <c r="L15" s="230" t="s">
        <v>23</v>
      </c>
      <c r="M15" s="229" t="s">
        <v>368</v>
      </c>
      <c r="N15" s="231">
        <v>1885937.6999999962</v>
      </c>
      <c r="O15" s="232">
        <v>7</v>
      </c>
      <c r="P15" s="233">
        <v>67</v>
      </c>
      <c r="Q15" s="232">
        <v>720</v>
      </c>
      <c r="R15" s="233">
        <v>7147</v>
      </c>
      <c r="S15" s="232">
        <v>71337</v>
      </c>
      <c r="T15" s="233">
        <v>716784</v>
      </c>
    </row>
    <row r="16" spans="1:21" x14ac:dyDescent="0.15">
      <c r="A16" s="172">
        <v>5</v>
      </c>
      <c r="B16" s="173">
        <v>40576</v>
      </c>
      <c r="C16" s="174" t="s">
        <v>362</v>
      </c>
      <c r="D16" s="27">
        <v>8</v>
      </c>
      <c r="E16" s="27">
        <v>6</v>
      </c>
      <c r="F16" s="27">
        <v>1</v>
      </c>
      <c r="G16" s="27">
        <v>0</v>
      </c>
      <c r="H16" s="27">
        <v>1</v>
      </c>
      <c r="I16" s="27">
        <v>1</v>
      </c>
      <c r="J16" s="7">
        <v>5</v>
      </c>
      <c r="K16" s="222">
        <v>6834042.5</v>
      </c>
      <c r="L16" s="223" t="s">
        <v>23</v>
      </c>
      <c r="M16" s="224" t="s">
        <v>368</v>
      </c>
      <c r="N16" s="224">
        <v>2371838.0999999959</v>
      </c>
      <c r="O16" s="226">
        <v>6</v>
      </c>
      <c r="P16" s="227">
        <v>21</v>
      </c>
      <c r="Q16" s="226">
        <v>298</v>
      </c>
      <c r="R16" s="227">
        <v>2711</v>
      </c>
      <c r="S16" s="226">
        <v>28579</v>
      </c>
      <c r="T16" s="227">
        <v>295399</v>
      </c>
    </row>
    <row r="17" spans="1:21" x14ac:dyDescent="0.15">
      <c r="A17" s="178"/>
      <c r="B17" s="179">
        <v>40579</v>
      </c>
      <c r="C17" s="180" t="s">
        <v>363</v>
      </c>
      <c r="D17" s="19">
        <v>4</v>
      </c>
      <c r="E17" s="19">
        <v>2</v>
      </c>
      <c r="F17" s="19">
        <v>2</v>
      </c>
      <c r="G17" s="19">
        <v>2</v>
      </c>
      <c r="H17" s="19">
        <v>4</v>
      </c>
      <c r="I17" s="19">
        <v>3</v>
      </c>
      <c r="J17" s="13">
        <v>1</v>
      </c>
      <c r="K17" s="229">
        <v>16465572.5</v>
      </c>
      <c r="L17" s="230" t="s">
        <v>23</v>
      </c>
      <c r="M17" s="229" t="s">
        <v>368</v>
      </c>
      <c r="N17" s="229">
        <v>3542540.299999997</v>
      </c>
      <c r="O17" s="232">
        <v>12</v>
      </c>
      <c r="P17" s="233">
        <v>43</v>
      </c>
      <c r="Q17" s="232">
        <v>545</v>
      </c>
      <c r="R17" s="233">
        <v>5449</v>
      </c>
      <c r="S17" s="232">
        <v>53334</v>
      </c>
      <c r="T17" s="233">
        <v>518144</v>
      </c>
    </row>
    <row r="18" spans="1:21" x14ac:dyDescent="0.15">
      <c r="A18" s="172">
        <v>6</v>
      </c>
      <c r="B18" s="173">
        <v>40583</v>
      </c>
      <c r="C18" s="174" t="s">
        <v>362</v>
      </c>
      <c r="D18" s="27">
        <v>0</v>
      </c>
      <c r="E18" s="27">
        <v>5</v>
      </c>
      <c r="F18" s="27">
        <v>0</v>
      </c>
      <c r="G18" s="27">
        <v>6</v>
      </c>
      <c r="H18" s="27">
        <v>2</v>
      </c>
      <c r="I18" s="27">
        <v>7</v>
      </c>
      <c r="J18" s="7">
        <v>7</v>
      </c>
      <c r="K18" s="222">
        <v>7108992.5</v>
      </c>
      <c r="L18" s="223" t="s">
        <v>23</v>
      </c>
      <c r="M18" s="224" t="s">
        <v>368</v>
      </c>
      <c r="N18" s="224">
        <v>4047989.699999996</v>
      </c>
      <c r="O18" s="226">
        <v>4</v>
      </c>
      <c r="P18" s="227">
        <v>25</v>
      </c>
      <c r="Q18" s="226">
        <v>313</v>
      </c>
      <c r="R18" s="227">
        <v>3226</v>
      </c>
      <c r="S18" s="226">
        <v>36293</v>
      </c>
      <c r="T18" s="227">
        <v>277558</v>
      </c>
    </row>
    <row r="19" spans="1:21" x14ac:dyDescent="0.15">
      <c r="A19" s="178"/>
      <c r="B19" s="179">
        <v>40586</v>
      </c>
      <c r="C19" s="180" t="s">
        <v>363</v>
      </c>
      <c r="D19" s="19">
        <v>8</v>
      </c>
      <c r="E19" s="19">
        <v>9</v>
      </c>
      <c r="F19" s="19">
        <v>8</v>
      </c>
      <c r="G19" s="19">
        <v>4</v>
      </c>
      <c r="H19" s="19">
        <v>4</v>
      </c>
      <c r="I19" s="19">
        <v>0</v>
      </c>
      <c r="J19" s="13">
        <v>7</v>
      </c>
      <c r="K19" s="229">
        <v>17028520</v>
      </c>
      <c r="L19" s="230" t="s">
        <v>23</v>
      </c>
      <c r="M19" s="229" t="s">
        <v>368</v>
      </c>
      <c r="N19" s="231">
        <v>5258717.4999999972</v>
      </c>
      <c r="O19" s="232">
        <v>10</v>
      </c>
      <c r="P19" s="233">
        <v>52</v>
      </c>
      <c r="Q19" s="232">
        <v>623</v>
      </c>
      <c r="R19" s="233">
        <v>6017</v>
      </c>
      <c r="S19" s="232">
        <v>61187</v>
      </c>
      <c r="T19" s="233">
        <v>713742</v>
      </c>
    </row>
    <row r="20" spans="1:21" x14ac:dyDescent="0.15">
      <c r="A20" s="172">
        <v>7</v>
      </c>
      <c r="B20" s="173">
        <v>40590</v>
      </c>
      <c r="C20" s="174" t="s">
        <v>362</v>
      </c>
      <c r="D20" s="27">
        <v>3</v>
      </c>
      <c r="E20" s="27">
        <v>9</v>
      </c>
      <c r="F20" s="27">
        <v>0</v>
      </c>
      <c r="G20" s="27">
        <v>8</v>
      </c>
      <c r="H20" s="27">
        <v>1</v>
      </c>
      <c r="I20" s="27">
        <v>1</v>
      </c>
      <c r="J20" s="7">
        <v>2</v>
      </c>
      <c r="K20" s="222">
        <v>8038615</v>
      </c>
      <c r="L20" s="223" t="s">
        <v>23</v>
      </c>
      <c r="M20" s="224" t="s">
        <v>368</v>
      </c>
      <c r="N20" s="225">
        <v>5830262.9999999953</v>
      </c>
      <c r="O20" s="226">
        <v>2</v>
      </c>
      <c r="P20" s="227">
        <v>25</v>
      </c>
      <c r="Q20" s="226">
        <v>248</v>
      </c>
      <c r="R20" s="227">
        <v>2508</v>
      </c>
      <c r="S20" s="226">
        <v>25423</v>
      </c>
      <c r="T20" s="227">
        <v>250339</v>
      </c>
    </row>
    <row r="21" spans="1:21" x14ac:dyDescent="0.15">
      <c r="A21" s="178"/>
      <c r="B21" s="179">
        <v>40593</v>
      </c>
      <c r="C21" s="180" t="s">
        <v>363</v>
      </c>
      <c r="D21" s="19">
        <v>7</v>
      </c>
      <c r="E21" s="19">
        <v>9</v>
      </c>
      <c r="F21" s="19">
        <v>6</v>
      </c>
      <c r="G21" s="19">
        <v>0</v>
      </c>
      <c r="H21" s="19">
        <v>8</v>
      </c>
      <c r="I21" s="19">
        <v>3</v>
      </c>
      <c r="J21" s="13">
        <v>1</v>
      </c>
      <c r="K21" s="229">
        <v>18320702.5</v>
      </c>
      <c r="L21" s="230">
        <v>2</v>
      </c>
      <c r="M21" s="229">
        <v>3477777</v>
      </c>
      <c r="N21" s="231">
        <v>177310.9</v>
      </c>
      <c r="O21" s="232">
        <v>7</v>
      </c>
      <c r="P21" s="233">
        <v>62</v>
      </c>
      <c r="Q21" s="232">
        <v>592</v>
      </c>
      <c r="R21" s="233">
        <v>6166</v>
      </c>
      <c r="S21" s="232">
        <v>61255</v>
      </c>
      <c r="T21" s="233">
        <v>594008</v>
      </c>
      <c r="U21" s="240"/>
    </row>
    <row r="22" spans="1:21" x14ac:dyDescent="0.15">
      <c r="A22" s="172">
        <v>8</v>
      </c>
      <c r="B22" s="173">
        <v>40597</v>
      </c>
      <c r="C22" s="174" t="s">
        <v>362</v>
      </c>
      <c r="D22" s="27">
        <v>2</v>
      </c>
      <c r="E22" s="27">
        <v>6</v>
      </c>
      <c r="F22" s="27">
        <v>2</v>
      </c>
      <c r="G22" s="27">
        <v>9</v>
      </c>
      <c r="H22" s="27">
        <v>5</v>
      </c>
      <c r="I22" s="27">
        <v>3</v>
      </c>
      <c r="J22" s="7">
        <v>2</v>
      </c>
      <c r="K22" s="222">
        <v>8865780</v>
      </c>
      <c r="L22" s="223">
        <v>1</v>
      </c>
      <c r="M22" s="224">
        <v>777777</v>
      </c>
      <c r="N22" s="225">
        <v>29890.9</v>
      </c>
      <c r="O22" s="226">
        <v>2</v>
      </c>
      <c r="P22" s="227">
        <v>35</v>
      </c>
      <c r="Q22" s="226">
        <v>292</v>
      </c>
      <c r="R22" s="227">
        <v>2799</v>
      </c>
      <c r="S22" s="226">
        <v>28141</v>
      </c>
      <c r="T22" s="227">
        <v>280678</v>
      </c>
    </row>
    <row r="23" spans="1:21" x14ac:dyDescent="0.15">
      <c r="A23" s="178"/>
      <c r="B23" s="179">
        <v>40600</v>
      </c>
      <c r="C23" s="180" t="s">
        <v>363</v>
      </c>
      <c r="D23" s="19">
        <v>3</v>
      </c>
      <c r="E23" s="19">
        <v>8</v>
      </c>
      <c r="F23" s="19">
        <v>2</v>
      </c>
      <c r="G23" s="19">
        <v>9</v>
      </c>
      <c r="H23" s="19">
        <v>9</v>
      </c>
      <c r="I23" s="19">
        <v>7</v>
      </c>
      <c r="J23" s="13">
        <v>6</v>
      </c>
      <c r="K23" s="229">
        <v>16442110</v>
      </c>
      <c r="L23" s="230" t="s">
        <v>23</v>
      </c>
      <c r="M23" s="229" t="s">
        <v>368</v>
      </c>
      <c r="N23" s="231">
        <v>1198924.899999995</v>
      </c>
      <c r="O23" s="232">
        <v>3</v>
      </c>
      <c r="P23" s="233">
        <v>64</v>
      </c>
      <c r="Q23" s="232">
        <v>630</v>
      </c>
      <c r="R23" s="233">
        <v>6261</v>
      </c>
      <c r="S23" s="232">
        <v>61199</v>
      </c>
      <c r="T23" s="233">
        <v>614032</v>
      </c>
    </row>
    <row r="24" spans="1:21" x14ac:dyDescent="0.15">
      <c r="A24" s="172">
        <v>9</v>
      </c>
      <c r="B24" s="173">
        <v>40604</v>
      </c>
      <c r="C24" s="174" t="s">
        <v>362</v>
      </c>
      <c r="D24" s="27">
        <v>1</v>
      </c>
      <c r="E24" s="27">
        <v>8</v>
      </c>
      <c r="F24" s="27">
        <v>3</v>
      </c>
      <c r="G24" s="27">
        <v>4</v>
      </c>
      <c r="H24" s="27">
        <v>4</v>
      </c>
      <c r="I24" s="27">
        <v>7</v>
      </c>
      <c r="J24" s="7">
        <v>6</v>
      </c>
      <c r="K24" s="222">
        <v>7220267.5</v>
      </c>
      <c r="L24" s="223">
        <v>1</v>
      </c>
      <c r="M24" s="224">
        <v>1677777</v>
      </c>
      <c r="N24" s="225">
        <v>34508.9</v>
      </c>
      <c r="O24" s="226">
        <v>4</v>
      </c>
      <c r="P24" s="227">
        <v>41</v>
      </c>
      <c r="Q24" s="226">
        <v>275</v>
      </c>
      <c r="R24" s="227">
        <v>2753</v>
      </c>
      <c r="S24" s="226">
        <v>28492</v>
      </c>
      <c r="T24" s="227">
        <v>274937</v>
      </c>
    </row>
    <row r="25" spans="1:21" x14ac:dyDescent="0.15">
      <c r="A25" s="178"/>
      <c r="B25" s="179">
        <v>40607</v>
      </c>
      <c r="C25" s="180" t="s">
        <v>363</v>
      </c>
      <c r="D25" s="19">
        <v>3</v>
      </c>
      <c r="E25" s="19">
        <v>3</v>
      </c>
      <c r="F25" s="19">
        <v>1</v>
      </c>
      <c r="G25" s="19">
        <v>0</v>
      </c>
      <c r="H25" s="19">
        <v>3</v>
      </c>
      <c r="I25" s="19">
        <v>0</v>
      </c>
      <c r="J25" s="13">
        <v>2</v>
      </c>
      <c r="K25" s="229">
        <v>16719125</v>
      </c>
      <c r="L25" s="230" t="s">
        <v>23</v>
      </c>
      <c r="M25" s="229" t="s">
        <v>368</v>
      </c>
      <c r="N25" s="231">
        <v>1223238.6999999951</v>
      </c>
      <c r="O25" s="232">
        <v>6</v>
      </c>
      <c r="P25" s="233">
        <v>43</v>
      </c>
      <c r="Q25" s="232">
        <v>471</v>
      </c>
      <c r="R25" s="233">
        <v>4668</v>
      </c>
      <c r="S25" s="232">
        <v>46894</v>
      </c>
      <c r="T25" s="233">
        <v>533885</v>
      </c>
    </row>
    <row r="26" spans="1:21" x14ac:dyDescent="0.15">
      <c r="A26" s="172">
        <v>10</v>
      </c>
      <c r="B26" s="173">
        <v>40611</v>
      </c>
      <c r="C26" s="174" t="s">
        <v>362</v>
      </c>
      <c r="D26" s="27">
        <v>5</v>
      </c>
      <c r="E26" s="27">
        <v>9</v>
      </c>
      <c r="F26" s="27">
        <v>4</v>
      </c>
      <c r="G26" s="27">
        <v>3</v>
      </c>
      <c r="H26" s="27">
        <v>5</v>
      </c>
      <c r="I26" s="27">
        <v>1</v>
      </c>
      <c r="J26" s="7">
        <v>7</v>
      </c>
      <c r="K26" s="222">
        <v>7617425</v>
      </c>
      <c r="L26" s="223" t="s">
        <v>23</v>
      </c>
      <c r="M26" s="224" t="s">
        <v>368</v>
      </c>
      <c r="N26" s="225">
        <v>1764837.5999999952</v>
      </c>
      <c r="O26" s="226">
        <v>3</v>
      </c>
      <c r="P26" s="227">
        <v>25</v>
      </c>
      <c r="Q26" s="226">
        <v>288</v>
      </c>
      <c r="R26" s="227">
        <v>2882</v>
      </c>
      <c r="S26" s="226">
        <v>30006</v>
      </c>
      <c r="T26" s="227">
        <v>310292</v>
      </c>
    </row>
    <row r="27" spans="1:21" x14ac:dyDescent="0.15">
      <c r="A27" s="178"/>
      <c r="B27" s="179">
        <v>40614</v>
      </c>
      <c r="C27" s="180" t="s">
        <v>363</v>
      </c>
      <c r="D27" s="19">
        <v>8</v>
      </c>
      <c r="E27" s="19">
        <v>2</v>
      </c>
      <c r="F27" s="19">
        <v>6</v>
      </c>
      <c r="G27" s="19">
        <v>9</v>
      </c>
      <c r="H27" s="19">
        <v>1</v>
      </c>
      <c r="I27" s="19">
        <v>3</v>
      </c>
      <c r="J27" s="13">
        <v>0</v>
      </c>
      <c r="K27" s="229">
        <v>17628395</v>
      </c>
      <c r="L27" s="230">
        <v>1</v>
      </c>
      <c r="M27" s="229">
        <v>2977777</v>
      </c>
      <c r="N27" s="231">
        <v>40439.5</v>
      </c>
      <c r="O27" s="232">
        <v>6</v>
      </c>
      <c r="P27" s="233">
        <v>44</v>
      </c>
      <c r="Q27" s="232">
        <v>514</v>
      </c>
      <c r="R27" s="233">
        <v>4916</v>
      </c>
      <c r="S27" s="232">
        <v>48447</v>
      </c>
      <c r="T27" s="233">
        <v>500452</v>
      </c>
    </row>
    <row r="28" spans="1:21" x14ac:dyDescent="0.15">
      <c r="A28" s="172">
        <v>11</v>
      </c>
      <c r="B28" s="173">
        <v>40618</v>
      </c>
      <c r="C28" s="174" t="s">
        <v>362</v>
      </c>
      <c r="D28" s="27">
        <v>2</v>
      </c>
      <c r="E28" s="27">
        <v>9</v>
      </c>
      <c r="F28" s="27">
        <v>8</v>
      </c>
      <c r="G28" s="27">
        <v>2</v>
      </c>
      <c r="H28" s="27">
        <v>5</v>
      </c>
      <c r="I28" s="27">
        <v>7</v>
      </c>
      <c r="J28" s="7">
        <v>1</v>
      </c>
      <c r="K28" s="222">
        <v>8558472.5</v>
      </c>
      <c r="L28" s="223">
        <v>1</v>
      </c>
      <c r="M28" s="224">
        <v>577777</v>
      </c>
      <c r="N28" s="225">
        <v>71169.899999999994</v>
      </c>
      <c r="O28" s="226">
        <v>2</v>
      </c>
      <c r="P28" s="227">
        <v>28</v>
      </c>
      <c r="Q28" s="226">
        <v>252</v>
      </c>
      <c r="R28" s="227">
        <v>2734</v>
      </c>
      <c r="S28" s="226">
        <v>27770</v>
      </c>
      <c r="T28" s="227">
        <v>287104</v>
      </c>
    </row>
    <row r="29" spans="1:21" x14ac:dyDescent="0.15">
      <c r="A29" s="178"/>
      <c r="B29" s="179">
        <v>40621</v>
      </c>
      <c r="C29" s="180" t="s">
        <v>363</v>
      </c>
      <c r="D29" s="19">
        <v>7</v>
      </c>
      <c r="E29" s="19">
        <v>0</v>
      </c>
      <c r="F29" s="19">
        <v>6</v>
      </c>
      <c r="G29" s="19">
        <v>9</v>
      </c>
      <c r="H29" s="19">
        <v>1</v>
      </c>
      <c r="I29" s="19">
        <v>2</v>
      </c>
      <c r="J29" s="13">
        <v>5</v>
      </c>
      <c r="K29" s="229">
        <v>18498622.5</v>
      </c>
      <c r="L29" s="230">
        <v>2</v>
      </c>
      <c r="M29" s="229">
        <v>677777</v>
      </c>
      <c r="N29" s="231">
        <v>30868</v>
      </c>
      <c r="O29" s="232">
        <v>5</v>
      </c>
      <c r="P29" s="233">
        <v>91</v>
      </c>
      <c r="Q29" s="232">
        <v>778</v>
      </c>
      <c r="R29" s="233">
        <v>8210</v>
      </c>
      <c r="S29" s="232">
        <v>81005</v>
      </c>
      <c r="T29" s="233">
        <v>788436</v>
      </c>
    </row>
    <row r="30" spans="1:21" x14ac:dyDescent="0.15">
      <c r="A30" s="172">
        <v>12</v>
      </c>
      <c r="B30" s="173">
        <v>40625</v>
      </c>
      <c r="C30" s="174" t="s">
        <v>362</v>
      </c>
      <c r="D30" s="27">
        <v>6</v>
      </c>
      <c r="E30" s="27">
        <v>4</v>
      </c>
      <c r="F30" s="27">
        <v>1</v>
      </c>
      <c r="G30" s="27">
        <v>0</v>
      </c>
      <c r="H30" s="27">
        <v>1</v>
      </c>
      <c r="I30" s="27">
        <v>7</v>
      </c>
      <c r="J30" s="7">
        <v>0</v>
      </c>
      <c r="K30" s="222">
        <v>9310382.5</v>
      </c>
      <c r="L30" s="223">
        <v>1</v>
      </c>
      <c r="M30" s="224">
        <v>677777</v>
      </c>
      <c r="N30" s="225">
        <v>15059.2</v>
      </c>
      <c r="O30" s="226">
        <v>3</v>
      </c>
      <c r="P30" s="227">
        <v>30</v>
      </c>
      <c r="Q30" s="226">
        <v>280</v>
      </c>
      <c r="R30" s="227">
        <v>2821</v>
      </c>
      <c r="S30" s="226">
        <v>27326</v>
      </c>
      <c r="T30" s="227">
        <v>278093</v>
      </c>
    </row>
    <row r="31" spans="1:21" x14ac:dyDescent="0.15">
      <c r="A31" s="178"/>
      <c r="B31" s="179">
        <v>40628</v>
      </c>
      <c r="C31" s="180" t="s">
        <v>363</v>
      </c>
      <c r="D31" s="19">
        <v>8</v>
      </c>
      <c r="E31" s="19">
        <v>3</v>
      </c>
      <c r="F31" s="19">
        <v>7</v>
      </c>
      <c r="G31" s="19">
        <v>7</v>
      </c>
      <c r="H31" s="19">
        <v>3</v>
      </c>
      <c r="I31" s="19">
        <v>3</v>
      </c>
      <c r="J31" s="13">
        <v>6</v>
      </c>
      <c r="K31" s="229">
        <v>19667992.5</v>
      </c>
      <c r="L31" s="230">
        <v>1</v>
      </c>
      <c r="M31" s="229">
        <v>1377777</v>
      </c>
      <c r="N31" s="231">
        <v>35676.5</v>
      </c>
      <c r="O31" s="232">
        <v>7</v>
      </c>
      <c r="P31" s="233">
        <v>67</v>
      </c>
      <c r="Q31" s="232">
        <v>743</v>
      </c>
      <c r="R31" s="233">
        <v>7292</v>
      </c>
      <c r="S31" s="232">
        <v>76127</v>
      </c>
      <c r="T31" s="233">
        <v>733940</v>
      </c>
    </row>
    <row r="32" spans="1:21" x14ac:dyDescent="0.15">
      <c r="A32" s="172">
        <v>13</v>
      </c>
      <c r="B32" s="173">
        <v>40632</v>
      </c>
      <c r="C32" s="174" t="s">
        <v>362</v>
      </c>
      <c r="D32" s="27">
        <v>4</v>
      </c>
      <c r="E32" s="27">
        <v>6</v>
      </c>
      <c r="F32" s="27">
        <v>6</v>
      </c>
      <c r="G32" s="27">
        <v>8</v>
      </c>
      <c r="H32" s="27">
        <v>7</v>
      </c>
      <c r="I32" s="27">
        <v>9</v>
      </c>
      <c r="J32" s="7">
        <v>2</v>
      </c>
      <c r="K32" s="222">
        <v>11196457.5</v>
      </c>
      <c r="L32" s="223">
        <v>1</v>
      </c>
      <c r="M32" s="224">
        <v>777777</v>
      </c>
      <c r="N32" s="225">
        <v>53967.6</v>
      </c>
      <c r="O32" s="226">
        <v>4</v>
      </c>
      <c r="P32" s="227">
        <v>30</v>
      </c>
      <c r="Q32" s="226">
        <v>361</v>
      </c>
      <c r="R32" s="227">
        <v>3551</v>
      </c>
      <c r="S32" s="226">
        <v>34889</v>
      </c>
      <c r="T32" s="227">
        <v>364569</v>
      </c>
    </row>
    <row r="33" spans="1:21" x14ac:dyDescent="0.15">
      <c r="A33" s="178"/>
      <c r="B33" s="179">
        <v>40635</v>
      </c>
      <c r="C33" s="180" t="s">
        <v>363</v>
      </c>
      <c r="D33" s="19">
        <v>5</v>
      </c>
      <c r="E33" s="19">
        <v>0</v>
      </c>
      <c r="F33" s="19">
        <v>2</v>
      </c>
      <c r="G33" s="19">
        <v>5</v>
      </c>
      <c r="H33" s="19">
        <v>6</v>
      </c>
      <c r="I33" s="19">
        <v>1</v>
      </c>
      <c r="J33" s="13">
        <v>5</v>
      </c>
      <c r="K33" s="229">
        <v>22059757.5</v>
      </c>
      <c r="L33" s="230" t="s">
        <v>23</v>
      </c>
      <c r="M33" s="229" t="s">
        <v>368</v>
      </c>
      <c r="N33" s="231">
        <v>1622416.3999999953</v>
      </c>
      <c r="O33" s="232">
        <v>7</v>
      </c>
      <c r="P33" s="233">
        <v>96</v>
      </c>
      <c r="Q33" s="232">
        <v>907</v>
      </c>
      <c r="R33" s="233">
        <v>9052</v>
      </c>
      <c r="S33" s="232">
        <v>91948</v>
      </c>
      <c r="T33" s="233">
        <v>934514</v>
      </c>
      <c r="U33" s="240"/>
    </row>
    <row r="34" spans="1:21" x14ac:dyDescent="0.15">
      <c r="A34" s="172">
        <v>14</v>
      </c>
      <c r="B34" s="173">
        <v>40639</v>
      </c>
      <c r="C34" s="174" t="s">
        <v>362</v>
      </c>
      <c r="D34" s="27">
        <v>8</v>
      </c>
      <c r="E34" s="27">
        <v>4</v>
      </c>
      <c r="F34" s="27">
        <v>7</v>
      </c>
      <c r="G34" s="27">
        <v>1</v>
      </c>
      <c r="H34" s="27">
        <v>7</v>
      </c>
      <c r="I34" s="27">
        <v>9</v>
      </c>
      <c r="J34" s="7">
        <v>3</v>
      </c>
      <c r="K34" s="222">
        <v>7271660</v>
      </c>
      <c r="L34" s="223" t="s">
        <v>23</v>
      </c>
      <c r="M34" s="224" t="s">
        <v>368</v>
      </c>
      <c r="N34" s="225">
        <v>2139431.3999999953</v>
      </c>
      <c r="O34" s="226">
        <v>3</v>
      </c>
      <c r="P34" s="227">
        <v>36</v>
      </c>
      <c r="Q34" s="226">
        <v>226</v>
      </c>
      <c r="R34" s="227">
        <v>2406</v>
      </c>
      <c r="S34" s="226">
        <v>23658</v>
      </c>
      <c r="T34" s="227">
        <v>265477</v>
      </c>
    </row>
    <row r="35" spans="1:21" x14ac:dyDescent="0.15">
      <c r="A35" s="178"/>
      <c r="B35" s="179">
        <v>40642</v>
      </c>
      <c r="C35" s="180" t="s">
        <v>363</v>
      </c>
      <c r="D35" s="19">
        <v>2</v>
      </c>
      <c r="E35" s="19">
        <v>8</v>
      </c>
      <c r="F35" s="19">
        <v>4</v>
      </c>
      <c r="G35" s="19">
        <v>4</v>
      </c>
      <c r="H35" s="19">
        <v>1</v>
      </c>
      <c r="I35" s="19">
        <v>0</v>
      </c>
      <c r="J35" s="13">
        <v>3</v>
      </c>
      <c r="K35" s="229">
        <v>16217832.5</v>
      </c>
      <c r="L35" s="230">
        <v>1</v>
      </c>
      <c r="M35" s="229">
        <v>3277777</v>
      </c>
      <c r="N35" s="231">
        <v>14742.3</v>
      </c>
      <c r="O35" s="232">
        <v>6</v>
      </c>
      <c r="P35" s="233">
        <v>63</v>
      </c>
      <c r="Q35" s="232">
        <v>495</v>
      </c>
      <c r="R35" s="233">
        <v>5063</v>
      </c>
      <c r="S35" s="232">
        <v>49162</v>
      </c>
      <c r="T35" s="233">
        <v>592549</v>
      </c>
    </row>
    <row r="36" spans="1:21" x14ac:dyDescent="0.15">
      <c r="A36" s="172">
        <v>15</v>
      </c>
      <c r="B36" s="173">
        <v>40646</v>
      </c>
      <c r="C36" s="174" t="s">
        <v>362</v>
      </c>
      <c r="D36" s="27">
        <v>8</v>
      </c>
      <c r="E36" s="27">
        <v>1</v>
      </c>
      <c r="F36" s="27">
        <v>0</v>
      </c>
      <c r="G36" s="27">
        <v>5</v>
      </c>
      <c r="H36" s="27">
        <v>0</v>
      </c>
      <c r="I36" s="27">
        <v>5</v>
      </c>
      <c r="J36" s="7">
        <v>4</v>
      </c>
      <c r="K36" s="222">
        <v>6622580</v>
      </c>
      <c r="L36" s="234" t="s">
        <v>23</v>
      </c>
      <c r="M36" s="224" t="s">
        <v>368</v>
      </c>
      <c r="N36" s="225">
        <v>485607.7</v>
      </c>
      <c r="O36" s="226">
        <v>3</v>
      </c>
      <c r="P36" s="227">
        <v>17</v>
      </c>
      <c r="Q36" s="226">
        <v>221</v>
      </c>
      <c r="R36" s="227">
        <v>2163</v>
      </c>
      <c r="S36" s="226">
        <v>23586</v>
      </c>
      <c r="T36" s="227">
        <v>221979</v>
      </c>
    </row>
    <row r="37" spans="1:21" x14ac:dyDescent="0.15">
      <c r="A37" s="178"/>
      <c r="B37" s="179">
        <v>40649</v>
      </c>
      <c r="C37" s="180" t="s">
        <v>363</v>
      </c>
      <c r="D37" s="19">
        <v>7</v>
      </c>
      <c r="E37" s="19">
        <v>3</v>
      </c>
      <c r="F37" s="19">
        <v>4</v>
      </c>
      <c r="G37" s="19">
        <v>4</v>
      </c>
      <c r="H37" s="19">
        <v>4</v>
      </c>
      <c r="I37" s="19">
        <v>3</v>
      </c>
      <c r="J37" s="13">
        <v>0</v>
      </c>
      <c r="K37" s="229">
        <v>15883542.5</v>
      </c>
      <c r="L37" s="230" t="s">
        <v>23</v>
      </c>
      <c r="M37" s="229" t="s">
        <v>368</v>
      </c>
      <c r="N37" s="231">
        <v>1614927.5999999954</v>
      </c>
      <c r="O37" s="232">
        <v>1</v>
      </c>
      <c r="P37" s="233">
        <v>35</v>
      </c>
      <c r="Q37" s="232">
        <v>456</v>
      </c>
      <c r="R37" s="233">
        <v>4382</v>
      </c>
      <c r="S37" s="232">
        <v>43149</v>
      </c>
      <c r="T37" s="233">
        <v>442441</v>
      </c>
    </row>
    <row r="38" spans="1:21" x14ac:dyDescent="0.15">
      <c r="A38" s="172">
        <v>16</v>
      </c>
      <c r="B38" s="173">
        <v>40653</v>
      </c>
      <c r="C38" s="174" t="s">
        <v>362</v>
      </c>
      <c r="D38" s="27">
        <v>7</v>
      </c>
      <c r="E38" s="27">
        <v>7</v>
      </c>
      <c r="F38" s="27">
        <v>9</v>
      </c>
      <c r="G38" s="27">
        <v>9</v>
      </c>
      <c r="H38" s="27">
        <v>5</v>
      </c>
      <c r="I38" s="27">
        <v>5</v>
      </c>
      <c r="J38" s="7">
        <v>2</v>
      </c>
      <c r="K38" s="222">
        <v>6522387.5</v>
      </c>
      <c r="L38" s="234" t="s">
        <v>23</v>
      </c>
      <c r="M38" s="224" t="s">
        <v>368</v>
      </c>
      <c r="N38" s="225">
        <v>2078669.3999999955</v>
      </c>
      <c r="O38" s="226">
        <v>2</v>
      </c>
      <c r="P38" s="227">
        <v>24</v>
      </c>
      <c r="Q38" s="226">
        <v>204</v>
      </c>
      <c r="R38" s="227">
        <v>2063</v>
      </c>
      <c r="S38" s="226">
        <v>21818</v>
      </c>
      <c r="T38" s="227">
        <v>202227</v>
      </c>
    </row>
    <row r="39" spans="1:21" x14ac:dyDescent="0.15">
      <c r="A39" s="178"/>
      <c r="B39" s="179">
        <v>40656</v>
      </c>
      <c r="C39" s="180" t="s">
        <v>363</v>
      </c>
      <c r="D39" s="19">
        <v>7</v>
      </c>
      <c r="E39" s="19">
        <v>9</v>
      </c>
      <c r="F39" s="19">
        <v>2</v>
      </c>
      <c r="G39" s="19">
        <v>0</v>
      </c>
      <c r="H39" s="19">
        <v>5</v>
      </c>
      <c r="I39" s="19">
        <v>2</v>
      </c>
      <c r="J39" s="13">
        <v>4</v>
      </c>
      <c r="K39" s="229">
        <v>15655685</v>
      </c>
      <c r="L39" s="230">
        <v>1</v>
      </c>
      <c r="M39" s="229">
        <v>3177777</v>
      </c>
      <c r="N39" s="231">
        <v>14011.6</v>
      </c>
      <c r="O39" s="232">
        <v>4</v>
      </c>
      <c r="P39" s="233">
        <v>56</v>
      </c>
      <c r="Q39" s="232">
        <v>523</v>
      </c>
      <c r="R39" s="233">
        <v>5727</v>
      </c>
      <c r="S39" s="232">
        <v>54688</v>
      </c>
      <c r="T39" s="233">
        <v>524918</v>
      </c>
    </row>
    <row r="40" spans="1:21" x14ac:dyDescent="0.15">
      <c r="A40" s="172">
        <v>17</v>
      </c>
      <c r="B40" s="173">
        <v>40660</v>
      </c>
      <c r="C40" s="174" t="s">
        <v>362</v>
      </c>
      <c r="D40" s="27">
        <v>6</v>
      </c>
      <c r="E40" s="27">
        <v>8</v>
      </c>
      <c r="F40" s="27">
        <v>5</v>
      </c>
      <c r="G40" s="27">
        <v>5</v>
      </c>
      <c r="H40" s="27">
        <v>5</v>
      </c>
      <c r="I40" s="27">
        <v>4</v>
      </c>
      <c r="J40" s="7">
        <v>4</v>
      </c>
      <c r="K40" s="222">
        <v>6115375</v>
      </c>
      <c r="L40" s="223" t="s">
        <v>23</v>
      </c>
      <c r="M40" s="224" t="s">
        <v>368</v>
      </c>
      <c r="N40" s="225">
        <v>448814.8</v>
      </c>
      <c r="O40" s="226">
        <v>2</v>
      </c>
      <c r="P40" s="227">
        <v>26</v>
      </c>
      <c r="Q40" s="226">
        <v>187</v>
      </c>
      <c r="R40" s="227">
        <v>2145</v>
      </c>
      <c r="S40" s="226">
        <v>22286</v>
      </c>
      <c r="T40" s="227">
        <v>206518</v>
      </c>
    </row>
    <row r="41" spans="1:21" x14ac:dyDescent="0.15">
      <c r="A41" s="178"/>
      <c r="B41" s="179">
        <v>40663</v>
      </c>
      <c r="C41" s="180" t="s">
        <v>363</v>
      </c>
      <c r="D41" s="19">
        <v>7</v>
      </c>
      <c r="E41" s="19">
        <v>6</v>
      </c>
      <c r="F41" s="19">
        <v>7</v>
      </c>
      <c r="G41" s="19">
        <v>0</v>
      </c>
      <c r="H41" s="19">
        <v>0</v>
      </c>
      <c r="I41" s="19">
        <v>3</v>
      </c>
      <c r="J41" s="13">
        <v>1</v>
      </c>
      <c r="K41" s="229">
        <v>15594617.5</v>
      </c>
      <c r="L41" s="230" t="s">
        <v>23</v>
      </c>
      <c r="M41" s="229" t="s">
        <v>368</v>
      </c>
      <c r="N41" s="231">
        <v>1557592.0999999957</v>
      </c>
      <c r="O41" s="232">
        <v>2</v>
      </c>
      <c r="P41" s="233">
        <v>40</v>
      </c>
      <c r="Q41" s="232">
        <v>442</v>
      </c>
      <c r="R41" s="233">
        <v>5022</v>
      </c>
      <c r="S41" s="232">
        <v>52228</v>
      </c>
      <c r="T41" s="233">
        <v>494606</v>
      </c>
    </row>
    <row r="42" spans="1:21" x14ac:dyDescent="0.15">
      <c r="A42" s="172">
        <v>18</v>
      </c>
      <c r="B42" s="173">
        <v>40667</v>
      </c>
      <c r="C42" s="174" t="s">
        <v>362</v>
      </c>
      <c r="D42" s="27">
        <v>6</v>
      </c>
      <c r="E42" s="27">
        <v>5</v>
      </c>
      <c r="F42" s="27">
        <v>2</v>
      </c>
      <c r="G42" s="27">
        <v>3</v>
      </c>
      <c r="H42" s="27">
        <v>3</v>
      </c>
      <c r="I42" s="27">
        <v>8</v>
      </c>
      <c r="J42" s="7">
        <v>6</v>
      </c>
      <c r="K42" s="222">
        <v>6794597.5</v>
      </c>
      <c r="L42" s="234" t="s">
        <v>23</v>
      </c>
      <c r="M42" s="224" t="s">
        <v>368</v>
      </c>
      <c r="N42" s="225">
        <v>2040687.9999999953</v>
      </c>
      <c r="O42" s="226">
        <v>2</v>
      </c>
      <c r="P42" s="227">
        <v>25</v>
      </c>
      <c r="Q42" s="226">
        <v>240</v>
      </c>
      <c r="R42" s="227">
        <v>2540</v>
      </c>
      <c r="S42" s="226">
        <v>24997</v>
      </c>
      <c r="T42" s="227">
        <v>262240</v>
      </c>
    </row>
    <row r="43" spans="1:21" x14ac:dyDescent="0.15">
      <c r="A43" s="178"/>
      <c r="B43" s="179">
        <v>40670</v>
      </c>
      <c r="C43" s="180" t="s">
        <v>363</v>
      </c>
      <c r="D43" s="19">
        <v>6</v>
      </c>
      <c r="E43" s="19">
        <v>9</v>
      </c>
      <c r="F43" s="19">
        <v>1</v>
      </c>
      <c r="G43" s="19">
        <v>2</v>
      </c>
      <c r="H43" s="19">
        <v>5</v>
      </c>
      <c r="I43" s="19">
        <v>8</v>
      </c>
      <c r="J43" s="13">
        <v>2</v>
      </c>
      <c r="K43" s="229">
        <v>16338485</v>
      </c>
      <c r="L43" s="237" t="s">
        <v>23</v>
      </c>
      <c r="M43" s="229" t="s">
        <v>368</v>
      </c>
      <c r="N43" s="231">
        <v>3202354.3</v>
      </c>
      <c r="O43" s="232">
        <v>5</v>
      </c>
      <c r="P43" s="233">
        <v>46</v>
      </c>
      <c r="Q43" s="232">
        <v>474</v>
      </c>
      <c r="R43" s="233">
        <v>5074</v>
      </c>
      <c r="S43" s="232">
        <v>51048</v>
      </c>
      <c r="T43" s="233">
        <v>520767</v>
      </c>
    </row>
    <row r="44" spans="1:21" x14ac:dyDescent="0.15">
      <c r="A44" s="172">
        <v>19</v>
      </c>
      <c r="B44" s="173">
        <v>40674</v>
      </c>
      <c r="C44" s="174" t="s">
        <v>362</v>
      </c>
      <c r="D44" s="27">
        <v>4</v>
      </c>
      <c r="E44" s="27">
        <v>9</v>
      </c>
      <c r="F44" s="27">
        <v>9</v>
      </c>
      <c r="G44" s="27">
        <v>1</v>
      </c>
      <c r="H44" s="27">
        <v>6</v>
      </c>
      <c r="I44" s="27">
        <v>5</v>
      </c>
      <c r="J44" s="7">
        <v>3</v>
      </c>
      <c r="K44" s="222">
        <v>6693130</v>
      </c>
      <c r="L44" s="234" t="s">
        <v>23</v>
      </c>
      <c r="M44" s="224" t="s">
        <v>368</v>
      </c>
      <c r="N44" s="225">
        <v>3678235.8</v>
      </c>
      <c r="O44" s="226">
        <v>1</v>
      </c>
      <c r="P44" s="227">
        <v>27</v>
      </c>
      <c r="Q44" s="226">
        <v>236</v>
      </c>
      <c r="R44" s="227">
        <v>2515</v>
      </c>
      <c r="S44" s="226">
        <v>24775</v>
      </c>
      <c r="T44" s="227">
        <v>246937</v>
      </c>
    </row>
    <row r="45" spans="1:21" x14ac:dyDescent="0.15">
      <c r="A45" s="178"/>
      <c r="B45" s="179">
        <v>40677</v>
      </c>
      <c r="C45" s="180" t="s">
        <v>363</v>
      </c>
      <c r="D45" s="19">
        <v>6</v>
      </c>
      <c r="E45" s="19">
        <v>7</v>
      </c>
      <c r="F45" s="19">
        <v>5</v>
      </c>
      <c r="G45" s="19">
        <v>8</v>
      </c>
      <c r="H45" s="19">
        <v>0</v>
      </c>
      <c r="I45" s="19">
        <v>3</v>
      </c>
      <c r="J45" s="13">
        <v>9</v>
      </c>
      <c r="K45" s="229">
        <v>16185560</v>
      </c>
      <c r="L45" s="237">
        <v>1</v>
      </c>
      <c r="M45" s="229">
        <v>4777777</v>
      </c>
      <c r="N45" s="285">
        <v>51252.1</v>
      </c>
      <c r="O45" s="232">
        <v>4</v>
      </c>
      <c r="P45" s="233">
        <v>67</v>
      </c>
      <c r="Q45" s="232">
        <v>516</v>
      </c>
      <c r="R45" s="233">
        <v>5087</v>
      </c>
      <c r="S45" s="232">
        <v>55341</v>
      </c>
      <c r="T45" s="233">
        <v>545012</v>
      </c>
    </row>
    <row r="46" spans="1:21" x14ac:dyDescent="0.15">
      <c r="A46" s="172">
        <v>20</v>
      </c>
      <c r="B46" s="173">
        <v>40681</v>
      </c>
      <c r="C46" s="174" t="s">
        <v>362</v>
      </c>
      <c r="D46" s="27">
        <v>3</v>
      </c>
      <c r="E46" s="27">
        <v>5</v>
      </c>
      <c r="F46" s="27">
        <v>7</v>
      </c>
      <c r="G46" s="27">
        <v>5</v>
      </c>
      <c r="H46" s="27">
        <v>4</v>
      </c>
      <c r="I46" s="27">
        <v>9</v>
      </c>
      <c r="J46" s="7">
        <v>7</v>
      </c>
      <c r="K46" s="222">
        <v>6332867.5</v>
      </c>
      <c r="L46" s="234" t="s">
        <v>23</v>
      </c>
      <c r="M46" s="222" t="s">
        <v>368</v>
      </c>
      <c r="N46" s="225">
        <v>501519</v>
      </c>
      <c r="O46" s="226">
        <v>1</v>
      </c>
      <c r="P46" s="227">
        <v>22</v>
      </c>
      <c r="Q46" s="226">
        <v>226</v>
      </c>
      <c r="R46" s="227">
        <v>2347</v>
      </c>
      <c r="S46" s="226">
        <v>23695</v>
      </c>
      <c r="T46" s="227">
        <v>259341</v>
      </c>
    </row>
    <row r="47" spans="1:21" x14ac:dyDescent="0.15">
      <c r="A47" s="178"/>
      <c r="B47" s="179">
        <v>40684</v>
      </c>
      <c r="C47" s="180" t="s">
        <v>363</v>
      </c>
      <c r="D47" s="19">
        <v>0</v>
      </c>
      <c r="E47" s="19">
        <v>9</v>
      </c>
      <c r="F47" s="19">
        <v>9</v>
      </c>
      <c r="G47" s="19">
        <v>2</v>
      </c>
      <c r="H47" s="19">
        <v>6</v>
      </c>
      <c r="I47" s="19">
        <v>0</v>
      </c>
      <c r="J47" s="13">
        <v>0</v>
      </c>
      <c r="K47" s="229">
        <v>15209300</v>
      </c>
      <c r="L47" s="230" t="s">
        <v>23</v>
      </c>
      <c r="M47" s="286" t="s">
        <v>368</v>
      </c>
      <c r="N47" s="231">
        <v>1582900.2</v>
      </c>
      <c r="O47" s="232">
        <v>3</v>
      </c>
      <c r="P47" s="233">
        <v>46</v>
      </c>
      <c r="Q47" s="232">
        <v>440</v>
      </c>
      <c r="R47" s="233">
        <v>4524</v>
      </c>
      <c r="S47" s="232">
        <v>46615</v>
      </c>
      <c r="T47" s="233">
        <v>418074</v>
      </c>
    </row>
    <row r="48" spans="1:21" x14ac:dyDescent="0.15">
      <c r="A48" s="172">
        <v>21</v>
      </c>
      <c r="B48" s="173">
        <v>40688</v>
      </c>
      <c r="C48" s="174" t="s">
        <v>362</v>
      </c>
      <c r="D48" s="27">
        <v>1</v>
      </c>
      <c r="E48" s="27">
        <v>0</v>
      </c>
      <c r="F48" s="27">
        <v>8</v>
      </c>
      <c r="G48" s="27">
        <v>1</v>
      </c>
      <c r="H48" s="27">
        <v>2</v>
      </c>
      <c r="I48" s="27">
        <v>2</v>
      </c>
      <c r="J48" s="7">
        <v>6</v>
      </c>
      <c r="K48" s="222">
        <v>6402090</v>
      </c>
      <c r="L48" s="234" t="s">
        <v>23</v>
      </c>
      <c r="M48" s="224" t="s">
        <v>368</v>
      </c>
      <c r="N48" s="285">
        <v>2038088.8</v>
      </c>
      <c r="O48" s="226">
        <v>4</v>
      </c>
      <c r="P48" s="227">
        <v>23</v>
      </c>
      <c r="Q48" s="226">
        <v>254</v>
      </c>
      <c r="R48" s="227">
        <v>2329</v>
      </c>
      <c r="S48" s="226">
        <v>24961</v>
      </c>
      <c r="T48" s="227">
        <v>245679</v>
      </c>
    </row>
    <row r="49" spans="1:21" x14ac:dyDescent="0.15">
      <c r="A49" s="178"/>
      <c r="B49" s="179">
        <v>40691</v>
      </c>
      <c r="C49" s="180" t="s">
        <v>363</v>
      </c>
      <c r="D49" s="19">
        <v>6</v>
      </c>
      <c r="E49" s="19">
        <v>4</v>
      </c>
      <c r="F49" s="19">
        <v>4</v>
      </c>
      <c r="G49" s="19">
        <v>0</v>
      </c>
      <c r="H49" s="19">
        <v>3</v>
      </c>
      <c r="I49" s="19">
        <v>6</v>
      </c>
      <c r="J49" s="13">
        <v>2</v>
      </c>
      <c r="K49" s="229">
        <v>15505415</v>
      </c>
      <c r="L49" s="237">
        <v>1</v>
      </c>
      <c r="M49" s="229">
        <v>3077777</v>
      </c>
      <c r="N49" s="231">
        <v>62746.8</v>
      </c>
      <c r="O49" s="232">
        <v>8</v>
      </c>
      <c r="P49" s="233">
        <v>37</v>
      </c>
      <c r="Q49" s="232">
        <v>509</v>
      </c>
      <c r="R49" s="233">
        <v>5180</v>
      </c>
      <c r="S49" s="232">
        <v>49989</v>
      </c>
      <c r="T49" s="233">
        <v>493453</v>
      </c>
    </row>
    <row r="50" spans="1:21" x14ac:dyDescent="0.15">
      <c r="A50" s="172">
        <v>22</v>
      </c>
      <c r="B50" s="173">
        <v>40695</v>
      </c>
      <c r="C50" s="174" t="s">
        <v>362</v>
      </c>
      <c r="D50" s="27">
        <v>5</v>
      </c>
      <c r="E50" s="27">
        <v>7</v>
      </c>
      <c r="F50" s="27">
        <v>7</v>
      </c>
      <c r="G50" s="27">
        <v>5</v>
      </c>
      <c r="H50" s="27">
        <v>1</v>
      </c>
      <c r="I50" s="27">
        <v>9</v>
      </c>
      <c r="J50" s="7">
        <v>5</v>
      </c>
      <c r="K50" s="222">
        <v>6436245</v>
      </c>
      <c r="L50" s="234" t="s">
        <v>23</v>
      </c>
      <c r="M50" s="224" t="s">
        <v>368</v>
      </c>
      <c r="N50" s="225">
        <v>520363.8</v>
      </c>
      <c r="O50" s="226">
        <v>1</v>
      </c>
      <c r="P50" s="227">
        <v>32</v>
      </c>
      <c r="Q50" s="226">
        <v>257</v>
      </c>
      <c r="R50" s="227">
        <v>2639</v>
      </c>
      <c r="S50" s="226">
        <v>25968</v>
      </c>
      <c r="T50" s="227">
        <v>284624</v>
      </c>
    </row>
    <row r="51" spans="1:21" x14ac:dyDescent="0.15">
      <c r="A51" s="178"/>
      <c r="B51" s="179">
        <v>40698</v>
      </c>
      <c r="C51" s="180" t="s">
        <v>363</v>
      </c>
      <c r="D51" s="19">
        <v>5</v>
      </c>
      <c r="E51" s="19">
        <v>4</v>
      </c>
      <c r="F51" s="19">
        <v>6</v>
      </c>
      <c r="G51" s="19">
        <v>6</v>
      </c>
      <c r="H51" s="19">
        <v>9</v>
      </c>
      <c r="I51" s="19">
        <v>9</v>
      </c>
      <c r="J51" s="13">
        <v>1</v>
      </c>
      <c r="K51" s="229">
        <v>15135470</v>
      </c>
      <c r="L51" s="237">
        <v>1</v>
      </c>
      <c r="M51" s="229">
        <v>1577777</v>
      </c>
      <c r="N51" s="231">
        <v>18718.7</v>
      </c>
      <c r="O51" s="232">
        <v>3</v>
      </c>
      <c r="P51" s="233">
        <v>34</v>
      </c>
      <c r="Q51" s="232">
        <v>432</v>
      </c>
      <c r="R51" s="233">
        <v>4459</v>
      </c>
      <c r="S51" s="232">
        <v>46012</v>
      </c>
      <c r="T51" s="233">
        <v>485397</v>
      </c>
    </row>
    <row r="52" spans="1:21" x14ac:dyDescent="0.15">
      <c r="A52" s="172">
        <v>23</v>
      </c>
      <c r="B52" s="173">
        <v>40702</v>
      </c>
      <c r="C52" s="174" t="s">
        <v>362</v>
      </c>
      <c r="D52" s="27">
        <v>2</v>
      </c>
      <c r="E52" s="27">
        <v>1</v>
      </c>
      <c r="F52" s="27">
        <v>8</v>
      </c>
      <c r="G52" s="27">
        <v>9</v>
      </c>
      <c r="H52" s="27">
        <v>9</v>
      </c>
      <c r="I52" s="27">
        <v>1</v>
      </c>
      <c r="J52" s="7">
        <v>7</v>
      </c>
      <c r="K52" s="222">
        <v>6520825</v>
      </c>
      <c r="L52" s="234" t="s">
        <v>23</v>
      </c>
      <c r="M52" s="224" t="s">
        <v>368</v>
      </c>
      <c r="N52" s="225">
        <v>482349.4</v>
      </c>
      <c r="O52" s="226">
        <v>4</v>
      </c>
      <c r="P52" s="227">
        <v>31</v>
      </c>
      <c r="Q52" s="226">
        <v>257</v>
      </c>
      <c r="R52" s="227">
        <v>2500</v>
      </c>
      <c r="S52" s="226">
        <v>25744</v>
      </c>
      <c r="T52" s="227">
        <v>266722</v>
      </c>
    </row>
    <row r="53" spans="1:21" x14ac:dyDescent="0.15">
      <c r="A53" s="178"/>
      <c r="B53" s="179">
        <v>40705</v>
      </c>
      <c r="C53" s="180" t="s">
        <v>363</v>
      </c>
      <c r="D53" s="19">
        <v>1</v>
      </c>
      <c r="E53" s="19">
        <v>6</v>
      </c>
      <c r="F53" s="19">
        <v>9</v>
      </c>
      <c r="G53" s="19">
        <v>2</v>
      </c>
      <c r="H53" s="19">
        <v>4</v>
      </c>
      <c r="I53" s="19">
        <v>7</v>
      </c>
      <c r="J53" s="13">
        <v>8</v>
      </c>
      <c r="K53" s="229">
        <v>15996695</v>
      </c>
      <c r="L53" s="237">
        <v>1</v>
      </c>
      <c r="M53" s="229">
        <v>1577777</v>
      </c>
      <c r="N53" s="231">
        <v>41937.4</v>
      </c>
      <c r="O53" s="232">
        <v>7</v>
      </c>
      <c r="P53" s="233">
        <v>74</v>
      </c>
      <c r="Q53" s="232">
        <v>706</v>
      </c>
      <c r="R53" s="233">
        <v>6645</v>
      </c>
      <c r="S53" s="232">
        <v>64054</v>
      </c>
      <c r="T53" s="233">
        <v>641398</v>
      </c>
    </row>
    <row r="54" spans="1:21" x14ac:dyDescent="0.15">
      <c r="A54" s="172">
        <v>24</v>
      </c>
      <c r="B54" s="173">
        <v>40709</v>
      </c>
      <c r="C54" s="174" t="s">
        <v>362</v>
      </c>
      <c r="D54" s="27">
        <v>9</v>
      </c>
      <c r="E54" s="27">
        <v>3</v>
      </c>
      <c r="F54" s="27">
        <v>3</v>
      </c>
      <c r="G54" s="27">
        <v>8</v>
      </c>
      <c r="H54" s="27">
        <v>5</v>
      </c>
      <c r="I54" s="27">
        <v>3</v>
      </c>
      <c r="J54" s="7">
        <v>7</v>
      </c>
      <c r="K54" s="222">
        <v>6895527.5</v>
      </c>
      <c r="L54" s="223" t="s">
        <v>23</v>
      </c>
      <c r="M54" s="224" t="s">
        <v>368</v>
      </c>
      <c r="N54" s="225">
        <v>532209.4</v>
      </c>
      <c r="O54" s="226">
        <v>3</v>
      </c>
      <c r="P54" s="227">
        <v>31</v>
      </c>
      <c r="Q54" s="226">
        <v>274</v>
      </c>
      <c r="R54" s="227">
        <v>2857</v>
      </c>
      <c r="S54" s="226">
        <v>27441</v>
      </c>
      <c r="T54" s="227">
        <v>283313</v>
      </c>
    </row>
    <row r="55" spans="1:21" x14ac:dyDescent="0.15">
      <c r="A55" s="178"/>
      <c r="B55" s="179">
        <v>40712</v>
      </c>
      <c r="C55" s="180" t="s">
        <v>363</v>
      </c>
      <c r="D55" s="19">
        <v>6</v>
      </c>
      <c r="E55" s="19">
        <v>2</v>
      </c>
      <c r="F55" s="19">
        <v>7</v>
      </c>
      <c r="G55" s="19">
        <v>5</v>
      </c>
      <c r="H55" s="19">
        <v>2</v>
      </c>
      <c r="I55" s="19">
        <v>0</v>
      </c>
      <c r="J55" s="13">
        <v>6</v>
      </c>
      <c r="K55" s="229">
        <v>16860882.5</v>
      </c>
      <c r="L55" s="230">
        <v>1</v>
      </c>
      <c r="M55" s="229">
        <v>1677777</v>
      </c>
      <c r="N55" s="231">
        <v>53241.1</v>
      </c>
      <c r="O55" s="232">
        <v>1</v>
      </c>
      <c r="P55" s="233">
        <v>56</v>
      </c>
      <c r="Q55" s="232">
        <v>519</v>
      </c>
      <c r="R55" s="233">
        <v>5269</v>
      </c>
      <c r="S55" s="232">
        <v>54228</v>
      </c>
      <c r="T55" s="233">
        <v>644707</v>
      </c>
    </row>
    <row r="56" spans="1:21" x14ac:dyDescent="0.15">
      <c r="A56" s="172">
        <v>25</v>
      </c>
      <c r="B56" s="173">
        <v>40716</v>
      </c>
      <c r="C56" s="174" t="s">
        <v>362</v>
      </c>
      <c r="D56" s="27">
        <v>6</v>
      </c>
      <c r="E56" s="27">
        <v>4</v>
      </c>
      <c r="F56" s="27">
        <v>3</v>
      </c>
      <c r="G56" s="27">
        <v>8</v>
      </c>
      <c r="H56" s="27">
        <v>2</v>
      </c>
      <c r="I56" s="27">
        <v>6</v>
      </c>
      <c r="J56" s="7">
        <v>3</v>
      </c>
      <c r="K56" s="222">
        <v>6524545</v>
      </c>
      <c r="L56" s="234" t="s">
        <v>23</v>
      </c>
      <c r="M56" s="224" t="s">
        <v>368</v>
      </c>
      <c r="N56" s="225">
        <v>517136.2</v>
      </c>
      <c r="O56" s="226">
        <v>2</v>
      </c>
      <c r="P56" s="227">
        <v>21</v>
      </c>
      <c r="Q56" s="226">
        <v>232</v>
      </c>
      <c r="R56" s="227">
        <v>2350</v>
      </c>
      <c r="S56" s="226">
        <v>24583</v>
      </c>
      <c r="T56" s="227">
        <v>240398</v>
      </c>
      <c r="U56" s="240"/>
    </row>
    <row r="57" spans="1:21" x14ac:dyDescent="0.15">
      <c r="A57" s="178"/>
      <c r="B57" s="179">
        <v>40719</v>
      </c>
      <c r="C57" s="180" t="s">
        <v>363</v>
      </c>
      <c r="D57" s="19">
        <v>1</v>
      </c>
      <c r="E57" s="19">
        <v>1</v>
      </c>
      <c r="F57" s="19">
        <v>2</v>
      </c>
      <c r="G57" s="19">
        <v>1</v>
      </c>
      <c r="H57" s="19">
        <v>1</v>
      </c>
      <c r="I57" s="19">
        <v>0</v>
      </c>
      <c r="J57" s="13">
        <v>5</v>
      </c>
      <c r="K57" s="229">
        <v>15250555</v>
      </c>
      <c r="L57" s="230">
        <v>1</v>
      </c>
      <c r="M57" s="229">
        <v>1577777</v>
      </c>
      <c r="N57" s="231">
        <v>23673.7</v>
      </c>
      <c r="O57" s="232">
        <v>8</v>
      </c>
      <c r="P57" s="233">
        <v>61</v>
      </c>
      <c r="Q57" s="232">
        <v>577</v>
      </c>
      <c r="R57" s="233">
        <v>5707</v>
      </c>
      <c r="S57" s="232">
        <v>55539</v>
      </c>
      <c r="T57" s="233">
        <v>688889</v>
      </c>
    </row>
    <row r="58" spans="1:21" x14ac:dyDescent="0.15">
      <c r="A58" s="172">
        <v>26</v>
      </c>
      <c r="B58" s="173">
        <v>40723</v>
      </c>
      <c r="C58" s="174" t="s">
        <v>362</v>
      </c>
      <c r="D58" s="27">
        <v>1</v>
      </c>
      <c r="E58" s="27">
        <v>8</v>
      </c>
      <c r="F58" s="27">
        <v>2</v>
      </c>
      <c r="G58" s="27">
        <v>2</v>
      </c>
      <c r="H58" s="27">
        <v>1</v>
      </c>
      <c r="I58" s="27">
        <v>5</v>
      </c>
      <c r="J58" s="7">
        <v>3</v>
      </c>
      <c r="K58" s="222">
        <v>6453022.5</v>
      </c>
      <c r="L58" s="223">
        <v>1</v>
      </c>
      <c r="M58" s="224">
        <v>477777</v>
      </c>
      <c r="N58" s="225">
        <v>4706.6000000000004</v>
      </c>
      <c r="O58" s="226">
        <v>1</v>
      </c>
      <c r="P58" s="227">
        <v>27</v>
      </c>
      <c r="Q58" s="226">
        <v>217</v>
      </c>
      <c r="R58" s="227">
        <v>2530</v>
      </c>
      <c r="S58" s="226">
        <v>24335</v>
      </c>
      <c r="T58" s="227">
        <v>238798</v>
      </c>
    </row>
    <row r="59" spans="1:21" x14ac:dyDescent="0.15">
      <c r="A59" s="178"/>
      <c r="B59" s="179">
        <v>40726</v>
      </c>
      <c r="C59" s="180" t="s">
        <v>363</v>
      </c>
      <c r="D59" s="38">
        <v>7</v>
      </c>
      <c r="E59" s="38">
        <v>4</v>
      </c>
      <c r="F59" s="38">
        <v>1</v>
      </c>
      <c r="G59" s="38">
        <v>4</v>
      </c>
      <c r="H59" s="38">
        <v>6</v>
      </c>
      <c r="I59" s="38">
        <v>3</v>
      </c>
      <c r="J59" s="39">
        <v>0</v>
      </c>
      <c r="K59" s="229">
        <v>16044575</v>
      </c>
      <c r="L59" s="230">
        <v>1</v>
      </c>
      <c r="M59" s="229">
        <v>1077777</v>
      </c>
      <c r="N59" s="231">
        <v>67698.899999999994</v>
      </c>
      <c r="O59" s="232">
        <v>6</v>
      </c>
      <c r="P59" s="233">
        <v>43</v>
      </c>
      <c r="Q59" s="232">
        <v>449</v>
      </c>
      <c r="R59" s="233">
        <v>4445</v>
      </c>
      <c r="S59" s="232">
        <v>44792</v>
      </c>
      <c r="T59" s="233">
        <v>451580</v>
      </c>
    </row>
    <row r="60" spans="1:21" x14ac:dyDescent="0.15">
      <c r="A60" s="45"/>
      <c r="B60" s="46"/>
      <c r="C60" s="46"/>
      <c r="D60" s="276"/>
      <c r="E60" s="276"/>
      <c r="F60" s="276"/>
      <c r="G60" s="276"/>
      <c r="H60" s="276"/>
      <c r="I60" s="276" t="s">
        <v>24</v>
      </c>
      <c r="J60" s="276"/>
      <c r="K60" s="277"/>
      <c r="L60" s="278">
        <f>SUM(L8:L59)</f>
        <v>24</v>
      </c>
      <c r="M60" s="229"/>
      <c r="N60" s="278"/>
      <c r="O60" s="278">
        <f t="shared" ref="O60:T60" si="0">SUM(O8:O59)</f>
        <v>219</v>
      </c>
      <c r="P60" s="278">
        <f t="shared" si="0"/>
        <v>2153</v>
      </c>
      <c r="Q60" s="278">
        <f t="shared" si="0"/>
        <v>21647</v>
      </c>
      <c r="R60" s="278">
        <f t="shared" si="0"/>
        <v>218622</v>
      </c>
      <c r="S60" s="278">
        <f t="shared" si="0"/>
        <v>2180697</v>
      </c>
      <c r="T60" s="272">
        <f t="shared" si="0"/>
        <v>22160036</v>
      </c>
    </row>
    <row r="63" spans="1:21" x14ac:dyDescent="0.15">
      <c r="K63" s="254"/>
    </row>
    <row r="64" spans="1:21" ht="12.75" x14ac:dyDescent="0.2">
      <c r="A64" s="1" t="s">
        <v>364</v>
      </c>
      <c r="T64" s="3" t="s">
        <v>406</v>
      </c>
    </row>
    <row r="65" spans="1:21" ht="11.1" customHeight="1" x14ac:dyDescent="0.15">
      <c r="A65" s="6" t="s">
        <v>2</v>
      </c>
    </row>
    <row r="66" spans="1:21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1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1" ht="11.1" customHeight="1" x14ac:dyDescent="0.15">
      <c r="A68" s="13" t="s">
        <v>428</v>
      </c>
      <c r="B68" s="14">
        <v>2011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1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</row>
    <row r="70" spans="1:21" x14ac:dyDescent="0.15">
      <c r="A70" s="172">
        <v>27</v>
      </c>
      <c r="B70" s="173">
        <v>40730</v>
      </c>
      <c r="C70" s="174" t="s">
        <v>362</v>
      </c>
      <c r="D70" s="27">
        <v>5</v>
      </c>
      <c r="E70" s="27">
        <v>5</v>
      </c>
      <c r="F70" s="27">
        <v>3</v>
      </c>
      <c r="G70" s="27">
        <v>0</v>
      </c>
      <c r="H70" s="27">
        <v>4</v>
      </c>
      <c r="I70" s="27">
        <v>5</v>
      </c>
      <c r="J70" s="7">
        <v>3</v>
      </c>
      <c r="K70" s="222">
        <v>7348565</v>
      </c>
      <c r="L70" s="223" t="s">
        <v>23</v>
      </c>
      <c r="M70" s="224" t="s">
        <v>368</v>
      </c>
      <c r="N70" s="225">
        <v>590181.9</v>
      </c>
      <c r="O70" s="226">
        <v>1</v>
      </c>
      <c r="P70" s="227">
        <v>31</v>
      </c>
      <c r="Q70" s="226">
        <v>276</v>
      </c>
      <c r="R70" s="227">
        <v>2831</v>
      </c>
      <c r="S70" s="226">
        <v>28150</v>
      </c>
      <c r="T70" s="227">
        <v>272420</v>
      </c>
      <c r="U70" s="240"/>
    </row>
    <row r="71" spans="1:21" x14ac:dyDescent="0.15">
      <c r="A71" s="178"/>
      <c r="B71" s="179">
        <v>40733</v>
      </c>
      <c r="C71" s="180" t="s">
        <v>363</v>
      </c>
      <c r="D71" s="19">
        <v>5</v>
      </c>
      <c r="E71" s="19">
        <v>2</v>
      </c>
      <c r="F71" s="19">
        <v>1</v>
      </c>
      <c r="G71" s="19">
        <v>8</v>
      </c>
      <c r="H71" s="19">
        <v>9</v>
      </c>
      <c r="I71" s="19">
        <v>3</v>
      </c>
      <c r="J71" s="13">
        <v>3</v>
      </c>
      <c r="K71" s="229">
        <v>17035505</v>
      </c>
      <c r="L71" s="230">
        <v>1</v>
      </c>
      <c r="M71" s="229">
        <v>1777777</v>
      </c>
      <c r="N71" s="231">
        <v>23629.3</v>
      </c>
      <c r="O71" s="232">
        <v>8</v>
      </c>
      <c r="P71" s="233">
        <v>60</v>
      </c>
      <c r="Q71" s="232">
        <v>619</v>
      </c>
      <c r="R71" s="233">
        <v>6198</v>
      </c>
      <c r="S71" s="232">
        <v>63113</v>
      </c>
      <c r="T71" s="233">
        <v>622690</v>
      </c>
    </row>
    <row r="72" spans="1:21" x14ac:dyDescent="0.15">
      <c r="A72" s="172">
        <v>28</v>
      </c>
      <c r="B72" s="173">
        <v>40737</v>
      </c>
      <c r="C72" s="174" t="s">
        <v>362</v>
      </c>
      <c r="D72" s="27">
        <v>2</v>
      </c>
      <c r="E72" s="27">
        <v>4</v>
      </c>
      <c r="F72" s="27">
        <v>4</v>
      </c>
      <c r="G72" s="27">
        <v>4</v>
      </c>
      <c r="H72" s="27">
        <v>0</v>
      </c>
      <c r="I72" s="27">
        <v>8</v>
      </c>
      <c r="J72" s="7">
        <v>7</v>
      </c>
      <c r="K72" s="222">
        <v>6465947.5</v>
      </c>
      <c r="L72" s="223" t="s">
        <v>23</v>
      </c>
      <c r="M72" s="224" t="s">
        <v>368</v>
      </c>
      <c r="N72" s="225">
        <v>483358.2</v>
      </c>
      <c r="O72" s="226">
        <v>1</v>
      </c>
      <c r="P72" s="227">
        <v>22</v>
      </c>
      <c r="Q72" s="226">
        <v>194</v>
      </c>
      <c r="R72" s="227">
        <v>2312</v>
      </c>
      <c r="S72" s="226">
        <v>25027</v>
      </c>
      <c r="T72" s="227">
        <v>269122</v>
      </c>
    </row>
    <row r="73" spans="1:21" x14ac:dyDescent="0.15">
      <c r="A73" s="178"/>
      <c r="B73" s="179">
        <v>40740</v>
      </c>
      <c r="C73" s="180" t="s">
        <v>363</v>
      </c>
      <c r="D73" s="19">
        <v>7</v>
      </c>
      <c r="E73" s="19">
        <v>5</v>
      </c>
      <c r="F73" s="19">
        <v>7</v>
      </c>
      <c r="G73" s="19">
        <v>4</v>
      </c>
      <c r="H73" s="19">
        <v>8</v>
      </c>
      <c r="I73" s="19">
        <v>9</v>
      </c>
      <c r="J73" s="13">
        <v>1</v>
      </c>
      <c r="K73" s="229">
        <v>15354342.5</v>
      </c>
      <c r="L73" s="237">
        <v>2</v>
      </c>
      <c r="M73" s="229">
        <v>777777</v>
      </c>
      <c r="N73" s="231">
        <v>19498</v>
      </c>
      <c r="O73" s="232">
        <v>5</v>
      </c>
      <c r="P73" s="233">
        <v>44</v>
      </c>
      <c r="Q73" s="232">
        <v>518</v>
      </c>
      <c r="R73" s="233">
        <v>4620</v>
      </c>
      <c r="S73" s="232">
        <v>47162</v>
      </c>
      <c r="T73" s="233">
        <v>494993</v>
      </c>
    </row>
    <row r="74" spans="1:21" x14ac:dyDescent="0.15">
      <c r="A74" s="172">
        <v>29</v>
      </c>
      <c r="B74" s="173">
        <v>40744</v>
      </c>
      <c r="C74" s="174" t="s">
        <v>362</v>
      </c>
      <c r="D74" s="27">
        <v>7</v>
      </c>
      <c r="E74" s="27">
        <v>4</v>
      </c>
      <c r="F74" s="27">
        <v>8</v>
      </c>
      <c r="G74" s="27">
        <v>6</v>
      </c>
      <c r="H74" s="27">
        <v>9</v>
      </c>
      <c r="I74" s="27">
        <v>2</v>
      </c>
      <c r="J74" s="7">
        <v>8</v>
      </c>
      <c r="K74" s="222">
        <v>6635735</v>
      </c>
      <c r="L74" s="223" t="s">
        <v>23</v>
      </c>
      <c r="M74" s="224" t="s">
        <v>368</v>
      </c>
      <c r="N74" s="225">
        <v>491298.8</v>
      </c>
      <c r="O74" s="226">
        <v>2</v>
      </c>
      <c r="P74" s="227">
        <v>21</v>
      </c>
      <c r="Q74" s="226">
        <v>246</v>
      </c>
      <c r="R74" s="227">
        <v>2599</v>
      </c>
      <c r="S74" s="226">
        <v>25935</v>
      </c>
      <c r="T74" s="227">
        <v>260048</v>
      </c>
    </row>
    <row r="75" spans="1:21" x14ac:dyDescent="0.15">
      <c r="A75" s="178"/>
      <c r="B75" s="179">
        <v>40747</v>
      </c>
      <c r="C75" s="180" t="s">
        <v>363</v>
      </c>
      <c r="D75" s="19">
        <v>2</v>
      </c>
      <c r="E75" s="19">
        <v>0</v>
      </c>
      <c r="F75" s="19">
        <v>7</v>
      </c>
      <c r="G75" s="19">
        <v>2</v>
      </c>
      <c r="H75" s="19">
        <v>0</v>
      </c>
      <c r="I75" s="19">
        <v>8</v>
      </c>
      <c r="J75" s="13">
        <v>9</v>
      </c>
      <c r="K75" s="229">
        <v>15871645</v>
      </c>
      <c r="L75" s="230" t="s">
        <v>23</v>
      </c>
      <c r="M75" s="229" t="s">
        <v>368</v>
      </c>
      <c r="N75" s="231">
        <v>1619772.8</v>
      </c>
      <c r="O75" s="232">
        <v>4</v>
      </c>
      <c r="P75" s="233">
        <v>49</v>
      </c>
      <c r="Q75" s="232">
        <v>552</v>
      </c>
      <c r="R75" s="233">
        <v>5078</v>
      </c>
      <c r="S75" s="232">
        <v>53411</v>
      </c>
      <c r="T75" s="233">
        <v>533244</v>
      </c>
    </row>
    <row r="76" spans="1:21" x14ac:dyDescent="0.15">
      <c r="A76" s="172">
        <v>30</v>
      </c>
      <c r="B76" s="173">
        <v>40751</v>
      </c>
      <c r="C76" s="174" t="s">
        <v>362</v>
      </c>
      <c r="D76" s="27">
        <v>6</v>
      </c>
      <c r="E76" s="27">
        <v>4</v>
      </c>
      <c r="F76" s="27">
        <v>0</v>
      </c>
      <c r="G76" s="27">
        <v>8</v>
      </c>
      <c r="H76" s="27">
        <v>7</v>
      </c>
      <c r="I76" s="27">
        <v>5</v>
      </c>
      <c r="J76" s="7">
        <v>6</v>
      </c>
      <c r="K76" s="222">
        <v>7379232.5</v>
      </c>
      <c r="L76" s="223" t="s">
        <v>23</v>
      </c>
      <c r="M76" s="224" t="s">
        <v>368</v>
      </c>
      <c r="N76" s="225">
        <v>2144436.2000000002</v>
      </c>
      <c r="O76" s="226">
        <v>2</v>
      </c>
      <c r="P76" s="227">
        <v>28</v>
      </c>
      <c r="Q76" s="226">
        <v>273</v>
      </c>
      <c r="R76" s="227">
        <v>3014</v>
      </c>
      <c r="S76" s="226">
        <v>29516</v>
      </c>
      <c r="T76" s="227">
        <v>278989</v>
      </c>
    </row>
    <row r="77" spans="1:21" x14ac:dyDescent="0.15">
      <c r="A77" s="178"/>
      <c r="B77" s="179">
        <v>40754</v>
      </c>
      <c r="C77" s="180" t="s">
        <v>363</v>
      </c>
      <c r="D77" s="19">
        <v>9</v>
      </c>
      <c r="E77" s="19">
        <v>9</v>
      </c>
      <c r="F77" s="19">
        <v>1</v>
      </c>
      <c r="G77" s="19">
        <v>4</v>
      </c>
      <c r="H77" s="19">
        <v>5</v>
      </c>
      <c r="I77" s="19">
        <v>6</v>
      </c>
      <c r="J77" s="13">
        <v>9</v>
      </c>
      <c r="K77" s="229">
        <v>17463470</v>
      </c>
      <c r="L77" s="230" t="s">
        <v>23</v>
      </c>
      <c r="M77" s="229" t="s">
        <v>368</v>
      </c>
      <c r="N77" s="231">
        <v>3386088.9</v>
      </c>
      <c r="O77" s="232">
        <v>5</v>
      </c>
      <c r="P77" s="233">
        <v>58</v>
      </c>
      <c r="Q77" s="232">
        <v>620</v>
      </c>
      <c r="R77" s="233">
        <v>6119</v>
      </c>
      <c r="S77" s="232">
        <v>61904</v>
      </c>
      <c r="T77" s="233">
        <v>588114</v>
      </c>
    </row>
    <row r="78" spans="1:21" x14ac:dyDescent="0.15">
      <c r="A78" s="172">
        <v>31</v>
      </c>
      <c r="B78" s="173">
        <v>40758</v>
      </c>
      <c r="C78" s="174" t="s">
        <v>362</v>
      </c>
      <c r="D78" s="27">
        <v>5</v>
      </c>
      <c r="E78" s="27">
        <v>6</v>
      </c>
      <c r="F78" s="27">
        <v>6</v>
      </c>
      <c r="G78" s="27">
        <v>6</v>
      </c>
      <c r="H78" s="27">
        <v>9</v>
      </c>
      <c r="I78" s="27">
        <v>4</v>
      </c>
      <c r="J78" s="7">
        <v>4</v>
      </c>
      <c r="K78" s="222">
        <v>8729957.5</v>
      </c>
      <c r="L78" s="223" t="s">
        <v>23</v>
      </c>
      <c r="M78" s="224" t="s">
        <v>368</v>
      </c>
      <c r="N78" s="225">
        <v>4006788.9</v>
      </c>
      <c r="O78" s="226">
        <v>4</v>
      </c>
      <c r="P78" s="227">
        <v>41</v>
      </c>
      <c r="Q78" s="226">
        <v>313</v>
      </c>
      <c r="R78" s="227">
        <v>3102</v>
      </c>
      <c r="S78" s="226">
        <v>31950</v>
      </c>
      <c r="T78" s="227">
        <v>300440</v>
      </c>
    </row>
    <row r="79" spans="1:21" x14ac:dyDescent="0.15">
      <c r="A79" s="178"/>
      <c r="B79" s="179">
        <v>40761</v>
      </c>
      <c r="C79" s="180" t="s">
        <v>363</v>
      </c>
      <c r="D79" s="19">
        <v>4</v>
      </c>
      <c r="E79" s="19">
        <v>3</v>
      </c>
      <c r="F79" s="19">
        <v>0</v>
      </c>
      <c r="G79" s="19">
        <v>0</v>
      </c>
      <c r="H79" s="19">
        <v>9</v>
      </c>
      <c r="I79" s="19">
        <v>4</v>
      </c>
      <c r="J79" s="13">
        <v>5</v>
      </c>
      <c r="K79" s="229">
        <v>18632030</v>
      </c>
      <c r="L79" s="230">
        <v>1</v>
      </c>
      <c r="M79" s="229">
        <v>5277777</v>
      </c>
      <c r="N79" s="231">
        <v>53749.2</v>
      </c>
      <c r="O79" s="232">
        <v>8</v>
      </c>
      <c r="P79" s="233">
        <v>78</v>
      </c>
      <c r="Q79" s="232">
        <v>854</v>
      </c>
      <c r="R79" s="233">
        <v>8326</v>
      </c>
      <c r="S79" s="232">
        <v>81916</v>
      </c>
      <c r="T79" s="233">
        <v>799931</v>
      </c>
    </row>
    <row r="80" spans="1:21" x14ac:dyDescent="0.15">
      <c r="A80" s="172">
        <v>32</v>
      </c>
      <c r="B80" s="173">
        <v>40765</v>
      </c>
      <c r="C80" s="174" t="s">
        <v>362</v>
      </c>
      <c r="D80" s="27">
        <v>6</v>
      </c>
      <c r="E80" s="27">
        <v>0</v>
      </c>
      <c r="F80" s="27">
        <v>2</v>
      </c>
      <c r="G80" s="27">
        <v>5</v>
      </c>
      <c r="H80" s="27">
        <v>2</v>
      </c>
      <c r="I80" s="27">
        <v>3</v>
      </c>
      <c r="J80" s="7">
        <v>7</v>
      </c>
      <c r="K80" s="222">
        <v>10074345</v>
      </c>
      <c r="L80" s="234">
        <v>1</v>
      </c>
      <c r="M80" s="224">
        <v>677777</v>
      </c>
      <c r="N80" s="225">
        <v>92258.1</v>
      </c>
      <c r="O80" s="236">
        <v>4</v>
      </c>
      <c r="P80" s="227">
        <v>35</v>
      </c>
      <c r="Q80" s="226">
        <v>409</v>
      </c>
      <c r="R80" s="227">
        <v>4133</v>
      </c>
      <c r="S80" s="226">
        <v>40461</v>
      </c>
      <c r="T80" s="227">
        <v>413096</v>
      </c>
    </row>
    <row r="81" spans="1:20" x14ac:dyDescent="0.15">
      <c r="A81" s="178"/>
      <c r="B81" s="179">
        <v>40768</v>
      </c>
      <c r="C81" s="180" t="s">
        <v>363</v>
      </c>
      <c r="D81" s="19">
        <v>8</v>
      </c>
      <c r="E81" s="19">
        <v>1</v>
      </c>
      <c r="F81" s="19">
        <v>1</v>
      </c>
      <c r="G81" s="19">
        <v>6</v>
      </c>
      <c r="H81" s="19">
        <v>3</v>
      </c>
      <c r="I81" s="19">
        <v>9</v>
      </c>
      <c r="J81" s="13">
        <v>2</v>
      </c>
      <c r="K81" s="229">
        <v>20688152.5</v>
      </c>
      <c r="L81" s="230" t="s">
        <v>23</v>
      </c>
      <c r="M81" s="229" t="s">
        <v>368</v>
      </c>
      <c r="N81" s="231">
        <v>1563185.7</v>
      </c>
      <c r="O81" s="232">
        <v>5</v>
      </c>
      <c r="P81" s="233">
        <v>65</v>
      </c>
      <c r="Q81" s="232">
        <v>645</v>
      </c>
      <c r="R81" s="233">
        <v>6531</v>
      </c>
      <c r="S81" s="232">
        <v>65254</v>
      </c>
      <c r="T81" s="233">
        <v>673954</v>
      </c>
    </row>
    <row r="82" spans="1:20" x14ac:dyDescent="0.15">
      <c r="A82" s="172">
        <v>33</v>
      </c>
      <c r="B82" s="173">
        <v>40772</v>
      </c>
      <c r="C82" s="174" t="s">
        <v>362</v>
      </c>
      <c r="D82" s="27">
        <v>5</v>
      </c>
      <c r="E82" s="27">
        <v>3</v>
      </c>
      <c r="F82" s="27">
        <v>2</v>
      </c>
      <c r="G82" s="27">
        <v>7</v>
      </c>
      <c r="H82" s="27">
        <v>7</v>
      </c>
      <c r="I82" s="27">
        <v>3</v>
      </c>
      <c r="J82" s="7">
        <v>4</v>
      </c>
      <c r="K82" s="222">
        <v>6983782.5</v>
      </c>
      <c r="L82" s="223">
        <v>1</v>
      </c>
      <c r="M82" s="279">
        <v>1977777</v>
      </c>
      <c r="N82" s="225">
        <v>81955.600000000006</v>
      </c>
      <c r="O82" s="226">
        <v>2</v>
      </c>
      <c r="P82" s="227">
        <v>34</v>
      </c>
      <c r="Q82" s="226">
        <v>214</v>
      </c>
      <c r="R82" s="227">
        <v>2528</v>
      </c>
      <c r="S82" s="226">
        <v>24037</v>
      </c>
      <c r="T82" s="227">
        <v>238665</v>
      </c>
    </row>
    <row r="83" spans="1:20" x14ac:dyDescent="0.15">
      <c r="A83" s="178"/>
      <c r="B83" s="179">
        <v>40775</v>
      </c>
      <c r="C83" s="180" t="s">
        <v>363</v>
      </c>
      <c r="D83" s="19">
        <v>6</v>
      </c>
      <c r="E83" s="19">
        <v>7</v>
      </c>
      <c r="F83" s="19">
        <v>8</v>
      </c>
      <c r="G83" s="19">
        <v>5</v>
      </c>
      <c r="H83" s="19">
        <v>9</v>
      </c>
      <c r="I83" s="19">
        <v>2</v>
      </c>
      <c r="J83" s="13">
        <v>2</v>
      </c>
      <c r="K83" s="229">
        <v>15608287.5</v>
      </c>
      <c r="L83" s="230" t="s">
        <v>23</v>
      </c>
      <c r="M83" s="229" t="s">
        <v>368</v>
      </c>
      <c r="N83" s="231">
        <v>1191704.8</v>
      </c>
      <c r="O83" s="232">
        <v>4</v>
      </c>
      <c r="P83" s="233">
        <v>46</v>
      </c>
      <c r="Q83" s="232">
        <v>545</v>
      </c>
      <c r="R83" s="233">
        <v>5113</v>
      </c>
      <c r="S83" s="232">
        <v>51145</v>
      </c>
      <c r="T83" s="233">
        <v>498875</v>
      </c>
    </row>
    <row r="84" spans="1:20" x14ac:dyDescent="0.15">
      <c r="A84" s="172">
        <v>34</v>
      </c>
      <c r="B84" s="173">
        <v>40779</v>
      </c>
      <c r="C84" s="174" t="s">
        <v>362</v>
      </c>
      <c r="D84" s="27">
        <v>9</v>
      </c>
      <c r="E84" s="27">
        <v>8</v>
      </c>
      <c r="F84" s="27">
        <v>7</v>
      </c>
      <c r="G84" s="27">
        <v>1</v>
      </c>
      <c r="H84" s="27">
        <v>9</v>
      </c>
      <c r="I84" s="27">
        <v>7</v>
      </c>
      <c r="J84" s="7">
        <v>7</v>
      </c>
      <c r="K84" s="222">
        <v>6785757.5</v>
      </c>
      <c r="L84" s="223" t="s">
        <v>23</v>
      </c>
      <c r="M84" s="224" t="s">
        <v>368</v>
      </c>
      <c r="N84" s="225">
        <v>1674172.2</v>
      </c>
      <c r="O84" s="226">
        <v>2</v>
      </c>
      <c r="P84" s="227">
        <v>40</v>
      </c>
      <c r="Q84" s="226">
        <v>359</v>
      </c>
      <c r="R84" s="227">
        <v>3100</v>
      </c>
      <c r="S84" s="226">
        <v>35736</v>
      </c>
      <c r="T84" s="227">
        <v>276160</v>
      </c>
    </row>
    <row r="85" spans="1:20" x14ac:dyDescent="0.15">
      <c r="A85" s="178"/>
      <c r="B85" s="179">
        <v>40782</v>
      </c>
      <c r="C85" s="180" t="s">
        <v>363</v>
      </c>
      <c r="D85" s="19">
        <v>2</v>
      </c>
      <c r="E85" s="19">
        <v>0</v>
      </c>
      <c r="F85" s="19">
        <v>3</v>
      </c>
      <c r="G85" s="19">
        <v>4</v>
      </c>
      <c r="H85" s="19">
        <v>9</v>
      </c>
      <c r="I85" s="19">
        <v>6</v>
      </c>
      <c r="J85" s="13">
        <v>4</v>
      </c>
      <c r="K85" s="229">
        <v>16123655</v>
      </c>
      <c r="L85" s="230" t="s">
        <v>23</v>
      </c>
      <c r="M85" s="229" t="s">
        <v>368</v>
      </c>
      <c r="N85" s="231">
        <v>2820564.1</v>
      </c>
      <c r="O85" s="232">
        <v>3</v>
      </c>
      <c r="P85" s="233">
        <v>51</v>
      </c>
      <c r="Q85" s="232">
        <v>567</v>
      </c>
      <c r="R85" s="233">
        <v>5860</v>
      </c>
      <c r="S85" s="232">
        <v>56717</v>
      </c>
      <c r="T85" s="233">
        <v>544259</v>
      </c>
    </row>
    <row r="86" spans="1:20" x14ac:dyDescent="0.15">
      <c r="A86" s="172">
        <v>35</v>
      </c>
      <c r="B86" s="173">
        <v>40786</v>
      </c>
      <c r="C86" s="174" t="s">
        <v>362</v>
      </c>
      <c r="D86" s="27">
        <v>6</v>
      </c>
      <c r="E86" s="27">
        <v>9</v>
      </c>
      <c r="F86" s="27">
        <v>9</v>
      </c>
      <c r="G86" s="27">
        <v>6</v>
      </c>
      <c r="H86" s="27">
        <v>3</v>
      </c>
      <c r="I86" s="27">
        <v>8</v>
      </c>
      <c r="J86" s="7">
        <v>0</v>
      </c>
      <c r="K86" s="222">
        <v>6730090</v>
      </c>
      <c r="L86" s="223">
        <v>1</v>
      </c>
      <c r="M86" s="224">
        <v>3277777</v>
      </c>
      <c r="N86" s="225">
        <v>21296.5</v>
      </c>
      <c r="O86" s="226">
        <v>1</v>
      </c>
      <c r="P86" s="227">
        <v>11</v>
      </c>
      <c r="Q86" s="226">
        <v>180</v>
      </c>
      <c r="R86" s="227">
        <v>1875</v>
      </c>
      <c r="S86" s="226">
        <v>19070</v>
      </c>
      <c r="T86" s="227">
        <v>196232</v>
      </c>
    </row>
    <row r="87" spans="1:20" x14ac:dyDescent="0.15">
      <c r="A87" s="178"/>
      <c r="B87" s="179">
        <v>40789</v>
      </c>
      <c r="C87" s="180" t="s">
        <v>363</v>
      </c>
      <c r="D87" s="19">
        <v>0</v>
      </c>
      <c r="E87" s="19">
        <v>9</v>
      </c>
      <c r="F87" s="19">
        <v>7</v>
      </c>
      <c r="G87" s="19">
        <v>4</v>
      </c>
      <c r="H87" s="19">
        <v>4</v>
      </c>
      <c r="I87" s="19">
        <v>5</v>
      </c>
      <c r="J87" s="13">
        <v>1</v>
      </c>
      <c r="K87" s="229">
        <v>15951535</v>
      </c>
      <c r="L87" s="230">
        <v>2</v>
      </c>
      <c r="M87" s="229">
        <v>477777</v>
      </c>
      <c r="N87" s="231">
        <v>199896.6</v>
      </c>
      <c r="O87" s="232">
        <v>3</v>
      </c>
      <c r="P87" s="233">
        <v>50</v>
      </c>
      <c r="Q87" s="232">
        <v>494</v>
      </c>
      <c r="R87" s="233">
        <v>5263</v>
      </c>
      <c r="S87" s="232">
        <v>53210</v>
      </c>
      <c r="T87" s="233">
        <v>508134</v>
      </c>
    </row>
    <row r="88" spans="1:20" x14ac:dyDescent="0.15">
      <c r="A88" s="172">
        <v>36</v>
      </c>
      <c r="B88" s="173">
        <v>40793</v>
      </c>
      <c r="C88" s="174" t="s">
        <v>362</v>
      </c>
      <c r="D88" s="27">
        <v>2</v>
      </c>
      <c r="E88" s="27">
        <v>7</v>
      </c>
      <c r="F88" s="27">
        <v>7</v>
      </c>
      <c r="G88" s="27">
        <v>8</v>
      </c>
      <c r="H88" s="27">
        <v>5</v>
      </c>
      <c r="I88" s="27">
        <v>0</v>
      </c>
      <c r="J88" s="7">
        <v>6</v>
      </c>
      <c r="K88" s="222">
        <v>6840850</v>
      </c>
      <c r="L88" s="234" t="s">
        <v>23</v>
      </c>
      <c r="M88" s="224" t="s">
        <v>368</v>
      </c>
      <c r="N88" s="225">
        <v>686281</v>
      </c>
      <c r="O88" s="226" t="s">
        <v>17</v>
      </c>
      <c r="P88" s="227">
        <v>20</v>
      </c>
      <c r="Q88" s="226">
        <v>208</v>
      </c>
      <c r="R88" s="227">
        <v>2198</v>
      </c>
      <c r="S88" s="226">
        <v>22045</v>
      </c>
      <c r="T88" s="227">
        <v>262689</v>
      </c>
    </row>
    <row r="89" spans="1:20" x14ac:dyDescent="0.15">
      <c r="A89" s="178"/>
      <c r="B89" s="179">
        <v>40796</v>
      </c>
      <c r="C89" s="180" t="s">
        <v>363</v>
      </c>
      <c r="D89" s="19">
        <v>1</v>
      </c>
      <c r="E89" s="19">
        <v>0</v>
      </c>
      <c r="F89" s="19">
        <v>1</v>
      </c>
      <c r="G89" s="19">
        <v>2</v>
      </c>
      <c r="H89" s="19">
        <v>8</v>
      </c>
      <c r="I89" s="19">
        <v>1</v>
      </c>
      <c r="J89" s="13">
        <v>8</v>
      </c>
      <c r="K89" s="229">
        <v>16248760</v>
      </c>
      <c r="L89" s="237">
        <v>1</v>
      </c>
      <c r="M89" s="229">
        <v>1777777</v>
      </c>
      <c r="N89" s="231">
        <v>63790.8</v>
      </c>
      <c r="O89" s="232">
        <v>5</v>
      </c>
      <c r="P89" s="233">
        <v>50</v>
      </c>
      <c r="Q89" s="232">
        <v>615</v>
      </c>
      <c r="R89" s="233">
        <v>6253</v>
      </c>
      <c r="S89" s="232">
        <v>60528</v>
      </c>
      <c r="T89" s="233">
        <v>646700</v>
      </c>
    </row>
    <row r="90" spans="1:20" x14ac:dyDescent="0.15">
      <c r="A90" s="172">
        <v>37</v>
      </c>
      <c r="B90" s="173">
        <v>40800</v>
      </c>
      <c r="C90" s="174" t="s">
        <v>362</v>
      </c>
      <c r="D90" s="27">
        <v>7</v>
      </c>
      <c r="E90" s="27">
        <v>1</v>
      </c>
      <c r="F90" s="27">
        <v>3</v>
      </c>
      <c r="G90" s="27">
        <v>0</v>
      </c>
      <c r="H90" s="27">
        <v>3</v>
      </c>
      <c r="I90" s="27">
        <v>7</v>
      </c>
      <c r="J90" s="7">
        <v>0</v>
      </c>
      <c r="K90" s="222">
        <v>7505780</v>
      </c>
      <c r="L90" s="234" t="s">
        <v>23</v>
      </c>
      <c r="M90" s="224" t="s">
        <v>368</v>
      </c>
      <c r="N90" s="225">
        <v>597451.80000000005</v>
      </c>
      <c r="O90" s="226">
        <v>1</v>
      </c>
      <c r="P90" s="227">
        <v>19</v>
      </c>
      <c r="Q90" s="226">
        <v>221</v>
      </c>
      <c r="R90" s="227">
        <v>2142</v>
      </c>
      <c r="S90" s="226">
        <v>21758</v>
      </c>
      <c r="T90" s="227">
        <v>220310</v>
      </c>
    </row>
    <row r="91" spans="1:20" x14ac:dyDescent="0.15">
      <c r="A91" s="178"/>
      <c r="B91" s="179">
        <v>40803</v>
      </c>
      <c r="C91" s="180" t="s">
        <v>363</v>
      </c>
      <c r="D91" s="19">
        <v>8</v>
      </c>
      <c r="E91" s="19">
        <v>4</v>
      </c>
      <c r="F91" s="19">
        <v>6</v>
      </c>
      <c r="G91" s="19">
        <v>4</v>
      </c>
      <c r="H91" s="19">
        <v>4</v>
      </c>
      <c r="I91" s="19">
        <v>8</v>
      </c>
      <c r="J91" s="13">
        <v>7</v>
      </c>
      <c r="K91" s="229">
        <v>17262092.5</v>
      </c>
      <c r="L91" s="230" t="s">
        <v>23</v>
      </c>
      <c r="M91" s="229" t="s">
        <v>368</v>
      </c>
      <c r="N91" s="231">
        <v>1824786.6</v>
      </c>
      <c r="O91" s="232">
        <v>6</v>
      </c>
      <c r="P91" s="233">
        <v>68</v>
      </c>
      <c r="Q91" s="232">
        <v>624</v>
      </c>
      <c r="R91" s="233">
        <v>6846</v>
      </c>
      <c r="S91" s="232">
        <v>68441</v>
      </c>
      <c r="T91" s="233">
        <v>716899</v>
      </c>
    </row>
    <row r="92" spans="1:20" x14ac:dyDescent="0.15">
      <c r="A92" s="172">
        <v>38</v>
      </c>
      <c r="B92" s="173">
        <v>40807</v>
      </c>
      <c r="C92" s="174" t="s">
        <v>362</v>
      </c>
      <c r="D92" s="27">
        <v>2</v>
      </c>
      <c r="E92" s="27">
        <v>8</v>
      </c>
      <c r="F92" s="27">
        <v>1</v>
      </c>
      <c r="G92" s="27">
        <v>4</v>
      </c>
      <c r="H92" s="27">
        <v>1</v>
      </c>
      <c r="I92" s="27">
        <v>5</v>
      </c>
      <c r="J92" s="7">
        <v>2</v>
      </c>
      <c r="K92" s="222">
        <v>8506245</v>
      </c>
      <c r="L92" s="223">
        <v>1</v>
      </c>
      <c r="M92" s="224">
        <v>2377777</v>
      </c>
      <c r="N92" s="225">
        <v>51803.6</v>
      </c>
      <c r="O92" s="226">
        <v>6</v>
      </c>
      <c r="P92" s="226">
        <v>28</v>
      </c>
      <c r="Q92" s="227">
        <v>293</v>
      </c>
      <c r="R92" s="226">
        <v>2806</v>
      </c>
      <c r="S92" s="227">
        <v>28821</v>
      </c>
      <c r="T92" s="226">
        <v>273086</v>
      </c>
    </row>
    <row r="93" spans="1:20" x14ac:dyDescent="0.15">
      <c r="A93" s="178"/>
      <c r="B93" s="179">
        <v>40810</v>
      </c>
      <c r="C93" s="180" t="s">
        <v>363</v>
      </c>
      <c r="D93" s="19">
        <v>0</v>
      </c>
      <c r="E93" s="19">
        <v>6</v>
      </c>
      <c r="F93" s="19">
        <v>7</v>
      </c>
      <c r="G93" s="19">
        <v>9</v>
      </c>
      <c r="H93" s="19">
        <v>3</v>
      </c>
      <c r="I93" s="19">
        <v>9</v>
      </c>
      <c r="J93" s="13">
        <v>6</v>
      </c>
      <c r="K93" s="229">
        <v>15644465</v>
      </c>
      <c r="L93" s="237" t="s">
        <v>23</v>
      </c>
      <c r="M93" s="229" t="s">
        <v>368</v>
      </c>
      <c r="N93" s="231">
        <v>1164125.1000000001</v>
      </c>
      <c r="O93" s="232">
        <v>4</v>
      </c>
      <c r="P93" s="232">
        <v>62</v>
      </c>
      <c r="Q93" s="233">
        <v>644</v>
      </c>
      <c r="R93" s="232">
        <v>5796</v>
      </c>
      <c r="S93" s="233">
        <v>56265</v>
      </c>
      <c r="T93" s="232">
        <v>586813</v>
      </c>
    </row>
    <row r="94" spans="1:20" x14ac:dyDescent="0.15">
      <c r="A94" s="172">
        <v>39</v>
      </c>
      <c r="B94" s="173">
        <v>40814</v>
      </c>
      <c r="C94" s="174" t="s">
        <v>362</v>
      </c>
      <c r="D94" s="27">
        <v>1</v>
      </c>
      <c r="E94" s="27">
        <v>5</v>
      </c>
      <c r="F94" s="27">
        <v>8</v>
      </c>
      <c r="G94" s="27">
        <v>6</v>
      </c>
      <c r="H94" s="27">
        <v>5</v>
      </c>
      <c r="I94" s="27">
        <v>7</v>
      </c>
      <c r="J94" s="7">
        <v>8</v>
      </c>
      <c r="K94" s="222">
        <v>6655942.5</v>
      </c>
      <c r="L94" s="234">
        <v>1</v>
      </c>
      <c r="M94" s="224">
        <v>1577777</v>
      </c>
      <c r="N94" s="225">
        <v>59585.599999999999</v>
      </c>
      <c r="O94" s="226">
        <v>2</v>
      </c>
      <c r="P94" s="226">
        <v>20</v>
      </c>
      <c r="Q94" s="227">
        <v>277</v>
      </c>
      <c r="R94" s="226">
        <v>2520</v>
      </c>
      <c r="S94" s="227">
        <v>25377</v>
      </c>
      <c r="T94" s="226">
        <v>259336</v>
      </c>
    </row>
    <row r="95" spans="1:20" x14ac:dyDescent="0.15">
      <c r="A95" s="178"/>
      <c r="B95" s="179">
        <v>40817</v>
      </c>
      <c r="C95" s="180" t="s">
        <v>363</v>
      </c>
      <c r="D95" s="19">
        <v>7</v>
      </c>
      <c r="E95" s="19">
        <v>1</v>
      </c>
      <c r="F95" s="19">
        <v>8</v>
      </c>
      <c r="G95" s="19">
        <v>7</v>
      </c>
      <c r="H95" s="19">
        <v>5</v>
      </c>
      <c r="I95" s="19">
        <v>7</v>
      </c>
      <c r="J95" s="13">
        <v>9</v>
      </c>
      <c r="K95" s="229">
        <v>16238530</v>
      </c>
      <c r="L95" s="230">
        <v>1</v>
      </c>
      <c r="M95" s="229">
        <v>1177777</v>
      </c>
      <c r="N95" s="231">
        <v>36368.1</v>
      </c>
      <c r="O95" s="232">
        <v>5</v>
      </c>
      <c r="P95" s="233">
        <v>45</v>
      </c>
      <c r="Q95" s="232">
        <v>532</v>
      </c>
      <c r="R95" s="233">
        <v>5782</v>
      </c>
      <c r="S95" s="232">
        <v>55563</v>
      </c>
      <c r="T95" s="233">
        <v>553056</v>
      </c>
    </row>
    <row r="96" spans="1:20" x14ac:dyDescent="0.15">
      <c r="A96" s="172">
        <v>40</v>
      </c>
      <c r="B96" s="173">
        <v>40821</v>
      </c>
      <c r="C96" s="174" t="s">
        <v>362</v>
      </c>
      <c r="D96" s="27">
        <v>1</v>
      </c>
      <c r="E96" s="27">
        <v>1</v>
      </c>
      <c r="F96" s="27">
        <v>7</v>
      </c>
      <c r="G96" s="27">
        <v>5</v>
      </c>
      <c r="H96" s="27">
        <v>6</v>
      </c>
      <c r="I96" s="27">
        <v>7</v>
      </c>
      <c r="J96" s="7">
        <v>4</v>
      </c>
      <c r="K96" s="222">
        <v>7010307.5</v>
      </c>
      <c r="L96" s="234" t="s">
        <v>23</v>
      </c>
      <c r="M96" s="224" t="s">
        <v>368</v>
      </c>
      <c r="N96" s="224">
        <v>534801</v>
      </c>
      <c r="O96" s="226">
        <v>2</v>
      </c>
      <c r="P96" s="226">
        <v>18</v>
      </c>
      <c r="Q96" s="227">
        <v>250</v>
      </c>
      <c r="R96" s="226">
        <v>2326</v>
      </c>
      <c r="S96" s="227">
        <v>23830</v>
      </c>
      <c r="T96" s="226">
        <v>243309</v>
      </c>
    </row>
    <row r="97" spans="1:21" x14ac:dyDescent="0.15">
      <c r="A97" s="178"/>
      <c r="B97" s="179">
        <v>40824</v>
      </c>
      <c r="C97" s="180" t="s">
        <v>363</v>
      </c>
      <c r="D97" s="19">
        <v>2</v>
      </c>
      <c r="E97" s="19">
        <v>2</v>
      </c>
      <c r="F97" s="19">
        <v>9</v>
      </c>
      <c r="G97" s="19">
        <v>1</v>
      </c>
      <c r="H97" s="19">
        <v>2</v>
      </c>
      <c r="I97" s="19">
        <v>8</v>
      </c>
      <c r="J97" s="13">
        <v>5</v>
      </c>
      <c r="K97" s="229">
        <v>16713582.5</v>
      </c>
      <c r="L97" s="237">
        <v>2</v>
      </c>
      <c r="M97" s="229">
        <v>777777</v>
      </c>
      <c r="N97" s="231">
        <v>167582.70000000001</v>
      </c>
      <c r="O97" s="232">
        <v>3</v>
      </c>
      <c r="P97" s="233">
        <v>68</v>
      </c>
      <c r="Q97" s="232">
        <v>752</v>
      </c>
      <c r="R97" s="233">
        <v>7312</v>
      </c>
      <c r="S97" s="232">
        <v>72256</v>
      </c>
      <c r="T97" s="233">
        <v>729801</v>
      </c>
    </row>
    <row r="98" spans="1:21" x14ac:dyDescent="0.15">
      <c r="A98" s="172">
        <v>41</v>
      </c>
      <c r="B98" s="173">
        <v>40828</v>
      </c>
      <c r="C98" s="174" t="s">
        <v>362</v>
      </c>
      <c r="D98" s="27">
        <v>6</v>
      </c>
      <c r="E98" s="27">
        <v>7</v>
      </c>
      <c r="F98" s="27">
        <v>5</v>
      </c>
      <c r="G98" s="27">
        <v>4</v>
      </c>
      <c r="H98" s="27">
        <v>4</v>
      </c>
      <c r="I98" s="27">
        <v>8</v>
      </c>
      <c r="J98" s="7">
        <v>0</v>
      </c>
      <c r="K98" s="222">
        <v>8142142.5</v>
      </c>
      <c r="L98" s="223">
        <v>1</v>
      </c>
      <c r="M98" s="224">
        <v>677777</v>
      </c>
      <c r="N98" s="225">
        <v>68712</v>
      </c>
      <c r="O98" s="226">
        <v>1</v>
      </c>
      <c r="P98" s="227">
        <v>27</v>
      </c>
      <c r="Q98" s="226">
        <v>231</v>
      </c>
      <c r="R98" s="227">
        <v>2386</v>
      </c>
      <c r="S98" s="226">
        <v>23511</v>
      </c>
      <c r="T98" s="227">
        <v>240933</v>
      </c>
    </row>
    <row r="99" spans="1:21" x14ac:dyDescent="0.15">
      <c r="A99" s="178"/>
      <c r="B99" s="179">
        <v>40831</v>
      </c>
      <c r="C99" s="180" t="s">
        <v>363</v>
      </c>
      <c r="D99" s="19">
        <v>5</v>
      </c>
      <c r="E99" s="19">
        <v>9</v>
      </c>
      <c r="F99" s="19">
        <v>9</v>
      </c>
      <c r="G99" s="19">
        <v>9</v>
      </c>
      <c r="H99" s="19">
        <v>8</v>
      </c>
      <c r="I99" s="19">
        <v>4</v>
      </c>
      <c r="J99" s="13">
        <v>7</v>
      </c>
      <c r="K99" s="229">
        <v>17994090</v>
      </c>
      <c r="L99" s="230" t="s">
        <v>23</v>
      </c>
      <c r="M99" s="229" t="s">
        <v>368</v>
      </c>
      <c r="N99" s="231">
        <v>1348091.8</v>
      </c>
      <c r="O99" s="232">
        <v>3</v>
      </c>
      <c r="P99" s="233">
        <v>85</v>
      </c>
      <c r="Q99" s="232">
        <v>783</v>
      </c>
      <c r="R99" s="233">
        <v>7762</v>
      </c>
      <c r="S99" s="232">
        <v>77185</v>
      </c>
      <c r="T99" s="233">
        <v>737745</v>
      </c>
    </row>
    <row r="100" spans="1:21" x14ac:dyDescent="0.15">
      <c r="A100" s="172">
        <v>42</v>
      </c>
      <c r="B100" s="173">
        <v>40835</v>
      </c>
      <c r="C100" s="174" t="s">
        <v>362</v>
      </c>
      <c r="D100" s="27">
        <v>7</v>
      </c>
      <c r="E100" s="27">
        <v>1</v>
      </c>
      <c r="F100" s="27">
        <v>6</v>
      </c>
      <c r="G100" s="27">
        <v>6</v>
      </c>
      <c r="H100" s="27">
        <v>6</v>
      </c>
      <c r="I100" s="27">
        <v>0</v>
      </c>
      <c r="J100" s="7">
        <v>6</v>
      </c>
      <c r="K100" s="222">
        <v>9299942.5</v>
      </c>
      <c r="L100" s="234" t="s">
        <v>23</v>
      </c>
      <c r="M100" s="224" t="s">
        <v>368</v>
      </c>
      <c r="N100" s="225">
        <v>2009317.7</v>
      </c>
      <c r="O100" s="226">
        <v>5</v>
      </c>
      <c r="P100" s="227">
        <v>42</v>
      </c>
      <c r="Q100" s="226">
        <v>301</v>
      </c>
      <c r="R100" s="227">
        <v>3326</v>
      </c>
      <c r="S100" s="226">
        <v>30838</v>
      </c>
      <c r="T100" s="227">
        <v>357619</v>
      </c>
    </row>
    <row r="101" spans="1:21" x14ac:dyDescent="0.15">
      <c r="A101" s="178"/>
      <c r="B101" s="179">
        <v>40838</v>
      </c>
      <c r="C101" s="180" t="s">
        <v>363</v>
      </c>
      <c r="D101" s="19">
        <v>4</v>
      </c>
      <c r="E101" s="19">
        <v>8</v>
      </c>
      <c r="F101" s="19">
        <v>4</v>
      </c>
      <c r="G101" s="19">
        <v>5</v>
      </c>
      <c r="H101" s="19">
        <v>9</v>
      </c>
      <c r="I101" s="19">
        <v>1</v>
      </c>
      <c r="J101" s="13">
        <v>7</v>
      </c>
      <c r="K101" s="229">
        <v>19143552.5</v>
      </c>
      <c r="L101" s="237" t="s">
        <v>23</v>
      </c>
      <c r="M101" s="229" t="s">
        <v>368</v>
      </c>
      <c r="N101" s="231">
        <v>3370424.3</v>
      </c>
      <c r="O101" s="232">
        <v>5</v>
      </c>
      <c r="P101" s="233">
        <v>83</v>
      </c>
      <c r="Q101" s="232">
        <v>744</v>
      </c>
      <c r="R101" s="233">
        <v>7747</v>
      </c>
      <c r="S101" s="232">
        <v>77492</v>
      </c>
      <c r="T101" s="233">
        <v>796836</v>
      </c>
      <c r="U101" s="228"/>
    </row>
    <row r="102" spans="1:21" x14ac:dyDescent="0.15">
      <c r="A102" s="172">
        <v>43</v>
      </c>
      <c r="B102" s="173">
        <v>40842</v>
      </c>
      <c r="C102" s="174" t="s">
        <v>362</v>
      </c>
      <c r="D102" s="27">
        <v>1</v>
      </c>
      <c r="E102" s="27">
        <v>1</v>
      </c>
      <c r="F102" s="27">
        <v>3</v>
      </c>
      <c r="G102" s="27">
        <v>7</v>
      </c>
      <c r="H102" s="27">
        <v>1</v>
      </c>
      <c r="I102" s="27">
        <v>9</v>
      </c>
      <c r="J102" s="7">
        <v>6</v>
      </c>
      <c r="K102" s="222">
        <v>6920962.5</v>
      </c>
      <c r="L102" s="223" t="s">
        <v>23</v>
      </c>
      <c r="M102" s="224" t="s">
        <v>368</v>
      </c>
      <c r="N102" s="225">
        <v>3862504.7</v>
      </c>
      <c r="O102" s="226">
        <v>2</v>
      </c>
      <c r="P102" s="227">
        <v>31</v>
      </c>
      <c r="Q102" s="226">
        <v>270</v>
      </c>
      <c r="R102" s="227">
        <v>2509</v>
      </c>
      <c r="S102" s="226">
        <v>24880</v>
      </c>
      <c r="T102" s="227">
        <v>268131</v>
      </c>
    </row>
    <row r="103" spans="1:21" x14ac:dyDescent="0.15">
      <c r="A103" s="178"/>
      <c r="B103" s="287">
        <v>40845</v>
      </c>
      <c r="C103" s="180" t="s">
        <v>363</v>
      </c>
      <c r="D103" s="19">
        <v>8</v>
      </c>
      <c r="E103" s="19">
        <v>5</v>
      </c>
      <c r="F103" s="19">
        <v>7</v>
      </c>
      <c r="G103" s="19">
        <v>8</v>
      </c>
      <c r="H103" s="19">
        <v>5</v>
      </c>
      <c r="I103" s="19">
        <v>9</v>
      </c>
      <c r="J103" s="13">
        <v>6</v>
      </c>
      <c r="K103" s="229">
        <v>15926647.5</v>
      </c>
      <c r="L103" s="237">
        <v>1</v>
      </c>
      <c r="M103" s="229">
        <v>4977777</v>
      </c>
      <c r="N103" s="231">
        <v>17112.3</v>
      </c>
      <c r="O103" s="232">
        <v>6</v>
      </c>
      <c r="P103" s="233">
        <v>65</v>
      </c>
      <c r="Q103" s="232">
        <v>598</v>
      </c>
      <c r="R103" s="233">
        <v>5722</v>
      </c>
      <c r="S103" s="232">
        <v>58113</v>
      </c>
      <c r="T103" s="233">
        <v>599626</v>
      </c>
    </row>
    <row r="104" spans="1:21" x14ac:dyDescent="0.15">
      <c r="A104" s="172">
        <v>44</v>
      </c>
      <c r="B104" s="173">
        <v>40849</v>
      </c>
      <c r="C104" s="174" t="s">
        <v>362</v>
      </c>
      <c r="D104" s="27">
        <v>0</v>
      </c>
      <c r="E104" s="27">
        <v>7</v>
      </c>
      <c r="F104" s="27">
        <v>2</v>
      </c>
      <c r="G104" s="27">
        <v>3</v>
      </c>
      <c r="H104" s="27">
        <v>4</v>
      </c>
      <c r="I104" s="27">
        <v>7</v>
      </c>
      <c r="J104" s="7">
        <v>3</v>
      </c>
      <c r="K104" s="222">
        <v>6460755</v>
      </c>
      <c r="L104" s="234" t="s">
        <v>23</v>
      </c>
      <c r="M104" s="224" t="s">
        <v>368</v>
      </c>
      <c r="N104" s="225">
        <v>476472</v>
      </c>
      <c r="O104" s="226">
        <v>4</v>
      </c>
      <c r="P104" s="227">
        <v>33</v>
      </c>
      <c r="Q104" s="226">
        <v>272</v>
      </c>
      <c r="R104" s="227">
        <v>2369</v>
      </c>
      <c r="S104" s="226">
        <v>23703</v>
      </c>
      <c r="T104" s="227">
        <v>237909</v>
      </c>
    </row>
    <row r="105" spans="1:21" x14ac:dyDescent="0.15">
      <c r="A105" s="178"/>
      <c r="B105" s="179">
        <v>40852</v>
      </c>
      <c r="C105" s="180" t="s">
        <v>363</v>
      </c>
      <c r="D105" s="19">
        <v>3</v>
      </c>
      <c r="E105" s="19">
        <v>4</v>
      </c>
      <c r="F105" s="19">
        <v>8</v>
      </c>
      <c r="G105" s="19">
        <v>6</v>
      </c>
      <c r="H105" s="19">
        <v>4</v>
      </c>
      <c r="I105" s="19">
        <v>1</v>
      </c>
      <c r="J105" s="13">
        <v>0</v>
      </c>
      <c r="K105" s="229">
        <v>15650327.5</v>
      </c>
      <c r="L105" s="237">
        <v>1</v>
      </c>
      <c r="M105" s="229">
        <v>1577777</v>
      </c>
      <c r="N105" s="231">
        <v>11433.3</v>
      </c>
      <c r="O105" s="232">
        <v>1</v>
      </c>
      <c r="P105" s="232">
        <v>37</v>
      </c>
      <c r="Q105" s="233">
        <v>437</v>
      </c>
      <c r="R105" s="232">
        <v>4283</v>
      </c>
      <c r="S105" s="233">
        <v>42751</v>
      </c>
      <c r="T105" s="232">
        <v>440078</v>
      </c>
    </row>
    <row r="106" spans="1:21" x14ac:dyDescent="0.15">
      <c r="A106" s="172">
        <v>45</v>
      </c>
      <c r="B106" s="173">
        <v>40856</v>
      </c>
      <c r="C106" s="174" t="s">
        <v>362</v>
      </c>
      <c r="D106" s="27">
        <v>2</v>
      </c>
      <c r="E106" s="27">
        <v>8</v>
      </c>
      <c r="F106" s="27">
        <v>9</v>
      </c>
      <c r="G106" s="27">
        <v>3</v>
      </c>
      <c r="H106" s="27">
        <v>8</v>
      </c>
      <c r="I106" s="27">
        <v>7</v>
      </c>
      <c r="J106" s="7">
        <v>3</v>
      </c>
      <c r="K106" s="222">
        <v>6429837.5</v>
      </c>
      <c r="L106" s="223" t="s">
        <v>23</v>
      </c>
      <c r="M106" s="224" t="s">
        <v>368</v>
      </c>
      <c r="N106" s="225">
        <v>468594.7</v>
      </c>
      <c r="O106" s="226">
        <v>2</v>
      </c>
      <c r="P106" s="227">
        <v>20</v>
      </c>
      <c r="Q106" s="226">
        <v>257</v>
      </c>
      <c r="R106" s="227">
        <v>2389</v>
      </c>
      <c r="S106" s="226">
        <v>23739</v>
      </c>
      <c r="T106" s="227">
        <v>237122</v>
      </c>
    </row>
    <row r="107" spans="1:21" x14ac:dyDescent="0.15">
      <c r="A107" s="178"/>
      <c r="B107" s="179">
        <v>40859</v>
      </c>
      <c r="C107" s="180" t="s">
        <v>363</v>
      </c>
      <c r="D107" s="19">
        <v>8</v>
      </c>
      <c r="E107" s="19">
        <v>8</v>
      </c>
      <c r="F107" s="19">
        <v>1</v>
      </c>
      <c r="G107" s="19">
        <v>2</v>
      </c>
      <c r="H107" s="19">
        <v>4</v>
      </c>
      <c r="I107" s="19">
        <v>8</v>
      </c>
      <c r="J107" s="13">
        <v>2</v>
      </c>
      <c r="K107" s="229">
        <v>15529325</v>
      </c>
      <c r="L107" s="237">
        <v>1</v>
      </c>
      <c r="M107" s="229">
        <v>1477777</v>
      </c>
      <c r="N107" s="231">
        <v>94952.7</v>
      </c>
      <c r="O107" s="232">
        <v>8</v>
      </c>
      <c r="P107" s="233">
        <v>47</v>
      </c>
      <c r="Q107" s="232">
        <v>500</v>
      </c>
      <c r="R107" s="233">
        <v>4934</v>
      </c>
      <c r="S107" s="232">
        <v>49056</v>
      </c>
      <c r="T107" s="233">
        <v>498640</v>
      </c>
    </row>
    <row r="108" spans="1:21" x14ac:dyDescent="0.15">
      <c r="A108" s="172">
        <v>46</v>
      </c>
      <c r="B108" s="173">
        <v>40853</v>
      </c>
      <c r="C108" s="174" t="s">
        <v>362</v>
      </c>
      <c r="D108" s="27">
        <v>9</v>
      </c>
      <c r="E108" s="27">
        <v>1</v>
      </c>
      <c r="F108" s="27">
        <v>4</v>
      </c>
      <c r="G108" s="27">
        <v>5</v>
      </c>
      <c r="H108" s="27">
        <v>3</v>
      </c>
      <c r="I108" s="27">
        <v>7</v>
      </c>
      <c r="J108" s="7">
        <v>9</v>
      </c>
      <c r="K108" s="222">
        <v>6530580</v>
      </c>
      <c r="L108" s="234" t="s">
        <v>23</v>
      </c>
      <c r="M108" s="224" t="s">
        <v>368</v>
      </c>
      <c r="N108" s="225">
        <v>559276.9</v>
      </c>
      <c r="O108" s="226">
        <v>4</v>
      </c>
      <c r="P108" s="227">
        <v>23</v>
      </c>
      <c r="Q108" s="226">
        <v>210</v>
      </c>
      <c r="R108" s="227">
        <v>2051</v>
      </c>
      <c r="S108" s="226">
        <v>20937</v>
      </c>
      <c r="T108" s="227">
        <v>207363</v>
      </c>
    </row>
    <row r="109" spans="1:21" x14ac:dyDescent="0.15">
      <c r="A109" s="178"/>
      <c r="B109" s="179">
        <v>40866</v>
      </c>
      <c r="C109" s="180" t="s">
        <v>363</v>
      </c>
      <c r="D109" s="19">
        <v>6</v>
      </c>
      <c r="E109" s="19">
        <v>1</v>
      </c>
      <c r="F109" s="19">
        <v>4</v>
      </c>
      <c r="G109" s="19">
        <v>9</v>
      </c>
      <c r="H109" s="19">
        <v>1</v>
      </c>
      <c r="I109" s="19">
        <v>5</v>
      </c>
      <c r="J109" s="13">
        <v>2</v>
      </c>
      <c r="K109" s="229">
        <v>15902065</v>
      </c>
      <c r="L109" s="237">
        <v>1</v>
      </c>
      <c r="M109" s="229">
        <v>1677777</v>
      </c>
      <c r="N109" s="231">
        <v>12136.7</v>
      </c>
      <c r="O109" s="232">
        <v>6</v>
      </c>
      <c r="P109" s="233">
        <v>69</v>
      </c>
      <c r="Q109" s="232">
        <v>535</v>
      </c>
      <c r="R109" s="233">
        <v>5402</v>
      </c>
      <c r="S109" s="232">
        <v>55047</v>
      </c>
      <c r="T109" s="233">
        <v>509069</v>
      </c>
    </row>
    <row r="110" spans="1:21" x14ac:dyDescent="0.15">
      <c r="A110" s="172">
        <v>47</v>
      </c>
      <c r="B110" s="173">
        <v>40870</v>
      </c>
      <c r="C110" s="174" t="s">
        <v>362</v>
      </c>
      <c r="D110" s="27">
        <v>1</v>
      </c>
      <c r="E110" s="27">
        <v>2</v>
      </c>
      <c r="F110" s="27">
        <v>6</v>
      </c>
      <c r="G110" s="27">
        <v>9</v>
      </c>
      <c r="H110" s="27">
        <v>6</v>
      </c>
      <c r="I110" s="27">
        <v>0</v>
      </c>
      <c r="J110" s="7">
        <v>3</v>
      </c>
      <c r="K110" s="222">
        <v>7039670</v>
      </c>
      <c r="L110" s="234" t="s">
        <v>23</v>
      </c>
      <c r="M110" s="224" t="s">
        <v>368</v>
      </c>
      <c r="N110" s="225">
        <v>512657.2</v>
      </c>
      <c r="O110" s="226">
        <v>1</v>
      </c>
      <c r="P110" s="227">
        <v>25</v>
      </c>
      <c r="Q110" s="226">
        <v>217</v>
      </c>
      <c r="R110" s="227">
        <v>2205</v>
      </c>
      <c r="S110" s="226">
        <v>22360</v>
      </c>
      <c r="T110" s="227">
        <v>266271</v>
      </c>
    </row>
    <row r="111" spans="1:21" x14ac:dyDescent="0.15">
      <c r="A111" s="178"/>
      <c r="B111" s="179">
        <v>40873</v>
      </c>
      <c r="C111" s="180" t="s">
        <v>363</v>
      </c>
      <c r="D111" s="19">
        <v>4</v>
      </c>
      <c r="E111" s="19">
        <v>6</v>
      </c>
      <c r="F111" s="19">
        <v>1</v>
      </c>
      <c r="G111" s="19">
        <v>7</v>
      </c>
      <c r="H111" s="19">
        <v>4</v>
      </c>
      <c r="I111" s="19">
        <v>6</v>
      </c>
      <c r="J111" s="13">
        <v>9</v>
      </c>
      <c r="K111" s="229">
        <v>16417075</v>
      </c>
      <c r="L111" s="230" t="s">
        <v>23</v>
      </c>
      <c r="M111" s="229" t="s">
        <v>368</v>
      </c>
      <c r="N111" s="231">
        <v>1679911.2</v>
      </c>
      <c r="O111" s="232">
        <v>7</v>
      </c>
      <c r="P111" s="233">
        <v>66</v>
      </c>
      <c r="Q111" s="232">
        <v>591</v>
      </c>
      <c r="R111" s="233">
        <v>5880</v>
      </c>
      <c r="S111" s="232">
        <v>59708</v>
      </c>
      <c r="T111" s="233">
        <v>556080</v>
      </c>
    </row>
    <row r="112" spans="1:21" x14ac:dyDescent="0.15">
      <c r="A112" s="172">
        <v>48</v>
      </c>
      <c r="B112" s="173">
        <v>40877</v>
      </c>
      <c r="C112" s="174" t="s">
        <v>362</v>
      </c>
      <c r="D112" s="27">
        <v>4</v>
      </c>
      <c r="E112" s="27">
        <v>7</v>
      </c>
      <c r="F112" s="27">
        <v>2</v>
      </c>
      <c r="G112" s="27">
        <v>3</v>
      </c>
      <c r="H112" s="27">
        <v>8</v>
      </c>
      <c r="I112" s="27">
        <v>0</v>
      </c>
      <c r="J112" s="7">
        <v>6</v>
      </c>
      <c r="K112" s="222">
        <v>7197210</v>
      </c>
      <c r="L112" s="234" t="s">
        <v>23</v>
      </c>
      <c r="M112" s="224" t="s">
        <v>368</v>
      </c>
      <c r="N112" s="225">
        <v>2191632.7999999998</v>
      </c>
      <c r="O112" s="226">
        <v>1</v>
      </c>
      <c r="P112" s="227">
        <v>26</v>
      </c>
      <c r="Q112" s="226">
        <v>255</v>
      </c>
      <c r="R112" s="227">
        <v>2447</v>
      </c>
      <c r="S112" s="226">
        <v>24211</v>
      </c>
      <c r="T112" s="227">
        <v>281473</v>
      </c>
    </row>
    <row r="113" spans="1:20" x14ac:dyDescent="0.15">
      <c r="A113" s="178"/>
      <c r="B113" s="179">
        <v>40880</v>
      </c>
      <c r="C113" s="180" t="s">
        <v>363</v>
      </c>
      <c r="D113" s="19">
        <v>2</v>
      </c>
      <c r="E113" s="19">
        <v>2</v>
      </c>
      <c r="F113" s="19">
        <v>3</v>
      </c>
      <c r="G113" s="19">
        <v>5</v>
      </c>
      <c r="H113" s="19">
        <v>9</v>
      </c>
      <c r="I113" s="19">
        <v>5</v>
      </c>
      <c r="J113" s="13">
        <v>7</v>
      </c>
      <c r="K113" s="229">
        <v>17121330</v>
      </c>
      <c r="L113" s="230">
        <v>2</v>
      </c>
      <c r="M113" s="229">
        <v>1677777</v>
      </c>
      <c r="N113" s="231">
        <v>53405.4</v>
      </c>
      <c r="O113" s="232">
        <v>5</v>
      </c>
      <c r="P113" s="233">
        <v>75</v>
      </c>
      <c r="Q113" s="232">
        <v>770</v>
      </c>
      <c r="R113" s="233">
        <v>7753</v>
      </c>
      <c r="S113" s="232">
        <v>73377</v>
      </c>
      <c r="T113" s="233">
        <v>715350</v>
      </c>
    </row>
    <row r="114" spans="1:20" x14ac:dyDescent="0.15">
      <c r="A114" s="172">
        <v>49</v>
      </c>
      <c r="B114" s="173">
        <v>40884</v>
      </c>
      <c r="C114" s="174" t="s">
        <v>362</v>
      </c>
      <c r="D114" s="27">
        <v>9</v>
      </c>
      <c r="E114" s="27">
        <v>6</v>
      </c>
      <c r="F114" s="27">
        <v>0</v>
      </c>
      <c r="G114" s="27">
        <v>4</v>
      </c>
      <c r="H114" s="27">
        <v>3</v>
      </c>
      <c r="I114" s="27">
        <v>1</v>
      </c>
      <c r="J114" s="7">
        <v>0</v>
      </c>
      <c r="K114" s="222">
        <v>6595600</v>
      </c>
      <c r="L114" s="234" t="s">
        <v>23</v>
      </c>
      <c r="M114" s="224" t="s">
        <v>368</v>
      </c>
      <c r="N114" s="225">
        <v>522352.6</v>
      </c>
      <c r="O114" s="226">
        <v>3</v>
      </c>
      <c r="P114" s="227">
        <v>14</v>
      </c>
      <c r="Q114" s="226">
        <v>178</v>
      </c>
      <c r="R114" s="227">
        <v>1818</v>
      </c>
      <c r="S114" s="226">
        <v>18771</v>
      </c>
      <c r="T114" s="227">
        <v>192503</v>
      </c>
    </row>
    <row r="115" spans="1:20" x14ac:dyDescent="0.15">
      <c r="A115" s="178"/>
      <c r="B115" s="179">
        <v>40887</v>
      </c>
      <c r="C115" s="180" t="s">
        <v>363</v>
      </c>
      <c r="D115" s="19">
        <v>3</v>
      </c>
      <c r="E115" s="19">
        <v>9</v>
      </c>
      <c r="F115" s="19">
        <v>1</v>
      </c>
      <c r="G115" s="19">
        <v>9</v>
      </c>
      <c r="H115" s="19">
        <v>2</v>
      </c>
      <c r="I115" s="19">
        <v>1</v>
      </c>
      <c r="J115" s="13">
        <v>3</v>
      </c>
      <c r="K115" s="229">
        <v>15578865</v>
      </c>
      <c r="L115" s="230">
        <v>1</v>
      </c>
      <c r="M115" s="229">
        <v>1577777</v>
      </c>
      <c r="N115" s="231">
        <v>52232.9</v>
      </c>
      <c r="O115" s="232">
        <v>3</v>
      </c>
      <c r="P115" s="233">
        <v>62</v>
      </c>
      <c r="Q115" s="232">
        <v>664</v>
      </c>
      <c r="R115" s="233">
        <v>6497</v>
      </c>
      <c r="S115" s="232">
        <v>65746</v>
      </c>
      <c r="T115" s="233">
        <v>554210</v>
      </c>
    </row>
    <row r="116" spans="1:20" x14ac:dyDescent="0.15">
      <c r="A116" s="172">
        <v>50</v>
      </c>
      <c r="B116" s="173">
        <v>40881</v>
      </c>
      <c r="C116" s="174" t="s">
        <v>362</v>
      </c>
      <c r="D116" s="27">
        <v>3</v>
      </c>
      <c r="E116" s="27">
        <v>9</v>
      </c>
      <c r="F116" s="27">
        <v>0</v>
      </c>
      <c r="G116" s="27">
        <v>6</v>
      </c>
      <c r="H116" s="27">
        <v>6</v>
      </c>
      <c r="I116" s="27">
        <v>4</v>
      </c>
      <c r="J116" s="7">
        <v>2</v>
      </c>
      <c r="K116" s="222">
        <v>6668652.5</v>
      </c>
      <c r="L116" s="234" t="s">
        <v>23</v>
      </c>
      <c r="M116" s="224" t="s">
        <v>368</v>
      </c>
      <c r="N116" s="225">
        <v>526374.1</v>
      </c>
      <c r="O116" s="226">
        <v>1</v>
      </c>
      <c r="P116" s="227">
        <v>29</v>
      </c>
      <c r="Q116" s="226">
        <v>223</v>
      </c>
      <c r="R116" s="227">
        <v>2177</v>
      </c>
      <c r="S116" s="226">
        <v>21474</v>
      </c>
      <c r="T116" s="227">
        <v>213343</v>
      </c>
    </row>
    <row r="117" spans="1:20" x14ac:dyDescent="0.15">
      <c r="A117" s="178"/>
      <c r="B117" s="179">
        <v>40894</v>
      </c>
      <c r="C117" s="180" t="s">
        <v>363</v>
      </c>
      <c r="D117" s="19">
        <v>9</v>
      </c>
      <c r="E117" s="19">
        <v>9</v>
      </c>
      <c r="F117" s="19">
        <v>5</v>
      </c>
      <c r="G117" s="19">
        <v>9</v>
      </c>
      <c r="H117" s="19">
        <v>3</v>
      </c>
      <c r="I117" s="19">
        <v>6</v>
      </c>
      <c r="J117" s="13">
        <v>7</v>
      </c>
      <c r="K117" s="229">
        <v>16112912.5</v>
      </c>
      <c r="L117" s="230" t="s">
        <v>23</v>
      </c>
      <c r="M117" s="229" t="s">
        <v>368</v>
      </c>
      <c r="N117" s="231">
        <v>1672002.2</v>
      </c>
      <c r="O117" s="232">
        <v>9</v>
      </c>
      <c r="P117" s="233">
        <v>77</v>
      </c>
      <c r="Q117" s="232">
        <v>665</v>
      </c>
      <c r="R117" s="233">
        <v>6823</v>
      </c>
      <c r="S117" s="232">
        <v>67520</v>
      </c>
      <c r="T117" s="233">
        <v>686070</v>
      </c>
    </row>
    <row r="118" spans="1:20" x14ac:dyDescent="0.15">
      <c r="A118" s="172">
        <v>51</v>
      </c>
      <c r="B118" s="173">
        <v>40898</v>
      </c>
      <c r="C118" s="174" t="s">
        <v>362</v>
      </c>
      <c r="D118" s="27">
        <v>8</v>
      </c>
      <c r="E118" s="27">
        <v>7</v>
      </c>
      <c r="F118" s="27">
        <v>7</v>
      </c>
      <c r="G118" s="27">
        <v>0</v>
      </c>
      <c r="H118" s="27">
        <v>9</v>
      </c>
      <c r="I118" s="27">
        <v>7</v>
      </c>
      <c r="J118" s="7">
        <v>3</v>
      </c>
      <c r="K118" s="222">
        <v>6651020</v>
      </c>
      <c r="L118" s="234" t="s">
        <v>23</v>
      </c>
      <c r="M118" s="224" t="s">
        <v>368</v>
      </c>
      <c r="N118" s="225">
        <v>2144889.7000000002</v>
      </c>
      <c r="O118" s="226" t="s">
        <v>17</v>
      </c>
      <c r="P118" s="227">
        <v>25</v>
      </c>
      <c r="Q118" s="226">
        <v>269</v>
      </c>
      <c r="R118" s="227">
        <v>2566</v>
      </c>
      <c r="S118" s="226">
        <v>25345</v>
      </c>
      <c r="T118" s="227">
        <v>248733</v>
      </c>
    </row>
    <row r="119" spans="1:20" x14ac:dyDescent="0.15">
      <c r="A119" s="178"/>
      <c r="B119" s="179">
        <v>40901</v>
      </c>
      <c r="C119" s="180" t="s">
        <v>363</v>
      </c>
      <c r="D119" s="19">
        <v>6</v>
      </c>
      <c r="E119" s="19">
        <v>5</v>
      </c>
      <c r="F119" s="19">
        <v>2</v>
      </c>
      <c r="G119" s="19">
        <v>0</v>
      </c>
      <c r="H119" s="19">
        <v>7</v>
      </c>
      <c r="I119" s="19">
        <v>7</v>
      </c>
      <c r="J119" s="13">
        <v>3</v>
      </c>
      <c r="K119" s="229">
        <v>17115100</v>
      </c>
      <c r="L119" s="230" t="s">
        <v>23</v>
      </c>
      <c r="M119" s="229" t="s">
        <v>368</v>
      </c>
      <c r="N119" s="231">
        <v>3361773.3</v>
      </c>
      <c r="O119" s="232">
        <v>5</v>
      </c>
      <c r="P119" s="233">
        <v>62</v>
      </c>
      <c r="Q119" s="232">
        <v>593</v>
      </c>
      <c r="R119" s="233">
        <v>5956</v>
      </c>
      <c r="S119" s="232">
        <v>63538</v>
      </c>
      <c r="T119" s="233">
        <v>620494</v>
      </c>
    </row>
    <row r="120" spans="1:20" x14ac:dyDescent="0.15">
      <c r="A120" s="172">
        <v>52</v>
      </c>
      <c r="B120" s="173">
        <v>40905</v>
      </c>
      <c r="C120" s="174" t="s">
        <v>362</v>
      </c>
      <c r="D120" s="27">
        <v>9</v>
      </c>
      <c r="E120" s="27">
        <v>4</v>
      </c>
      <c r="F120" s="27">
        <v>6</v>
      </c>
      <c r="G120" s="27">
        <v>1</v>
      </c>
      <c r="H120" s="27">
        <v>4</v>
      </c>
      <c r="I120" s="27">
        <v>7</v>
      </c>
      <c r="J120" s="7">
        <v>5</v>
      </c>
      <c r="K120" s="222">
        <v>6678547.5</v>
      </c>
      <c r="L120" s="223">
        <v>1</v>
      </c>
      <c r="M120" s="224">
        <v>3777777</v>
      </c>
      <c r="N120" s="225">
        <v>58841</v>
      </c>
      <c r="O120" s="226" t="s">
        <v>17</v>
      </c>
      <c r="P120" s="227">
        <v>31</v>
      </c>
      <c r="Q120" s="226">
        <v>303</v>
      </c>
      <c r="R120" s="227">
        <v>2811</v>
      </c>
      <c r="S120" s="226">
        <v>29636</v>
      </c>
      <c r="T120" s="227">
        <v>282122</v>
      </c>
    </row>
    <row r="121" spans="1:20" x14ac:dyDescent="0.15">
      <c r="A121" s="178"/>
      <c r="B121" s="179">
        <v>40908</v>
      </c>
      <c r="C121" s="180" t="s">
        <v>363</v>
      </c>
      <c r="D121" s="38">
        <v>2</v>
      </c>
      <c r="E121" s="38">
        <v>8</v>
      </c>
      <c r="F121" s="38">
        <v>1</v>
      </c>
      <c r="G121" s="38">
        <v>9</v>
      </c>
      <c r="H121" s="38">
        <v>6</v>
      </c>
      <c r="I121" s="38">
        <v>1</v>
      </c>
      <c r="J121" s="39">
        <v>4</v>
      </c>
      <c r="K121" s="229">
        <v>17104552.5</v>
      </c>
      <c r="L121" s="237" t="s">
        <v>23</v>
      </c>
      <c r="M121" s="229" t="s">
        <v>368</v>
      </c>
      <c r="N121" s="231">
        <v>1274974.7</v>
      </c>
      <c r="O121" s="232">
        <v>5</v>
      </c>
      <c r="P121" s="233">
        <v>53</v>
      </c>
      <c r="Q121" s="232">
        <v>574</v>
      </c>
      <c r="R121" s="233">
        <v>5572</v>
      </c>
      <c r="S121" s="232">
        <v>56406</v>
      </c>
      <c r="T121" s="233">
        <v>576428</v>
      </c>
    </row>
    <row r="122" spans="1:20" x14ac:dyDescent="0.15">
      <c r="A122" s="45"/>
      <c r="B122" s="46"/>
      <c r="C122" s="46"/>
      <c r="D122" s="276"/>
      <c r="E122" s="276"/>
      <c r="F122" s="276"/>
      <c r="G122" s="276"/>
      <c r="H122" s="276"/>
      <c r="I122" s="276" t="s">
        <v>24</v>
      </c>
      <c r="J122" s="276"/>
      <c r="K122" s="277"/>
      <c r="L122" s="278">
        <f>SUM(L70:L121)</f>
        <v>24</v>
      </c>
      <c r="M122" s="229"/>
      <c r="N122" s="278"/>
      <c r="O122" s="278">
        <f t="shared" ref="O122:T122" si="1">SUM(O70:O121)</f>
        <v>185</v>
      </c>
      <c r="P122" s="278">
        <f t="shared" si="1"/>
        <v>2269</v>
      </c>
      <c r="Q122" s="278">
        <f t="shared" si="1"/>
        <v>22734</v>
      </c>
      <c r="R122" s="278">
        <f t="shared" si="1"/>
        <v>225968</v>
      </c>
      <c r="S122" s="278">
        <f t="shared" si="1"/>
        <v>2263942</v>
      </c>
      <c r="T122" s="272">
        <f t="shared" si="1"/>
        <v>22585513</v>
      </c>
    </row>
    <row r="123" spans="1:20" x14ac:dyDescent="0.15">
      <c r="K123" s="222"/>
    </row>
  </sheetData>
  <printOptions horizontalCentered="1" verticalCentered="1"/>
  <pageMargins left="0.19685039370078741" right="0" top="0" bottom="0.39370078740157483" header="0" footer="0.19685039370078741"/>
  <pageSetup paperSize="9" scale="8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90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1" ht="14.1" customHeight="1" x14ac:dyDescent="0.2">
      <c r="A2" s="1" t="s">
        <v>364</v>
      </c>
      <c r="T2" s="3" t="s">
        <v>405</v>
      </c>
    </row>
    <row r="3" spans="1:21" ht="11.1" customHeight="1" x14ac:dyDescent="0.15">
      <c r="A3" s="6" t="s">
        <v>2</v>
      </c>
    </row>
    <row r="4" spans="1:21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1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1" ht="11.1" customHeight="1" x14ac:dyDescent="0.15">
      <c r="A6" s="13" t="s">
        <v>428</v>
      </c>
      <c r="B6" s="14">
        <v>2012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371</v>
      </c>
      <c r="M6" s="18"/>
      <c r="N6" s="13" t="s">
        <v>367</v>
      </c>
      <c r="O6" s="239">
        <v>77777</v>
      </c>
      <c r="P6" s="239">
        <v>7777</v>
      </c>
      <c r="Q6" s="239">
        <v>777</v>
      </c>
      <c r="R6" s="239">
        <v>77</v>
      </c>
      <c r="S6" s="239">
        <v>17</v>
      </c>
      <c r="T6" s="239">
        <v>5</v>
      </c>
    </row>
    <row r="7" spans="1:21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1" x14ac:dyDescent="0.15">
      <c r="A8" s="172">
        <v>1</v>
      </c>
      <c r="B8" s="284">
        <v>40912</v>
      </c>
      <c r="C8" s="174" t="s">
        <v>362</v>
      </c>
      <c r="D8" s="27">
        <v>3</v>
      </c>
      <c r="E8" s="27">
        <v>5</v>
      </c>
      <c r="F8" s="27">
        <v>0</v>
      </c>
      <c r="G8" s="27">
        <v>5</v>
      </c>
      <c r="H8" s="27">
        <v>2</v>
      </c>
      <c r="I8" s="27">
        <v>7</v>
      </c>
      <c r="J8" s="7">
        <v>8</v>
      </c>
      <c r="K8" s="222">
        <v>6593287.5</v>
      </c>
      <c r="L8" s="223" t="s">
        <v>23</v>
      </c>
      <c r="M8" s="224" t="s">
        <v>368</v>
      </c>
      <c r="N8" s="224">
        <v>1743757.4</v>
      </c>
      <c r="O8" s="226">
        <v>2</v>
      </c>
      <c r="P8" s="227">
        <v>27</v>
      </c>
      <c r="Q8" s="226">
        <v>260</v>
      </c>
      <c r="R8" s="227">
        <v>2472</v>
      </c>
      <c r="S8" s="226">
        <v>25197</v>
      </c>
      <c r="T8" s="227">
        <v>254309</v>
      </c>
    </row>
    <row r="9" spans="1:21" x14ac:dyDescent="0.15">
      <c r="A9" s="178"/>
      <c r="B9" s="179">
        <v>40915</v>
      </c>
      <c r="C9" s="180" t="s">
        <v>363</v>
      </c>
      <c r="D9" s="19">
        <v>3</v>
      </c>
      <c r="E9" s="19">
        <v>8</v>
      </c>
      <c r="F9" s="19">
        <v>8</v>
      </c>
      <c r="G9" s="19">
        <v>5</v>
      </c>
      <c r="H9" s="19">
        <v>4</v>
      </c>
      <c r="I9" s="19">
        <v>0</v>
      </c>
      <c r="J9" s="13">
        <v>5</v>
      </c>
      <c r="K9" s="229">
        <v>15335977.5</v>
      </c>
      <c r="L9" s="237">
        <v>1</v>
      </c>
      <c r="M9" s="229">
        <v>2777777</v>
      </c>
      <c r="N9" s="231">
        <v>56368.4</v>
      </c>
      <c r="O9" s="232">
        <v>5</v>
      </c>
      <c r="P9" s="233">
        <v>62</v>
      </c>
      <c r="Q9" s="232">
        <v>554</v>
      </c>
      <c r="R9" s="233">
        <v>5729</v>
      </c>
      <c r="S9" s="232">
        <v>55650</v>
      </c>
      <c r="T9" s="233">
        <v>688559</v>
      </c>
      <c r="U9">
        <v>737224</v>
      </c>
    </row>
    <row r="10" spans="1:21" x14ac:dyDescent="0.15">
      <c r="A10" s="172">
        <v>2</v>
      </c>
      <c r="B10" s="173">
        <v>40919</v>
      </c>
      <c r="C10" s="174" t="s">
        <v>362</v>
      </c>
      <c r="D10" s="238">
        <v>8</v>
      </c>
      <c r="E10" s="27">
        <v>0</v>
      </c>
      <c r="F10" s="27">
        <v>0</v>
      </c>
      <c r="G10" s="27">
        <v>2</v>
      </c>
      <c r="H10" s="27">
        <v>6</v>
      </c>
      <c r="I10" s="27">
        <v>5</v>
      </c>
      <c r="J10" s="7">
        <v>4</v>
      </c>
      <c r="K10" s="222">
        <v>6551625</v>
      </c>
      <c r="L10" s="234">
        <v>1</v>
      </c>
      <c r="M10" s="224">
        <v>477777</v>
      </c>
      <c r="N10" s="225">
        <v>44411.9</v>
      </c>
      <c r="O10" s="226">
        <v>1</v>
      </c>
      <c r="P10" s="227">
        <v>27</v>
      </c>
      <c r="Q10" s="226">
        <v>265</v>
      </c>
      <c r="R10" s="227">
        <v>2481</v>
      </c>
      <c r="S10" s="226">
        <v>23481</v>
      </c>
      <c r="T10" s="227">
        <v>222178</v>
      </c>
    </row>
    <row r="11" spans="1:21" x14ac:dyDescent="0.15">
      <c r="A11" s="178"/>
      <c r="B11" s="179">
        <v>40922</v>
      </c>
      <c r="C11" s="180" t="s">
        <v>363</v>
      </c>
      <c r="D11" s="76">
        <v>2</v>
      </c>
      <c r="E11" s="76">
        <v>9</v>
      </c>
      <c r="F11" s="76">
        <v>0</v>
      </c>
      <c r="G11" s="76">
        <v>5</v>
      </c>
      <c r="H11" s="76">
        <v>0</v>
      </c>
      <c r="I11" s="76">
        <v>1</v>
      </c>
      <c r="J11" s="13">
        <v>3</v>
      </c>
      <c r="K11" s="229">
        <v>16188952.5</v>
      </c>
      <c r="L11" s="237">
        <v>1</v>
      </c>
      <c r="M11" s="229">
        <v>1177777</v>
      </c>
      <c r="N11" s="229">
        <v>17669.400000000001</v>
      </c>
      <c r="O11" s="232">
        <v>4</v>
      </c>
      <c r="P11" s="233">
        <v>86</v>
      </c>
      <c r="Q11" s="232">
        <v>647</v>
      </c>
      <c r="R11" s="233">
        <v>6966</v>
      </c>
      <c r="S11" s="232">
        <v>72518</v>
      </c>
      <c r="T11" s="233">
        <v>582168</v>
      </c>
    </row>
    <row r="12" spans="1:21" x14ac:dyDescent="0.15">
      <c r="A12" s="172">
        <v>3</v>
      </c>
      <c r="B12" s="173">
        <v>40926</v>
      </c>
      <c r="C12" s="174" t="s">
        <v>362</v>
      </c>
      <c r="D12" s="27">
        <v>3</v>
      </c>
      <c r="E12" s="27">
        <v>4</v>
      </c>
      <c r="F12" s="27">
        <v>3</v>
      </c>
      <c r="G12" s="27">
        <v>6</v>
      </c>
      <c r="H12" s="27">
        <v>8</v>
      </c>
      <c r="I12" s="27">
        <v>1</v>
      </c>
      <c r="J12" s="7">
        <v>9</v>
      </c>
      <c r="K12" s="222">
        <v>7150492.5</v>
      </c>
      <c r="L12" s="234" t="s">
        <v>23</v>
      </c>
      <c r="M12" s="224" t="s">
        <v>368</v>
      </c>
      <c r="N12" s="225">
        <v>526069.4</v>
      </c>
      <c r="O12" s="226">
        <v>4</v>
      </c>
      <c r="P12" s="227">
        <v>19</v>
      </c>
      <c r="Q12" s="226">
        <v>232</v>
      </c>
      <c r="R12" s="227">
        <v>2129</v>
      </c>
      <c r="S12" s="226">
        <v>21807</v>
      </c>
      <c r="T12" s="227">
        <v>232614</v>
      </c>
    </row>
    <row r="13" spans="1:21" x14ac:dyDescent="0.15">
      <c r="A13" s="178"/>
      <c r="B13" s="179">
        <v>40929</v>
      </c>
      <c r="C13" s="180" t="s">
        <v>363</v>
      </c>
      <c r="D13" s="19">
        <v>9</v>
      </c>
      <c r="E13" s="19">
        <v>6</v>
      </c>
      <c r="F13" s="19">
        <v>7</v>
      </c>
      <c r="G13" s="19">
        <v>8</v>
      </c>
      <c r="H13" s="19">
        <v>2</v>
      </c>
      <c r="I13" s="19">
        <v>0</v>
      </c>
      <c r="J13" s="13">
        <v>6</v>
      </c>
      <c r="K13" s="229">
        <v>16548010</v>
      </c>
      <c r="L13" s="230">
        <v>2</v>
      </c>
      <c r="M13" s="229">
        <v>777777</v>
      </c>
      <c r="N13" s="231">
        <v>147078.9</v>
      </c>
      <c r="O13" s="232">
        <v>8</v>
      </c>
      <c r="P13" s="233">
        <v>60</v>
      </c>
      <c r="Q13" s="232">
        <v>544</v>
      </c>
      <c r="R13" s="233">
        <v>5335</v>
      </c>
      <c r="S13" s="232">
        <v>54179</v>
      </c>
      <c r="T13" s="233">
        <v>631204</v>
      </c>
    </row>
    <row r="14" spans="1:21" x14ac:dyDescent="0.15">
      <c r="A14" s="172">
        <v>4</v>
      </c>
      <c r="B14" s="173">
        <v>40933</v>
      </c>
      <c r="C14" s="174" t="s">
        <v>362</v>
      </c>
      <c r="D14" s="27">
        <v>4</v>
      </c>
      <c r="E14" s="27">
        <v>1</v>
      </c>
      <c r="F14" s="27">
        <v>1</v>
      </c>
      <c r="G14" s="27">
        <v>5</v>
      </c>
      <c r="H14" s="27">
        <v>3</v>
      </c>
      <c r="I14" s="27">
        <v>0</v>
      </c>
      <c r="J14" s="7">
        <v>4</v>
      </c>
      <c r="K14" s="222">
        <v>8460240</v>
      </c>
      <c r="L14" s="234" t="s">
        <v>23</v>
      </c>
      <c r="M14" s="224" t="s">
        <v>368</v>
      </c>
      <c r="N14" s="225">
        <v>748602</v>
      </c>
      <c r="O14" s="226">
        <v>2</v>
      </c>
      <c r="P14" s="227">
        <v>21</v>
      </c>
      <c r="Q14" s="226">
        <v>287</v>
      </c>
      <c r="R14" s="227">
        <v>2607</v>
      </c>
      <c r="S14" s="226">
        <v>26602</v>
      </c>
      <c r="T14" s="227">
        <v>295795</v>
      </c>
    </row>
    <row r="15" spans="1:21" x14ac:dyDescent="0.15">
      <c r="A15" s="178"/>
      <c r="B15" s="179">
        <v>40936</v>
      </c>
      <c r="C15" s="180" t="s">
        <v>363</v>
      </c>
      <c r="D15" s="19">
        <v>0</v>
      </c>
      <c r="E15" s="19">
        <v>7</v>
      </c>
      <c r="F15" s="19">
        <v>2</v>
      </c>
      <c r="G15" s="19">
        <v>8</v>
      </c>
      <c r="H15" s="19">
        <v>8</v>
      </c>
      <c r="I15" s="19">
        <v>9</v>
      </c>
      <c r="J15" s="13">
        <v>4</v>
      </c>
      <c r="K15" s="229">
        <v>18563485</v>
      </c>
      <c r="L15" s="230" t="s">
        <v>23</v>
      </c>
      <c r="M15" s="229" t="s">
        <v>368</v>
      </c>
      <c r="N15" s="231">
        <v>2068465.8</v>
      </c>
      <c r="O15" s="232">
        <v>1</v>
      </c>
      <c r="P15" s="233">
        <v>58</v>
      </c>
      <c r="Q15" s="232">
        <v>600</v>
      </c>
      <c r="R15" s="233">
        <v>5938</v>
      </c>
      <c r="S15" s="232">
        <v>59912</v>
      </c>
      <c r="T15" s="233">
        <v>640540</v>
      </c>
    </row>
    <row r="16" spans="1:21" x14ac:dyDescent="0.15">
      <c r="A16" s="172">
        <v>5</v>
      </c>
      <c r="B16" s="173">
        <v>40940</v>
      </c>
      <c r="C16" s="174" t="s">
        <v>362</v>
      </c>
      <c r="D16" s="27">
        <v>4</v>
      </c>
      <c r="E16" s="27">
        <v>9</v>
      </c>
      <c r="F16" s="27">
        <v>3</v>
      </c>
      <c r="G16" s="27">
        <v>5</v>
      </c>
      <c r="H16" s="27">
        <v>3</v>
      </c>
      <c r="I16" s="27">
        <v>1</v>
      </c>
      <c r="J16" s="7">
        <v>5</v>
      </c>
      <c r="K16" s="222">
        <v>9615330</v>
      </c>
      <c r="L16" s="223">
        <v>1</v>
      </c>
      <c r="M16" s="224">
        <v>2677777</v>
      </c>
      <c r="N16" s="224">
        <v>74338.8</v>
      </c>
      <c r="O16" s="226">
        <v>3</v>
      </c>
      <c r="P16" s="227">
        <v>41</v>
      </c>
      <c r="Q16" s="226">
        <v>398</v>
      </c>
      <c r="R16" s="227">
        <v>4003</v>
      </c>
      <c r="S16" s="226">
        <v>39398</v>
      </c>
      <c r="T16" s="227">
        <v>398225</v>
      </c>
    </row>
    <row r="17" spans="1:21" x14ac:dyDescent="0.15">
      <c r="A17" s="178"/>
      <c r="B17" s="179">
        <v>40943</v>
      </c>
      <c r="C17" s="180" t="s">
        <v>363</v>
      </c>
      <c r="D17" s="19">
        <v>9</v>
      </c>
      <c r="E17" s="19">
        <v>9</v>
      </c>
      <c r="F17" s="19">
        <v>3</v>
      </c>
      <c r="G17" s="19">
        <v>3</v>
      </c>
      <c r="H17" s="19">
        <v>2</v>
      </c>
      <c r="I17" s="19">
        <v>0</v>
      </c>
      <c r="J17" s="13">
        <v>7</v>
      </c>
      <c r="K17" s="229">
        <v>19606872.5</v>
      </c>
      <c r="L17" s="230">
        <v>1</v>
      </c>
      <c r="M17" s="229">
        <v>1377777</v>
      </c>
      <c r="N17" s="229">
        <v>90610.4</v>
      </c>
      <c r="O17" s="232">
        <v>11</v>
      </c>
      <c r="P17" s="233">
        <v>54</v>
      </c>
      <c r="Q17" s="232">
        <v>712</v>
      </c>
      <c r="R17" s="233">
        <v>7103</v>
      </c>
      <c r="S17" s="232">
        <v>72091</v>
      </c>
      <c r="T17" s="233">
        <v>831116</v>
      </c>
    </row>
    <row r="18" spans="1:21" x14ac:dyDescent="0.15">
      <c r="A18" s="172">
        <v>6</v>
      </c>
      <c r="B18" s="173">
        <v>40947</v>
      </c>
      <c r="C18" s="174" t="s">
        <v>362</v>
      </c>
      <c r="D18" s="27">
        <v>7</v>
      </c>
      <c r="E18" s="27">
        <v>7</v>
      </c>
      <c r="F18" s="27">
        <v>4</v>
      </c>
      <c r="G18" s="27">
        <v>6</v>
      </c>
      <c r="H18" s="27">
        <v>6</v>
      </c>
      <c r="I18" s="27">
        <v>1</v>
      </c>
      <c r="J18" s="7">
        <v>7</v>
      </c>
      <c r="K18" s="222">
        <v>6868917.5</v>
      </c>
      <c r="L18" s="223" t="s">
        <v>23</v>
      </c>
      <c r="M18" s="224" t="s">
        <v>368</v>
      </c>
      <c r="N18" s="224">
        <v>578990.4</v>
      </c>
      <c r="O18" s="226">
        <v>2</v>
      </c>
      <c r="P18" s="227">
        <v>23</v>
      </c>
      <c r="Q18" s="226">
        <v>251</v>
      </c>
      <c r="R18" s="227">
        <v>2831</v>
      </c>
      <c r="S18" s="226">
        <v>28645</v>
      </c>
      <c r="T18" s="227">
        <v>292379</v>
      </c>
    </row>
    <row r="19" spans="1:21" x14ac:dyDescent="0.15">
      <c r="A19" s="178"/>
      <c r="B19" s="179">
        <v>40950</v>
      </c>
      <c r="C19" s="180" t="s">
        <v>363</v>
      </c>
      <c r="D19" s="19">
        <v>1</v>
      </c>
      <c r="E19" s="19">
        <v>6</v>
      </c>
      <c r="F19" s="19">
        <v>8</v>
      </c>
      <c r="G19" s="19">
        <v>5</v>
      </c>
      <c r="H19" s="19">
        <v>8</v>
      </c>
      <c r="I19" s="19">
        <v>7</v>
      </c>
      <c r="J19" s="13">
        <v>8</v>
      </c>
      <c r="K19" s="229">
        <v>15521282.5</v>
      </c>
      <c r="L19" s="230">
        <v>2</v>
      </c>
      <c r="M19" s="229">
        <v>777777</v>
      </c>
      <c r="N19" s="231">
        <v>126999.6</v>
      </c>
      <c r="O19" s="232">
        <v>9</v>
      </c>
      <c r="P19" s="233">
        <v>66</v>
      </c>
      <c r="Q19" s="232">
        <v>594</v>
      </c>
      <c r="R19" s="233">
        <v>6198</v>
      </c>
      <c r="S19" s="232">
        <v>61980</v>
      </c>
      <c r="T19" s="233">
        <v>608761</v>
      </c>
    </row>
    <row r="20" spans="1:21" x14ac:dyDescent="0.15">
      <c r="A20" s="172">
        <v>7</v>
      </c>
      <c r="B20" s="173">
        <v>40954</v>
      </c>
      <c r="C20" s="174" t="s">
        <v>362</v>
      </c>
      <c r="D20" s="27">
        <v>9</v>
      </c>
      <c r="E20" s="27">
        <v>7</v>
      </c>
      <c r="F20" s="27">
        <v>2</v>
      </c>
      <c r="G20" s="27">
        <v>1</v>
      </c>
      <c r="H20" s="27">
        <v>0</v>
      </c>
      <c r="I20" s="27">
        <v>4</v>
      </c>
      <c r="J20" s="7">
        <v>2</v>
      </c>
      <c r="K20" s="222">
        <v>6688385</v>
      </c>
      <c r="L20" s="223" t="s">
        <v>23</v>
      </c>
      <c r="M20" s="224" t="s">
        <v>368</v>
      </c>
      <c r="N20" s="225">
        <v>602543.80000000005</v>
      </c>
      <c r="O20" s="226" t="s">
        <v>17</v>
      </c>
      <c r="P20" s="227">
        <v>19</v>
      </c>
      <c r="Q20" s="226">
        <v>213</v>
      </c>
      <c r="R20" s="227">
        <v>1935</v>
      </c>
      <c r="S20" s="226">
        <v>21743</v>
      </c>
      <c r="T20" s="227">
        <v>211324</v>
      </c>
    </row>
    <row r="21" spans="1:21" x14ac:dyDescent="0.15">
      <c r="A21" s="178"/>
      <c r="B21" s="179">
        <v>40957</v>
      </c>
      <c r="C21" s="180" t="s">
        <v>363</v>
      </c>
      <c r="D21" s="19">
        <v>4</v>
      </c>
      <c r="E21" s="19">
        <v>4</v>
      </c>
      <c r="F21" s="19">
        <v>3</v>
      </c>
      <c r="G21" s="19">
        <v>4</v>
      </c>
      <c r="H21" s="19">
        <v>7</v>
      </c>
      <c r="I21" s="19">
        <v>6</v>
      </c>
      <c r="J21" s="13">
        <v>6</v>
      </c>
      <c r="K21" s="229">
        <v>15925235</v>
      </c>
      <c r="L21" s="230">
        <v>1</v>
      </c>
      <c r="M21" s="229">
        <v>1677777</v>
      </c>
      <c r="N21" s="231">
        <v>57051</v>
      </c>
      <c r="O21" s="232">
        <v>8</v>
      </c>
      <c r="P21" s="233">
        <v>66</v>
      </c>
      <c r="Q21" s="232">
        <v>601</v>
      </c>
      <c r="R21" s="233">
        <v>6190</v>
      </c>
      <c r="S21" s="232">
        <v>64392</v>
      </c>
      <c r="T21" s="233">
        <v>602014</v>
      </c>
      <c r="U21" s="240"/>
    </row>
    <row r="22" spans="1:21" x14ac:dyDescent="0.15">
      <c r="A22" s="172">
        <v>8</v>
      </c>
      <c r="B22" s="173">
        <v>40961</v>
      </c>
      <c r="C22" s="174" t="s">
        <v>362</v>
      </c>
      <c r="D22" s="27">
        <v>6</v>
      </c>
      <c r="E22" s="27">
        <v>5</v>
      </c>
      <c r="F22" s="27">
        <v>6</v>
      </c>
      <c r="G22" s="27">
        <v>5</v>
      </c>
      <c r="H22" s="27">
        <v>7</v>
      </c>
      <c r="I22" s="27">
        <v>0</v>
      </c>
      <c r="J22" s="7">
        <v>3</v>
      </c>
      <c r="K22" s="222">
        <v>6318942.5</v>
      </c>
      <c r="L22" s="223" t="s">
        <v>23</v>
      </c>
      <c r="M22" s="224" t="s">
        <v>368</v>
      </c>
      <c r="N22" s="225">
        <v>506327.8</v>
      </c>
      <c r="O22" s="226">
        <v>1</v>
      </c>
      <c r="P22" s="227">
        <v>24</v>
      </c>
      <c r="Q22" s="226">
        <v>203</v>
      </c>
      <c r="R22" s="227">
        <v>2065</v>
      </c>
      <c r="S22" s="226">
        <v>20413</v>
      </c>
      <c r="T22" s="227">
        <v>244061</v>
      </c>
    </row>
    <row r="23" spans="1:21" x14ac:dyDescent="0.15">
      <c r="A23" s="178"/>
      <c r="B23" s="179">
        <v>40964</v>
      </c>
      <c r="C23" s="180" t="s">
        <v>363</v>
      </c>
      <c r="D23" s="19">
        <v>9</v>
      </c>
      <c r="E23" s="19">
        <v>3</v>
      </c>
      <c r="F23" s="19">
        <v>5</v>
      </c>
      <c r="G23" s="19">
        <v>8</v>
      </c>
      <c r="H23" s="19">
        <v>4</v>
      </c>
      <c r="I23" s="19">
        <v>4</v>
      </c>
      <c r="J23" s="13">
        <v>2</v>
      </c>
      <c r="K23" s="229">
        <v>15316987.5</v>
      </c>
      <c r="L23" s="230" t="s">
        <v>23</v>
      </c>
      <c r="M23" s="229" t="s">
        <v>368</v>
      </c>
      <c r="N23" s="231">
        <v>1595365.6</v>
      </c>
      <c r="O23" s="232">
        <v>4</v>
      </c>
      <c r="P23" s="233">
        <v>41</v>
      </c>
      <c r="Q23" s="232">
        <v>513</v>
      </c>
      <c r="R23" s="233">
        <v>4845</v>
      </c>
      <c r="S23" s="232">
        <v>50509</v>
      </c>
      <c r="T23" s="233">
        <v>488342</v>
      </c>
    </row>
    <row r="24" spans="1:21" x14ac:dyDescent="0.15">
      <c r="A24" s="172">
        <v>9</v>
      </c>
      <c r="B24" s="173">
        <v>40968</v>
      </c>
      <c r="C24" s="174" t="s">
        <v>362</v>
      </c>
      <c r="D24" s="27">
        <v>7</v>
      </c>
      <c r="E24" s="27">
        <v>5</v>
      </c>
      <c r="F24" s="27">
        <v>5</v>
      </c>
      <c r="G24" s="27">
        <v>4</v>
      </c>
      <c r="H24" s="27">
        <v>7</v>
      </c>
      <c r="I24" s="27">
        <v>6</v>
      </c>
      <c r="J24" s="7">
        <v>3</v>
      </c>
      <c r="K24" s="222">
        <v>6818920</v>
      </c>
      <c r="L24" s="223" t="s">
        <v>23</v>
      </c>
      <c r="M24" s="224" t="s">
        <v>368</v>
      </c>
      <c r="N24" s="225">
        <v>2080190.8</v>
      </c>
      <c r="O24" s="226" t="s">
        <v>17</v>
      </c>
      <c r="P24" s="227">
        <v>20</v>
      </c>
      <c r="Q24" s="226">
        <v>271</v>
      </c>
      <c r="R24" s="227">
        <v>2595</v>
      </c>
      <c r="S24" s="226">
        <v>25984</v>
      </c>
      <c r="T24" s="227">
        <v>259459</v>
      </c>
    </row>
    <row r="25" spans="1:21" x14ac:dyDescent="0.15">
      <c r="A25" s="178"/>
      <c r="B25" s="179">
        <v>40971</v>
      </c>
      <c r="C25" s="180" t="s">
        <v>363</v>
      </c>
      <c r="D25" s="19">
        <v>9</v>
      </c>
      <c r="E25" s="19">
        <v>6</v>
      </c>
      <c r="F25" s="19">
        <v>4</v>
      </c>
      <c r="G25" s="19">
        <v>2</v>
      </c>
      <c r="H25" s="19">
        <v>0</v>
      </c>
      <c r="I25" s="19">
        <v>9</v>
      </c>
      <c r="J25" s="13">
        <v>8</v>
      </c>
      <c r="K25" s="229">
        <v>16265380</v>
      </c>
      <c r="L25" s="230" t="s">
        <v>23</v>
      </c>
      <c r="M25" s="229" t="s">
        <v>368</v>
      </c>
      <c r="N25" s="231">
        <v>3236659.3</v>
      </c>
      <c r="O25" s="232">
        <v>4</v>
      </c>
      <c r="P25" s="233">
        <v>47</v>
      </c>
      <c r="Q25" s="232">
        <v>589</v>
      </c>
      <c r="R25" s="233">
        <v>5744</v>
      </c>
      <c r="S25" s="232">
        <v>61910</v>
      </c>
      <c r="T25" s="233">
        <v>642510</v>
      </c>
    </row>
    <row r="26" spans="1:21" x14ac:dyDescent="0.15">
      <c r="A26" s="172">
        <v>10</v>
      </c>
      <c r="B26" s="173">
        <v>40975</v>
      </c>
      <c r="C26" s="174" t="s">
        <v>362</v>
      </c>
      <c r="D26" s="27">
        <v>6</v>
      </c>
      <c r="E26" s="27">
        <v>3</v>
      </c>
      <c r="F26" s="27">
        <v>5</v>
      </c>
      <c r="G26" s="27">
        <v>4</v>
      </c>
      <c r="H26" s="27">
        <v>3</v>
      </c>
      <c r="I26" s="27">
        <v>9</v>
      </c>
      <c r="J26" s="7">
        <v>2</v>
      </c>
      <c r="K26" s="222">
        <v>7700520</v>
      </c>
      <c r="L26" s="223" t="s">
        <v>23</v>
      </c>
      <c r="M26" s="224" t="s">
        <v>368</v>
      </c>
      <c r="N26" s="225">
        <v>3784166.3</v>
      </c>
      <c r="O26" s="226">
        <v>1</v>
      </c>
      <c r="P26" s="227">
        <v>18</v>
      </c>
      <c r="Q26" s="226">
        <v>269</v>
      </c>
      <c r="R26" s="227">
        <v>2343</v>
      </c>
      <c r="S26" s="226">
        <v>23622</v>
      </c>
      <c r="T26" s="227">
        <v>249426</v>
      </c>
    </row>
    <row r="27" spans="1:21" x14ac:dyDescent="0.15">
      <c r="A27" s="178"/>
      <c r="B27" s="179">
        <v>40978</v>
      </c>
      <c r="C27" s="180" t="s">
        <v>363</v>
      </c>
      <c r="D27" s="19">
        <v>3</v>
      </c>
      <c r="E27" s="19">
        <v>0</v>
      </c>
      <c r="F27" s="19">
        <v>3</v>
      </c>
      <c r="G27" s="19">
        <v>4</v>
      </c>
      <c r="H27" s="19">
        <v>5</v>
      </c>
      <c r="I27" s="19">
        <v>1</v>
      </c>
      <c r="J27" s="13">
        <v>7</v>
      </c>
      <c r="K27" s="229">
        <v>15747335</v>
      </c>
      <c r="L27" s="230">
        <v>3</v>
      </c>
      <c r="M27" s="229">
        <v>1577777</v>
      </c>
      <c r="N27" s="231">
        <v>170470.8</v>
      </c>
      <c r="O27" s="232">
        <v>6</v>
      </c>
      <c r="P27" s="233">
        <v>55</v>
      </c>
      <c r="Q27" s="232">
        <v>628</v>
      </c>
      <c r="R27" s="233">
        <v>6392</v>
      </c>
      <c r="S27" s="232">
        <v>65439</v>
      </c>
      <c r="T27" s="233">
        <v>668014</v>
      </c>
    </row>
    <row r="28" spans="1:21" x14ac:dyDescent="0.15">
      <c r="A28" s="172">
        <v>11</v>
      </c>
      <c r="B28" s="173">
        <v>40982</v>
      </c>
      <c r="C28" s="174" t="s">
        <v>362</v>
      </c>
      <c r="D28" s="27">
        <v>9</v>
      </c>
      <c r="E28" s="27">
        <v>4</v>
      </c>
      <c r="F28" s="27">
        <v>5</v>
      </c>
      <c r="G28" s="27">
        <v>3</v>
      </c>
      <c r="H28" s="27">
        <v>6</v>
      </c>
      <c r="I28" s="27">
        <v>4</v>
      </c>
      <c r="J28" s="7">
        <v>6</v>
      </c>
      <c r="K28" s="222">
        <v>6595342.5</v>
      </c>
      <c r="L28" s="223" t="s">
        <v>23</v>
      </c>
      <c r="M28" s="224" t="s">
        <v>368</v>
      </c>
      <c r="N28" s="225">
        <v>639399.69999999995</v>
      </c>
      <c r="O28" s="226">
        <v>4</v>
      </c>
      <c r="P28" s="227">
        <v>31</v>
      </c>
      <c r="Q28" s="226">
        <v>260</v>
      </c>
      <c r="R28" s="227">
        <v>2710</v>
      </c>
      <c r="S28" s="226">
        <v>26701</v>
      </c>
      <c r="T28" s="227">
        <v>253812</v>
      </c>
    </row>
    <row r="29" spans="1:21" x14ac:dyDescent="0.15">
      <c r="A29" s="178"/>
      <c r="B29" s="179">
        <v>40985</v>
      </c>
      <c r="C29" s="180" t="s">
        <v>363</v>
      </c>
      <c r="D29" s="19">
        <v>8</v>
      </c>
      <c r="E29" s="19">
        <v>7</v>
      </c>
      <c r="F29" s="19">
        <v>4</v>
      </c>
      <c r="G29" s="19">
        <v>0</v>
      </c>
      <c r="H29" s="19">
        <v>4</v>
      </c>
      <c r="I29" s="19">
        <v>5</v>
      </c>
      <c r="J29" s="13">
        <v>2</v>
      </c>
      <c r="K29" s="229">
        <v>15557907.5</v>
      </c>
      <c r="L29" s="230">
        <v>1</v>
      </c>
      <c r="M29" s="229">
        <v>1677777</v>
      </c>
      <c r="N29" s="231">
        <v>67789.899999999994</v>
      </c>
      <c r="O29" s="232">
        <v>6</v>
      </c>
      <c r="P29" s="233">
        <v>43</v>
      </c>
      <c r="Q29" s="232">
        <v>547</v>
      </c>
      <c r="R29" s="233">
        <v>5376</v>
      </c>
      <c r="S29" s="232">
        <v>54909</v>
      </c>
      <c r="T29" s="233">
        <v>503533</v>
      </c>
    </row>
    <row r="30" spans="1:21" x14ac:dyDescent="0.15">
      <c r="A30" s="172">
        <v>12</v>
      </c>
      <c r="B30" s="173">
        <v>40989</v>
      </c>
      <c r="C30" s="174" t="s">
        <v>362</v>
      </c>
      <c r="D30" s="27">
        <v>3</v>
      </c>
      <c r="E30" s="27">
        <v>5</v>
      </c>
      <c r="F30" s="27">
        <v>2</v>
      </c>
      <c r="G30" s="27">
        <v>5</v>
      </c>
      <c r="H30" s="27">
        <v>1</v>
      </c>
      <c r="I30" s="27">
        <v>6</v>
      </c>
      <c r="J30" s="7">
        <v>3</v>
      </c>
      <c r="K30" s="222">
        <v>6182187.5</v>
      </c>
      <c r="L30" s="223" t="s">
        <v>23</v>
      </c>
      <c r="M30" s="224" t="s">
        <v>368</v>
      </c>
      <c r="N30" s="225">
        <v>507343.4</v>
      </c>
      <c r="O30" s="226">
        <v>1</v>
      </c>
      <c r="P30" s="227">
        <v>17</v>
      </c>
      <c r="Q30" s="226">
        <v>261</v>
      </c>
      <c r="R30" s="227">
        <v>2367</v>
      </c>
      <c r="S30" s="226">
        <v>23925</v>
      </c>
      <c r="T30" s="227">
        <v>235885</v>
      </c>
    </row>
    <row r="31" spans="1:21" x14ac:dyDescent="0.15">
      <c r="A31" s="178"/>
      <c r="B31" s="179">
        <v>40992</v>
      </c>
      <c r="C31" s="180" t="s">
        <v>363</v>
      </c>
      <c r="D31" s="19">
        <v>7</v>
      </c>
      <c r="E31" s="19">
        <v>3</v>
      </c>
      <c r="F31" s="19">
        <v>0</v>
      </c>
      <c r="G31" s="19">
        <v>8</v>
      </c>
      <c r="H31" s="19">
        <v>7</v>
      </c>
      <c r="I31" s="19">
        <v>3</v>
      </c>
      <c r="J31" s="13">
        <v>2</v>
      </c>
      <c r="K31" s="229">
        <v>14682072.5</v>
      </c>
      <c r="L31" s="230" t="s">
        <v>23</v>
      </c>
      <c r="M31" s="229" t="s">
        <v>368</v>
      </c>
      <c r="N31" s="231">
        <v>1551238.8</v>
      </c>
      <c r="O31" s="232">
        <v>7</v>
      </c>
      <c r="P31" s="233">
        <v>59</v>
      </c>
      <c r="Q31" s="232">
        <v>489</v>
      </c>
      <c r="R31" s="233">
        <v>4969</v>
      </c>
      <c r="S31" s="232">
        <v>47857</v>
      </c>
      <c r="T31" s="233">
        <v>484037</v>
      </c>
    </row>
    <row r="32" spans="1:21" x14ac:dyDescent="0.15">
      <c r="A32" s="172">
        <v>13</v>
      </c>
      <c r="B32" s="173">
        <v>40996</v>
      </c>
      <c r="C32" s="174" t="s">
        <v>362</v>
      </c>
      <c r="D32" s="27">
        <v>1</v>
      </c>
      <c r="E32" s="27">
        <v>0</v>
      </c>
      <c r="F32" s="27">
        <v>0</v>
      </c>
      <c r="G32" s="27">
        <v>4</v>
      </c>
      <c r="H32" s="27">
        <v>1</v>
      </c>
      <c r="I32" s="27">
        <v>1</v>
      </c>
      <c r="J32" s="7">
        <v>2</v>
      </c>
      <c r="K32" s="222">
        <v>5961995</v>
      </c>
      <c r="L32" s="223" t="s">
        <v>23</v>
      </c>
      <c r="M32" s="224" t="s">
        <v>368</v>
      </c>
      <c r="N32" s="225">
        <v>1975136.6</v>
      </c>
      <c r="O32" s="226">
        <v>3</v>
      </c>
      <c r="P32" s="227">
        <v>15</v>
      </c>
      <c r="Q32" s="226">
        <v>205</v>
      </c>
      <c r="R32" s="227">
        <v>2016</v>
      </c>
      <c r="S32" s="226">
        <v>19855</v>
      </c>
      <c r="T32" s="227">
        <v>195460</v>
      </c>
    </row>
    <row r="33" spans="1:21" x14ac:dyDescent="0.15">
      <c r="A33" s="178"/>
      <c r="B33" s="179">
        <v>40999</v>
      </c>
      <c r="C33" s="180" t="s">
        <v>363</v>
      </c>
      <c r="D33" s="19">
        <v>9</v>
      </c>
      <c r="E33" s="19">
        <v>2</v>
      </c>
      <c r="F33" s="19">
        <v>5</v>
      </c>
      <c r="G33" s="19">
        <v>8</v>
      </c>
      <c r="H33" s="19">
        <v>4</v>
      </c>
      <c r="I33" s="19">
        <v>2</v>
      </c>
      <c r="J33" s="13">
        <v>5</v>
      </c>
      <c r="K33" s="229">
        <v>15068205</v>
      </c>
      <c r="L33" s="230" t="s">
        <v>23</v>
      </c>
      <c r="M33" s="229" t="s">
        <v>368</v>
      </c>
      <c r="N33" s="231">
        <v>3046486</v>
      </c>
      <c r="O33" s="232">
        <v>10</v>
      </c>
      <c r="P33" s="233">
        <v>67</v>
      </c>
      <c r="Q33" s="232">
        <v>667</v>
      </c>
      <c r="R33" s="233">
        <v>6904</v>
      </c>
      <c r="S33" s="232">
        <v>67369</v>
      </c>
      <c r="T33" s="233">
        <v>657920</v>
      </c>
      <c r="U33" s="240"/>
    </row>
    <row r="34" spans="1:21" x14ac:dyDescent="0.15">
      <c r="A34" s="172">
        <v>14</v>
      </c>
      <c r="B34" s="173">
        <v>41003</v>
      </c>
      <c r="C34" s="174" t="s">
        <v>362</v>
      </c>
      <c r="D34" s="27">
        <v>2</v>
      </c>
      <c r="E34" s="27">
        <v>6</v>
      </c>
      <c r="F34" s="27">
        <v>8</v>
      </c>
      <c r="G34" s="27">
        <v>0</v>
      </c>
      <c r="H34" s="27">
        <v>9</v>
      </c>
      <c r="I34" s="27">
        <v>2</v>
      </c>
      <c r="J34" s="7">
        <v>5</v>
      </c>
      <c r="K34" s="222">
        <v>6254287.5</v>
      </c>
      <c r="L34" s="223" t="s">
        <v>23</v>
      </c>
      <c r="M34" s="224" t="s">
        <v>368</v>
      </c>
      <c r="N34" s="225">
        <v>3491165.8</v>
      </c>
      <c r="O34" s="226">
        <v>2</v>
      </c>
      <c r="P34" s="227">
        <v>14</v>
      </c>
      <c r="Q34" s="226">
        <v>288</v>
      </c>
      <c r="R34" s="227">
        <v>2754</v>
      </c>
      <c r="S34" s="226">
        <v>27689</v>
      </c>
      <c r="T34" s="227">
        <v>269754</v>
      </c>
    </row>
    <row r="35" spans="1:21" x14ac:dyDescent="0.15">
      <c r="A35" s="178"/>
      <c r="B35" s="179">
        <v>41006</v>
      </c>
      <c r="C35" s="180" t="s">
        <v>363</v>
      </c>
      <c r="D35" s="19">
        <v>7</v>
      </c>
      <c r="E35" s="19">
        <v>2</v>
      </c>
      <c r="F35" s="19">
        <v>0</v>
      </c>
      <c r="G35" s="19">
        <v>8</v>
      </c>
      <c r="H35" s="19">
        <v>7</v>
      </c>
      <c r="I35" s="19">
        <v>7</v>
      </c>
      <c r="J35" s="13">
        <v>7</v>
      </c>
      <c r="K35" s="229">
        <v>15159580</v>
      </c>
      <c r="L35" s="230">
        <v>1</v>
      </c>
      <c r="M35" s="229">
        <v>4477777</v>
      </c>
      <c r="N35" s="231">
        <v>91234.9</v>
      </c>
      <c r="O35" s="232">
        <v>4</v>
      </c>
      <c r="P35" s="233">
        <v>109</v>
      </c>
      <c r="Q35" s="232">
        <v>1009</v>
      </c>
      <c r="R35" s="233">
        <v>11312</v>
      </c>
      <c r="S35" s="232">
        <v>70114</v>
      </c>
      <c r="T35" s="233">
        <v>631348</v>
      </c>
    </row>
    <row r="36" spans="1:21" x14ac:dyDescent="0.15">
      <c r="A36" s="172">
        <v>15</v>
      </c>
      <c r="B36" s="173">
        <v>41010</v>
      </c>
      <c r="C36" s="174" t="s">
        <v>362</v>
      </c>
      <c r="D36" s="27">
        <v>9</v>
      </c>
      <c r="E36" s="27">
        <v>7</v>
      </c>
      <c r="F36" s="27">
        <v>5</v>
      </c>
      <c r="G36" s="27">
        <v>6</v>
      </c>
      <c r="H36" s="27">
        <v>1</v>
      </c>
      <c r="I36" s="27">
        <v>0</v>
      </c>
      <c r="J36" s="7">
        <v>7</v>
      </c>
      <c r="K36" s="222">
        <v>6080825</v>
      </c>
      <c r="L36" s="234" t="s">
        <v>23</v>
      </c>
      <c r="M36" s="224" t="s">
        <v>368</v>
      </c>
      <c r="N36" s="225">
        <v>523581.6</v>
      </c>
      <c r="O36" s="226">
        <v>3</v>
      </c>
      <c r="P36" s="227">
        <v>31</v>
      </c>
      <c r="Q36" s="226">
        <v>200</v>
      </c>
      <c r="R36" s="227">
        <v>2270</v>
      </c>
      <c r="S36" s="226">
        <v>22093</v>
      </c>
      <c r="T36" s="227">
        <v>260242</v>
      </c>
    </row>
    <row r="37" spans="1:21" x14ac:dyDescent="0.15">
      <c r="A37" s="178"/>
      <c r="B37" s="179">
        <v>41013</v>
      </c>
      <c r="C37" s="180" t="s">
        <v>363</v>
      </c>
      <c r="D37" s="19">
        <v>2</v>
      </c>
      <c r="E37" s="19">
        <v>2</v>
      </c>
      <c r="F37" s="19">
        <v>6</v>
      </c>
      <c r="G37" s="19">
        <v>7</v>
      </c>
      <c r="H37" s="19">
        <v>8</v>
      </c>
      <c r="I37" s="19">
        <v>6</v>
      </c>
      <c r="J37" s="13">
        <v>8</v>
      </c>
      <c r="K37" s="229">
        <v>15256017.5</v>
      </c>
      <c r="L37" s="230">
        <v>1</v>
      </c>
      <c r="M37" s="229">
        <v>1577777</v>
      </c>
      <c r="N37" s="231">
        <v>30507.4</v>
      </c>
      <c r="O37" s="232">
        <v>9</v>
      </c>
      <c r="P37" s="233">
        <v>49</v>
      </c>
      <c r="Q37" s="232">
        <v>590</v>
      </c>
      <c r="R37" s="233">
        <v>6438</v>
      </c>
      <c r="S37" s="232">
        <v>63317</v>
      </c>
      <c r="T37" s="233">
        <v>600253</v>
      </c>
    </row>
    <row r="38" spans="1:21" x14ac:dyDescent="0.15">
      <c r="A38" s="172">
        <v>16</v>
      </c>
      <c r="B38" s="173">
        <v>41017</v>
      </c>
      <c r="C38" s="174" t="s">
        <v>362</v>
      </c>
      <c r="D38" s="27">
        <v>3</v>
      </c>
      <c r="E38" s="27">
        <v>9</v>
      </c>
      <c r="F38" s="27">
        <v>0</v>
      </c>
      <c r="G38" s="27">
        <v>9</v>
      </c>
      <c r="H38" s="27">
        <v>3</v>
      </c>
      <c r="I38" s="27">
        <v>3</v>
      </c>
      <c r="J38" s="7">
        <v>3</v>
      </c>
      <c r="K38" s="222">
        <v>6591047.5</v>
      </c>
      <c r="L38" s="234">
        <v>1</v>
      </c>
      <c r="M38" s="224">
        <v>477777</v>
      </c>
      <c r="N38" s="225">
        <v>21353.9</v>
      </c>
      <c r="O38" s="226">
        <v>5</v>
      </c>
      <c r="P38" s="227">
        <v>42</v>
      </c>
      <c r="Q38" s="226">
        <v>296</v>
      </c>
      <c r="R38" s="227">
        <v>3446</v>
      </c>
      <c r="S38" s="226">
        <v>25194</v>
      </c>
      <c r="T38" s="227">
        <v>249295</v>
      </c>
    </row>
    <row r="39" spans="1:21" x14ac:dyDescent="0.15">
      <c r="A39" s="178"/>
      <c r="B39" s="179">
        <v>41020</v>
      </c>
      <c r="C39" s="180" t="s">
        <v>363</v>
      </c>
      <c r="D39" s="19">
        <v>8</v>
      </c>
      <c r="E39" s="19">
        <v>8</v>
      </c>
      <c r="F39" s="19">
        <v>5</v>
      </c>
      <c r="G39" s="19">
        <v>4</v>
      </c>
      <c r="H39" s="19">
        <v>8</v>
      </c>
      <c r="I39" s="19">
        <v>6</v>
      </c>
      <c r="J39" s="13">
        <v>9</v>
      </c>
      <c r="K39" s="229">
        <v>15751167.5</v>
      </c>
      <c r="L39" s="230">
        <v>1</v>
      </c>
      <c r="M39" s="229">
        <v>1077777</v>
      </c>
      <c r="N39" s="231">
        <v>63484.9</v>
      </c>
      <c r="O39" s="232">
        <v>7</v>
      </c>
      <c r="P39" s="233">
        <v>50</v>
      </c>
      <c r="Q39" s="232">
        <v>583</v>
      </c>
      <c r="R39" s="233">
        <v>5665</v>
      </c>
      <c r="S39" s="232">
        <v>56616</v>
      </c>
      <c r="T39" s="233">
        <v>526902</v>
      </c>
    </row>
    <row r="40" spans="1:21" x14ac:dyDescent="0.15">
      <c r="A40" s="172">
        <v>17</v>
      </c>
      <c r="B40" s="173">
        <v>41024</v>
      </c>
      <c r="C40" s="174" t="s">
        <v>362</v>
      </c>
      <c r="D40" s="27">
        <v>3</v>
      </c>
      <c r="E40" s="27">
        <v>5</v>
      </c>
      <c r="F40" s="27">
        <v>6</v>
      </c>
      <c r="G40" s="27">
        <v>6</v>
      </c>
      <c r="H40" s="27">
        <v>8</v>
      </c>
      <c r="I40" s="27">
        <v>5</v>
      </c>
      <c r="J40" s="7">
        <v>8</v>
      </c>
      <c r="K40" s="222">
        <v>7221000</v>
      </c>
      <c r="L40" s="223" t="s">
        <v>23</v>
      </c>
      <c r="M40" s="224" t="s">
        <v>368</v>
      </c>
      <c r="N40" s="225">
        <v>576898</v>
      </c>
      <c r="O40" s="226">
        <v>5</v>
      </c>
      <c r="P40" s="227">
        <v>22</v>
      </c>
      <c r="Q40" s="226">
        <v>276</v>
      </c>
      <c r="R40" s="227">
        <v>2927</v>
      </c>
      <c r="S40" s="226">
        <v>28450</v>
      </c>
      <c r="T40" s="227">
        <v>279634</v>
      </c>
    </row>
    <row r="41" spans="1:21" x14ac:dyDescent="0.15">
      <c r="A41" s="178"/>
      <c r="B41" s="179">
        <v>41027</v>
      </c>
      <c r="C41" s="180" t="s">
        <v>363</v>
      </c>
      <c r="D41" s="19">
        <v>0</v>
      </c>
      <c r="E41" s="19">
        <v>5</v>
      </c>
      <c r="F41" s="19">
        <v>9</v>
      </c>
      <c r="G41" s="19">
        <v>3</v>
      </c>
      <c r="H41" s="19">
        <v>0</v>
      </c>
      <c r="I41" s="19">
        <v>2</v>
      </c>
      <c r="J41" s="13">
        <v>7</v>
      </c>
      <c r="K41" s="229">
        <v>16290830</v>
      </c>
      <c r="L41" s="230" t="s">
        <v>23</v>
      </c>
      <c r="M41" s="229" t="s">
        <v>368</v>
      </c>
      <c r="N41" s="231">
        <v>1735176</v>
      </c>
      <c r="O41" s="232">
        <v>7</v>
      </c>
      <c r="P41" s="233">
        <v>64</v>
      </c>
      <c r="Q41" s="232">
        <v>635</v>
      </c>
      <c r="R41" s="233">
        <v>6531</v>
      </c>
      <c r="S41" s="232">
        <v>71050</v>
      </c>
      <c r="T41" s="233">
        <v>688826</v>
      </c>
    </row>
    <row r="42" spans="1:21" x14ac:dyDescent="0.15">
      <c r="A42" s="172">
        <v>18</v>
      </c>
      <c r="B42" s="173">
        <v>41031</v>
      </c>
      <c r="C42" s="174" t="s">
        <v>362</v>
      </c>
      <c r="D42" s="27">
        <v>8</v>
      </c>
      <c r="E42" s="27">
        <v>5</v>
      </c>
      <c r="F42" s="27">
        <v>2</v>
      </c>
      <c r="G42" s="27">
        <v>6</v>
      </c>
      <c r="H42" s="27">
        <v>7</v>
      </c>
      <c r="I42" s="27">
        <v>8</v>
      </c>
      <c r="J42" s="7">
        <v>3</v>
      </c>
      <c r="K42" s="222">
        <v>6097672.5</v>
      </c>
      <c r="L42" s="234" t="s">
        <v>23</v>
      </c>
      <c r="M42" s="224" t="s">
        <v>368</v>
      </c>
      <c r="N42" s="225">
        <v>2168720.5</v>
      </c>
      <c r="O42" s="226">
        <v>7</v>
      </c>
      <c r="P42" s="227">
        <v>33</v>
      </c>
      <c r="Q42" s="226">
        <v>234</v>
      </c>
      <c r="R42" s="227">
        <v>2325</v>
      </c>
      <c r="S42" s="226">
        <v>21887</v>
      </c>
      <c r="T42" s="227">
        <v>232983</v>
      </c>
    </row>
    <row r="43" spans="1:21" x14ac:dyDescent="0.15">
      <c r="A43" s="178"/>
      <c r="B43" s="179">
        <v>41034</v>
      </c>
      <c r="C43" s="180" t="s">
        <v>363</v>
      </c>
      <c r="D43" s="19">
        <v>2</v>
      </c>
      <c r="E43" s="19">
        <v>3</v>
      </c>
      <c r="F43" s="19">
        <v>0</v>
      </c>
      <c r="G43" s="19">
        <v>1</v>
      </c>
      <c r="H43" s="19">
        <v>5</v>
      </c>
      <c r="I43" s="19">
        <v>8</v>
      </c>
      <c r="J43" s="13">
        <v>6</v>
      </c>
      <c r="K43" s="229">
        <v>14960715</v>
      </c>
      <c r="L43" s="237" t="s">
        <v>23</v>
      </c>
      <c r="M43" s="229" t="s">
        <v>368</v>
      </c>
      <c r="N43" s="231">
        <v>3232427.3</v>
      </c>
      <c r="O43" s="232">
        <v>9</v>
      </c>
      <c r="P43" s="233">
        <v>59</v>
      </c>
      <c r="Q43" s="232">
        <v>556</v>
      </c>
      <c r="R43" s="233">
        <v>5812</v>
      </c>
      <c r="S43" s="232">
        <v>55489</v>
      </c>
      <c r="T43" s="233">
        <v>576150</v>
      </c>
    </row>
    <row r="44" spans="1:21" x14ac:dyDescent="0.15">
      <c r="A44" s="172">
        <v>19</v>
      </c>
      <c r="B44" s="173">
        <v>41038</v>
      </c>
      <c r="C44" s="174" t="s">
        <v>362</v>
      </c>
      <c r="D44" s="27">
        <v>0</v>
      </c>
      <c r="E44" s="27">
        <v>5</v>
      </c>
      <c r="F44" s="27">
        <v>3</v>
      </c>
      <c r="G44" s="27">
        <v>7</v>
      </c>
      <c r="H44" s="27">
        <v>4</v>
      </c>
      <c r="I44" s="27">
        <v>3</v>
      </c>
      <c r="J44" s="7">
        <v>3</v>
      </c>
      <c r="K44" s="222">
        <v>6142317.5</v>
      </c>
      <c r="L44" s="234">
        <v>1</v>
      </c>
      <c r="M44" s="224">
        <v>3577777</v>
      </c>
      <c r="N44" s="225">
        <v>91369.1</v>
      </c>
      <c r="O44" s="226">
        <v>5</v>
      </c>
      <c r="P44" s="227">
        <v>22</v>
      </c>
      <c r="Q44" s="226">
        <v>210</v>
      </c>
      <c r="R44" s="227">
        <v>2335</v>
      </c>
      <c r="S44" s="226">
        <v>24664</v>
      </c>
      <c r="T44" s="227">
        <v>233215</v>
      </c>
    </row>
    <row r="45" spans="1:21" x14ac:dyDescent="0.15">
      <c r="A45" s="178"/>
      <c r="B45" s="179">
        <v>41041</v>
      </c>
      <c r="C45" s="180" t="s">
        <v>363</v>
      </c>
      <c r="D45" s="19">
        <v>7</v>
      </c>
      <c r="E45" s="19">
        <v>3</v>
      </c>
      <c r="F45" s="19">
        <v>0</v>
      </c>
      <c r="G45" s="19">
        <v>3</v>
      </c>
      <c r="H45" s="19">
        <v>3</v>
      </c>
      <c r="I45" s="19">
        <v>8</v>
      </c>
      <c r="J45" s="13">
        <v>8</v>
      </c>
      <c r="K45" s="229">
        <v>14770927.5</v>
      </c>
      <c r="L45" s="237" t="s">
        <v>23</v>
      </c>
      <c r="M45" s="229" t="s">
        <v>368</v>
      </c>
      <c r="N45" s="285">
        <v>1141582</v>
      </c>
      <c r="O45" s="232">
        <v>1</v>
      </c>
      <c r="P45" s="233">
        <v>68</v>
      </c>
      <c r="Q45" s="232">
        <v>620</v>
      </c>
      <c r="R45" s="233">
        <v>5896</v>
      </c>
      <c r="S45" s="232">
        <v>64107</v>
      </c>
      <c r="T45" s="233">
        <v>586358</v>
      </c>
    </row>
    <row r="46" spans="1:21" x14ac:dyDescent="0.15">
      <c r="A46" s="172">
        <v>20</v>
      </c>
      <c r="B46" s="173">
        <v>41045</v>
      </c>
      <c r="C46" s="174" t="s">
        <v>362</v>
      </c>
      <c r="D46" s="27">
        <v>6</v>
      </c>
      <c r="E46" s="27">
        <v>1</v>
      </c>
      <c r="F46" s="27">
        <v>9</v>
      </c>
      <c r="G46" s="27">
        <v>0</v>
      </c>
      <c r="H46" s="27">
        <v>3</v>
      </c>
      <c r="I46" s="27">
        <v>1</v>
      </c>
      <c r="J46" s="7">
        <v>1</v>
      </c>
      <c r="K46" s="222">
        <v>6341627.5</v>
      </c>
      <c r="L46" s="234" t="s">
        <v>23</v>
      </c>
      <c r="M46" s="222" t="s">
        <v>368</v>
      </c>
      <c r="N46" s="225">
        <v>1592471.7</v>
      </c>
      <c r="O46" s="226">
        <v>5</v>
      </c>
      <c r="P46" s="227">
        <v>21</v>
      </c>
      <c r="Q46" s="226">
        <v>166</v>
      </c>
      <c r="R46" s="227">
        <v>1981</v>
      </c>
      <c r="S46" s="226">
        <v>21362</v>
      </c>
      <c r="T46" s="227">
        <v>191980</v>
      </c>
    </row>
    <row r="47" spans="1:21" x14ac:dyDescent="0.15">
      <c r="A47" s="178"/>
      <c r="B47" s="179">
        <v>41048</v>
      </c>
      <c r="C47" s="180" t="s">
        <v>363</v>
      </c>
      <c r="D47" s="19">
        <v>1</v>
      </c>
      <c r="E47" s="19">
        <v>0</v>
      </c>
      <c r="F47" s="19">
        <v>7</v>
      </c>
      <c r="G47" s="19">
        <v>0</v>
      </c>
      <c r="H47" s="19">
        <v>6</v>
      </c>
      <c r="I47" s="19">
        <v>4</v>
      </c>
      <c r="J47" s="13">
        <v>5</v>
      </c>
      <c r="K47" s="229">
        <v>14567447.5</v>
      </c>
      <c r="L47" s="230">
        <v>2</v>
      </c>
      <c r="M47" s="286">
        <v>1277777</v>
      </c>
      <c r="N47" s="231">
        <v>72663.199999999997</v>
      </c>
      <c r="O47" s="232">
        <v>2</v>
      </c>
      <c r="P47" s="233">
        <v>66</v>
      </c>
      <c r="Q47" s="232">
        <v>653</v>
      </c>
      <c r="R47" s="233">
        <v>6662</v>
      </c>
      <c r="S47" s="232">
        <v>66236</v>
      </c>
      <c r="T47" s="233">
        <v>633856</v>
      </c>
    </row>
    <row r="48" spans="1:21" x14ac:dyDescent="0.15">
      <c r="A48" s="172">
        <v>21</v>
      </c>
      <c r="B48" s="173">
        <v>41052</v>
      </c>
      <c r="C48" s="174" t="s">
        <v>362</v>
      </c>
      <c r="D48" s="27">
        <v>6</v>
      </c>
      <c r="E48" s="27">
        <v>2</v>
      </c>
      <c r="F48" s="27">
        <v>4</v>
      </c>
      <c r="G48" s="27">
        <v>7</v>
      </c>
      <c r="H48" s="27">
        <v>0</v>
      </c>
      <c r="I48" s="27">
        <v>0</v>
      </c>
      <c r="J48" s="7">
        <v>7</v>
      </c>
      <c r="K48" s="222">
        <v>6327862.5</v>
      </c>
      <c r="L48" s="234">
        <v>1</v>
      </c>
      <c r="M48" s="224">
        <v>477777</v>
      </c>
      <c r="N48" s="285">
        <v>44797.2</v>
      </c>
      <c r="O48" s="226">
        <v>3</v>
      </c>
      <c r="P48" s="227">
        <v>22</v>
      </c>
      <c r="Q48" s="226">
        <v>285</v>
      </c>
      <c r="R48" s="227">
        <v>2549</v>
      </c>
      <c r="S48" s="226">
        <v>23254</v>
      </c>
      <c r="T48" s="227">
        <v>273940</v>
      </c>
    </row>
    <row r="49" spans="1:21" x14ac:dyDescent="0.15">
      <c r="A49" s="178"/>
      <c r="B49" s="179">
        <v>41055</v>
      </c>
      <c r="C49" s="180" t="s">
        <v>363</v>
      </c>
      <c r="D49" s="19">
        <v>5</v>
      </c>
      <c r="E49" s="19">
        <v>8</v>
      </c>
      <c r="F49" s="19">
        <v>6</v>
      </c>
      <c r="G49" s="19">
        <v>8</v>
      </c>
      <c r="H49" s="19">
        <v>1</v>
      </c>
      <c r="I49" s="19">
        <v>2</v>
      </c>
      <c r="J49" s="13">
        <v>8</v>
      </c>
      <c r="K49" s="229">
        <v>15320055</v>
      </c>
      <c r="L49" s="237" t="s">
        <v>23</v>
      </c>
      <c r="M49" s="229" t="s">
        <v>368</v>
      </c>
      <c r="N49" s="231">
        <v>1134053.1000000001</v>
      </c>
      <c r="O49" s="232">
        <v>5</v>
      </c>
      <c r="P49" s="233">
        <v>48</v>
      </c>
      <c r="Q49" s="232">
        <v>612</v>
      </c>
      <c r="R49" s="233">
        <v>6179</v>
      </c>
      <c r="S49" s="232">
        <v>61535</v>
      </c>
      <c r="T49" s="233">
        <v>614357</v>
      </c>
    </row>
    <row r="50" spans="1:21" x14ac:dyDescent="0.15">
      <c r="A50" s="172">
        <v>22</v>
      </c>
      <c r="B50" s="173">
        <v>41059</v>
      </c>
      <c r="C50" s="174" t="s">
        <v>362</v>
      </c>
      <c r="D50" s="27">
        <v>7</v>
      </c>
      <c r="E50" s="27">
        <v>0</v>
      </c>
      <c r="F50" s="27">
        <v>4</v>
      </c>
      <c r="G50" s="27">
        <v>5</v>
      </c>
      <c r="H50" s="27">
        <v>9</v>
      </c>
      <c r="I50" s="27">
        <v>8</v>
      </c>
      <c r="J50" s="7">
        <v>0</v>
      </c>
      <c r="K50" s="222">
        <v>5818017.5</v>
      </c>
      <c r="L50" s="234" t="s">
        <v>23</v>
      </c>
      <c r="M50" s="224" t="s">
        <v>368</v>
      </c>
      <c r="N50" s="225">
        <v>1547714.1</v>
      </c>
      <c r="O50" s="226">
        <v>2</v>
      </c>
      <c r="P50" s="227">
        <v>25</v>
      </c>
      <c r="Q50" s="226">
        <v>184</v>
      </c>
      <c r="R50" s="227">
        <v>1559</v>
      </c>
      <c r="S50" s="226">
        <v>16020</v>
      </c>
      <c r="T50" s="227">
        <v>163477</v>
      </c>
    </row>
    <row r="51" spans="1:21" x14ac:dyDescent="0.15">
      <c r="A51" s="178"/>
      <c r="B51" s="179">
        <v>41062</v>
      </c>
      <c r="C51" s="180" t="s">
        <v>363</v>
      </c>
      <c r="D51" s="19">
        <v>3</v>
      </c>
      <c r="E51" s="19">
        <v>6</v>
      </c>
      <c r="F51" s="19">
        <v>3</v>
      </c>
      <c r="G51" s="19">
        <v>0</v>
      </c>
      <c r="H51" s="19">
        <v>9</v>
      </c>
      <c r="I51" s="19">
        <v>0</v>
      </c>
      <c r="J51" s="13">
        <v>9</v>
      </c>
      <c r="K51" s="229">
        <v>14630520</v>
      </c>
      <c r="L51" s="237" t="s">
        <v>23</v>
      </c>
      <c r="M51" s="229" t="s">
        <v>368</v>
      </c>
      <c r="N51" s="231">
        <v>2587944.1</v>
      </c>
      <c r="O51" s="232">
        <v>3</v>
      </c>
      <c r="P51" s="233">
        <v>49</v>
      </c>
      <c r="Q51" s="232">
        <v>433</v>
      </c>
      <c r="R51" s="233">
        <v>4579</v>
      </c>
      <c r="S51" s="232">
        <v>43324</v>
      </c>
      <c r="T51" s="233">
        <v>501256</v>
      </c>
    </row>
    <row r="52" spans="1:21" x14ac:dyDescent="0.15">
      <c r="A52" s="172">
        <v>23</v>
      </c>
      <c r="B52" s="173">
        <v>41066</v>
      </c>
      <c r="C52" s="174" t="s">
        <v>362</v>
      </c>
      <c r="D52" s="27">
        <v>6</v>
      </c>
      <c r="E52" s="27">
        <v>5</v>
      </c>
      <c r="F52" s="27">
        <v>2</v>
      </c>
      <c r="G52" s="27">
        <v>7</v>
      </c>
      <c r="H52" s="27">
        <v>3</v>
      </c>
      <c r="I52" s="27">
        <v>3</v>
      </c>
      <c r="J52" s="7">
        <v>0</v>
      </c>
      <c r="K52" s="222">
        <v>6047972.5</v>
      </c>
      <c r="L52" s="234">
        <v>1</v>
      </c>
      <c r="M52" s="224">
        <v>2977777</v>
      </c>
      <c r="N52" s="225">
        <v>40177.9</v>
      </c>
      <c r="O52" s="226">
        <v>2</v>
      </c>
      <c r="P52" s="227">
        <v>17</v>
      </c>
      <c r="Q52" s="226">
        <v>165</v>
      </c>
      <c r="R52" s="227">
        <v>1628</v>
      </c>
      <c r="S52" s="226">
        <v>16592</v>
      </c>
      <c r="T52" s="227">
        <v>169927</v>
      </c>
    </row>
    <row r="53" spans="1:21" x14ac:dyDescent="0.15">
      <c r="A53" s="178"/>
      <c r="B53" s="179">
        <v>41069</v>
      </c>
      <c r="C53" s="180" t="s">
        <v>363</v>
      </c>
      <c r="D53" s="19">
        <v>0</v>
      </c>
      <c r="E53" s="19">
        <v>2</v>
      </c>
      <c r="F53" s="19">
        <v>1</v>
      </c>
      <c r="G53" s="19">
        <v>7</v>
      </c>
      <c r="H53" s="19">
        <v>5</v>
      </c>
      <c r="I53" s="19">
        <v>1</v>
      </c>
      <c r="J53" s="13">
        <v>4</v>
      </c>
      <c r="K53" s="229">
        <v>14286692.5</v>
      </c>
      <c r="L53" s="237">
        <v>1</v>
      </c>
      <c r="M53" s="229">
        <v>977777</v>
      </c>
      <c r="N53" s="231">
        <v>78184.7</v>
      </c>
      <c r="O53" s="232">
        <v>5</v>
      </c>
      <c r="P53" s="233">
        <v>54</v>
      </c>
      <c r="Q53" s="232">
        <v>425</v>
      </c>
      <c r="R53" s="233">
        <v>4686</v>
      </c>
      <c r="S53" s="232">
        <v>46829</v>
      </c>
      <c r="T53" s="233">
        <v>473416</v>
      </c>
    </row>
    <row r="54" spans="1:21" x14ac:dyDescent="0.15">
      <c r="A54" s="172">
        <v>24</v>
      </c>
      <c r="B54" s="173">
        <v>41073</v>
      </c>
      <c r="C54" s="174" t="s">
        <v>362</v>
      </c>
      <c r="D54" s="27">
        <v>6</v>
      </c>
      <c r="E54" s="27">
        <v>4</v>
      </c>
      <c r="F54" s="27">
        <v>9</v>
      </c>
      <c r="G54" s="27">
        <v>3</v>
      </c>
      <c r="H54" s="27">
        <v>5</v>
      </c>
      <c r="I54" s="27">
        <v>6</v>
      </c>
      <c r="J54" s="7">
        <v>7</v>
      </c>
      <c r="K54" s="222">
        <v>6070767.5</v>
      </c>
      <c r="L54" s="223" t="s">
        <v>23</v>
      </c>
      <c r="M54" s="224" t="s">
        <v>368</v>
      </c>
      <c r="N54" s="225">
        <v>509816.3</v>
      </c>
      <c r="O54" s="226">
        <v>5</v>
      </c>
      <c r="P54" s="227">
        <v>21</v>
      </c>
      <c r="Q54" s="226">
        <v>295</v>
      </c>
      <c r="R54" s="227">
        <v>2635</v>
      </c>
      <c r="S54" s="226">
        <v>25461</v>
      </c>
      <c r="T54" s="227">
        <v>262878</v>
      </c>
    </row>
    <row r="55" spans="1:21" x14ac:dyDescent="0.15">
      <c r="A55" s="178"/>
      <c r="B55" s="179">
        <v>41076</v>
      </c>
      <c r="C55" s="180" t="s">
        <v>363</v>
      </c>
      <c r="D55" s="19">
        <v>7</v>
      </c>
      <c r="E55" s="19">
        <v>8</v>
      </c>
      <c r="F55" s="19">
        <v>0</v>
      </c>
      <c r="G55" s="19">
        <v>0</v>
      </c>
      <c r="H55" s="19">
        <v>4</v>
      </c>
      <c r="I55" s="19">
        <v>4</v>
      </c>
      <c r="J55" s="13">
        <v>3</v>
      </c>
      <c r="K55" s="229">
        <v>14579242.5</v>
      </c>
      <c r="L55" s="230">
        <v>1</v>
      </c>
      <c r="M55" s="229">
        <v>1477777</v>
      </c>
      <c r="N55" s="231">
        <v>68623.399999999994</v>
      </c>
      <c r="O55" s="232">
        <v>3</v>
      </c>
      <c r="P55" s="233">
        <v>55</v>
      </c>
      <c r="Q55" s="232">
        <v>537</v>
      </c>
      <c r="R55" s="233">
        <v>5176</v>
      </c>
      <c r="S55" s="232">
        <v>52941</v>
      </c>
      <c r="T55" s="233">
        <v>532825</v>
      </c>
    </row>
    <row r="56" spans="1:21" x14ac:dyDescent="0.15">
      <c r="A56" s="172">
        <v>25</v>
      </c>
      <c r="B56" s="173">
        <v>41080</v>
      </c>
      <c r="C56" s="174" t="s">
        <v>362</v>
      </c>
      <c r="D56" s="27">
        <v>9</v>
      </c>
      <c r="E56" s="27">
        <v>8</v>
      </c>
      <c r="F56" s="27">
        <v>0</v>
      </c>
      <c r="G56" s="27">
        <v>6</v>
      </c>
      <c r="H56" s="27">
        <v>1</v>
      </c>
      <c r="I56" s="27">
        <v>6</v>
      </c>
      <c r="J56" s="7">
        <v>2</v>
      </c>
      <c r="K56" s="222">
        <v>5771672.5</v>
      </c>
      <c r="L56" s="234" t="s">
        <v>23</v>
      </c>
      <c r="M56" s="224" t="s">
        <v>368</v>
      </c>
      <c r="N56" s="225">
        <v>478989.3</v>
      </c>
      <c r="O56" s="226">
        <v>2</v>
      </c>
      <c r="P56" s="227">
        <v>11</v>
      </c>
      <c r="Q56" s="226">
        <v>186</v>
      </c>
      <c r="R56" s="227">
        <v>1793</v>
      </c>
      <c r="S56" s="226">
        <v>18174</v>
      </c>
      <c r="T56" s="227">
        <v>183867</v>
      </c>
      <c r="U56" s="240"/>
    </row>
    <row r="57" spans="1:21" x14ac:dyDescent="0.15">
      <c r="A57" s="178"/>
      <c r="B57" s="179">
        <v>41083</v>
      </c>
      <c r="C57" s="180" t="s">
        <v>363</v>
      </c>
      <c r="D57" s="19">
        <v>7</v>
      </c>
      <c r="E57" s="19">
        <v>6</v>
      </c>
      <c r="F57" s="19">
        <v>6</v>
      </c>
      <c r="G57" s="19">
        <v>3</v>
      </c>
      <c r="H57" s="19">
        <v>1</v>
      </c>
      <c r="I57" s="19">
        <v>7</v>
      </c>
      <c r="J57" s="13">
        <v>9</v>
      </c>
      <c r="K57" s="229">
        <v>14187100</v>
      </c>
      <c r="L57" s="230" t="s">
        <v>23</v>
      </c>
      <c r="M57" s="229" t="s">
        <v>368</v>
      </c>
      <c r="N57" s="231">
        <v>1487692.1</v>
      </c>
      <c r="O57" s="232">
        <v>7</v>
      </c>
      <c r="P57" s="233">
        <v>46</v>
      </c>
      <c r="Q57" s="232">
        <v>485</v>
      </c>
      <c r="R57" s="233">
        <v>4891</v>
      </c>
      <c r="S57" s="232">
        <v>48896</v>
      </c>
      <c r="T57" s="233">
        <v>480484</v>
      </c>
    </row>
    <row r="58" spans="1:21" x14ac:dyDescent="0.15">
      <c r="A58" s="172">
        <v>26</v>
      </c>
      <c r="B58" s="173">
        <v>41087</v>
      </c>
      <c r="C58" s="174" t="s">
        <v>362</v>
      </c>
      <c r="D58" s="27">
        <v>6</v>
      </c>
      <c r="E58" s="27">
        <v>1</v>
      </c>
      <c r="F58" s="27">
        <v>9</v>
      </c>
      <c r="G58" s="27">
        <v>3</v>
      </c>
      <c r="H58" s="27">
        <v>5</v>
      </c>
      <c r="I58" s="27">
        <v>8</v>
      </c>
      <c r="J58" s="7">
        <v>9</v>
      </c>
      <c r="K58" s="222">
        <v>5770412.5</v>
      </c>
      <c r="L58" s="223" t="s">
        <v>23</v>
      </c>
      <c r="M58" s="224" t="s">
        <v>368</v>
      </c>
      <c r="N58" s="225">
        <v>1897968.4</v>
      </c>
      <c r="O58" s="226">
        <v>1</v>
      </c>
      <c r="P58" s="227">
        <v>19</v>
      </c>
      <c r="Q58" s="226">
        <v>171</v>
      </c>
      <c r="R58" s="227">
        <v>1806</v>
      </c>
      <c r="S58" s="226">
        <v>18153</v>
      </c>
      <c r="T58" s="227">
        <v>186304</v>
      </c>
    </row>
    <row r="59" spans="1:21" x14ac:dyDescent="0.15">
      <c r="A59" s="178"/>
      <c r="B59" s="179">
        <v>41090</v>
      </c>
      <c r="C59" s="180" t="s">
        <v>363</v>
      </c>
      <c r="D59" s="38">
        <v>6</v>
      </c>
      <c r="E59" s="38">
        <v>2</v>
      </c>
      <c r="F59" s="38">
        <v>1</v>
      </c>
      <c r="G59" s="38">
        <v>6</v>
      </c>
      <c r="H59" s="38">
        <v>6</v>
      </c>
      <c r="I59" s="38">
        <v>8</v>
      </c>
      <c r="J59" s="39">
        <v>7</v>
      </c>
      <c r="K59" s="229">
        <v>14298870</v>
      </c>
      <c r="L59" s="230">
        <v>2</v>
      </c>
      <c r="M59" s="229">
        <v>1377777</v>
      </c>
      <c r="N59" s="231">
        <v>159064.1</v>
      </c>
      <c r="O59" s="232">
        <v>2</v>
      </c>
      <c r="P59" s="233">
        <v>51</v>
      </c>
      <c r="Q59" s="232">
        <v>636</v>
      </c>
      <c r="R59" s="233">
        <v>6377</v>
      </c>
      <c r="S59" s="232">
        <v>59331</v>
      </c>
      <c r="T59" s="233">
        <v>628405</v>
      </c>
      <c r="U59">
        <v>1931</v>
      </c>
    </row>
    <row r="60" spans="1:21" x14ac:dyDescent="0.15">
      <c r="A60" s="45"/>
      <c r="B60" s="46"/>
      <c r="C60" s="46"/>
      <c r="D60" s="276"/>
      <c r="E60" s="276"/>
      <c r="F60" s="276"/>
      <c r="G60" s="276"/>
      <c r="H60" s="276"/>
      <c r="I60" s="276" t="s">
        <v>24</v>
      </c>
      <c r="J60" s="276"/>
      <c r="K60" s="277"/>
      <c r="L60" s="278">
        <f>SUM(L8:L59)</f>
        <v>27</v>
      </c>
      <c r="M60" s="229"/>
      <c r="N60" s="278"/>
      <c r="O60" s="278">
        <f t="shared" ref="O60:T60" si="0">SUM(O8:O59)</f>
        <v>218</v>
      </c>
      <c r="P60" s="278">
        <f t="shared" si="0"/>
        <v>2134</v>
      </c>
      <c r="Q60" s="278">
        <f t="shared" si="0"/>
        <v>21790</v>
      </c>
      <c r="R60" s="278">
        <f t="shared" si="0"/>
        <v>220455</v>
      </c>
      <c r="S60" s="278">
        <f t="shared" si="0"/>
        <v>2164866</v>
      </c>
      <c r="T60" s="272">
        <f t="shared" si="0"/>
        <v>21805577</v>
      </c>
    </row>
    <row r="63" spans="1:21" x14ac:dyDescent="0.15">
      <c r="K63" s="254"/>
    </row>
    <row r="64" spans="1:21" ht="12.75" x14ac:dyDescent="0.2">
      <c r="A64" s="1" t="s">
        <v>364</v>
      </c>
      <c r="T64" s="3" t="s">
        <v>404</v>
      </c>
    </row>
    <row r="65" spans="1:21" ht="11.1" customHeight="1" x14ac:dyDescent="0.15">
      <c r="A65" s="6" t="s">
        <v>2</v>
      </c>
    </row>
    <row r="66" spans="1:21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1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1" ht="11.1" customHeight="1" x14ac:dyDescent="0.15">
      <c r="A68" s="13" t="s">
        <v>428</v>
      </c>
      <c r="B68" s="14">
        <v>2012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1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</row>
    <row r="70" spans="1:21" x14ac:dyDescent="0.15">
      <c r="A70" s="172">
        <v>27</v>
      </c>
      <c r="B70" s="173">
        <v>41094</v>
      </c>
      <c r="C70" s="174" t="s">
        <v>362</v>
      </c>
      <c r="D70" s="27">
        <v>4</v>
      </c>
      <c r="E70" s="27">
        <v>7</v>
      </c>
      <c r="F70" s="27">
        <v>7</v>
      </c>
      <c r="G70" s="27">
        <v>9</v>
      </c>
      <c r="H70" s="27">
        <v>1</v>
      </c>
      <c r="I70" s="27">
        <v>1</v>
      </c>
      <c r="J70" s="7">
        <v>1</v>
      </c>
      <c r="K70" s="222">
        <v>6032857.5</v>
      </c>
      <c r="L70" s="223" t="s">
        <v>23</v>
      </c>
      <c r="M70" s="224" t="s">
        <v>368</v>
      </c>
      <c r="N70" s="225">
        <v>588000.30000000005</v>
      </c>
      <c r="O70" s="226">
        <v>4</v>
      </c>
      <c r="P70" s="227">
        <v>23</v>
      </c>
      <c r="Q70" s="226">
        <v>244</v>
      </c>
      <c r="R70" s="227">
        <v>2677</v>
      </c>
      <c r="S70" s="226">
        <v>19079</v>
      </c>
      <c r="T70" s="227">
        <v>181329</v>
      </c>
      <c r="U70" s="240"/>
    </row>
    <row r="71" spans="1:21" x14ac:dyDescent="0.15">
      <c r="A71" s="178"/>
      <c r="B71" s="179">
        <v>41097</v>
      </c>
      <c r="C71" s="180" t="s">
        <v>363</v>
      </c>
      <c r="D71" s="19">
        <v>3</v>
      </c>
      <c r="E71" s="19">
        <v>9</v>
      </c>
      <c r="F71" s="19">
        <v>0</v>
      </c>
      <c r="G71" s="19">
        <v>1</v>
      </c>
      <c r="H71" s="19">
        <v>6</v>
      </c>
      <c r="I71" s="19">
        <v>8</v>
      </c>
      <c r="J71" s="13">
        <v>0</v>
      </c>
      <c r="K71" s="229">
        <v>14556960</v>
      </c>
      <c r="L71" s="230" t="s">
        <v>23</v>
      </c>
      <c r="M71" s="229" t="s">
        <v>368</v>
      </c>
      <c r="N71" s="231">
        <v>1623000.2</v>
      </c>
      <c r="O71" s="232">
        <v>6</v>
      </c>
      <c r="P71" s="233">
        <v>27</v>
      </c>
      <c r="Q71" s="232">
        <v>392</v>
      </c>
      <c r="R71" s="233">
        <v>3820</v>
      </c>
      <c r="S71" s="232">
        <v>39817</v>
      </c>
      <c r="T71" s="233">
        <v>396588</v>
      </c>
    </row>
    <row r="72" spans="1:21" x14ac:dyDescent="0.15">
      <c r="A72" s="172">
        <v>28</v>
      </c>
      <c r="B72" s="173">
        <v>41101</v>
      </c>
      <c r="C72" s="174" t="s">
        <v>362</v>
      </c>
      <c r="D72" s="27">
        <v>1</v>
      </c>
      <c r="E72" s="27">
        <v>0</v>
      </c>
      <c r="F72" s="27">
        <v>0</v>
      </c>
      <c r="G72" s="27">
        <v>7</v>
      </c>
      <c r="H72" s="27">
        <v>3</v>
      </c>
      <c r="I72" s="27">
        <v>4</v>
      </c>
      <c r="J72" s="7">
        <v>4</v>
      </c>
      <c r="K72" s="222">
        <v>6239372.5</v>
      </c>
      <c r="L72" s="223" t="s">
        <v>23</v>
      </c>
      <c r="M72" s="224" t="s">
        <v>368</v>
      </c>
      <c r="N72" s="225">
        <v>2066619.6</v>
      </c>
      <c r="O72" s="226">
        <v>1</v>
      </c>
      <c r="P72" s="227">
        <v>29</v>
      </c>
      <c r="Q72" s="226">
        <v>196</v>
      </c>
      <c r="R72" s="227">
        <v>2267</v>
      </c>
      <c r="S72" s="226">
        <v>22547</v>
      </c>
      <c r="T72" s="227">
        <v>205520</v>
      </c>
    </row>
    <row r="73" spans="1:21" x14ac:dyDescent="0.15">
      <c r="A73" s="178"/>
      <c r="B73" s="179">
        <v>41104</v>
      </c>
      <c r="C73" s="180" t="s">
        <v>363</v>
      </c>
      <c r="D73" s="19">
        <v>9</v>
      </c>
      <c r="E73" s="19">
        <v>2</v>
      </c>
      <c r="F73" s="19">
        <v>3</v>
      </c>
      <c r="G73" s="19">
        <v>7</v>
      </c>
      <c r="H73" s="19">
        <v>1</v>
      </c>
      <c r="I73" s="19">
        <v>7</v>
      </c>
      <c r="J73" s="13">
        <v>5</v>
      </c>
      <c r="K73" s="229">
        <v>15197410</v>
      </c>
      <c r="L73" s="237" t="s">
        <v>23</v>
      </c>
      <c r="M73" s="229" t="s">
        <v>368</v>
      </c>
      <c r="N73" s="231">
        <v>3147155.5</v>
      </c>
      <c r="O73" s="232">
        <v>3</v>
      </c>
      <c r="P73" s="233">
        <v>56</v>
      </c>
      <c r="Q73" s="232">
        <v>653</v>
      </c>
      <c r="R73" s="233">
        <v>6857</v>
      </c>
      <c r="S73" s="232">
        <v>68106</v>
      </c>
      <c r="T73" s="233">
        <v>653330</v>
      </c>
    </row>
    <row r="74" spans="1:21" x14ac:dyDescent="0.15">
      <c r="A74" s="172">
        <v>29</v>
      </c>
      <c r="B74" s="173">
        <v>41108</v>
      </c>
      <c r="C74" s="174" t="s">
        <v>362</v>
      </c>
      <c r="D74" s="27">
        <v>8</v>
      </c>
      <c r="E74" s="27">
        <v>3</v>
      </c>
      <c r="F74" s="27">
        <v>7</v>
      </c>
      <c r="G74" s="27">
        <v>2</v>
      </c>
      <c r="H74" s="27">
        <v>7</v>
      </c>
      <c r="I74" s="27">
        <v>7</v>
      </c>
      <c r="J74" s="7">
        <v>3</v>
      </c>
      <c r="K74" s="222">
        <v>6672375</v>
      </c>
      <c r="L74" s="223">
        <v>1</v>
      </c>
      <c r="M74" s="224">
        <v>3577777</v>
      </c>
      <c r="N74" s="225">
        <v>43784.4</v>
      </c>
      <c r="O74" s="236" t="s">
        <v>17</v>
      </c>
      <c r="P74" s="227">
        <v>23</v>
      </c>
      <c r="Q74" s="226">
        <v>261</v>
      </c>
      <c r="R74" s="227">
        <v>2444</v>
      </c>
      <c r="S74" s="226">
        <v>26320</v>
      </c>
      <c r="T74" s="227">
        <v>256377</v>
      </c>
    </row>
    <row r="75" spans="1:21" x14ac:dyDescent="0.15">
      <c r="A75" s="178"/>
      <c r="B75" s="179">
        <v>41111</v>
      </c>
      <c r="C75" s="180" t="s">
        <v>363</v>
      </c>
      <c r="D75" s="19">
        <v>8</v>
      </c>
      <c r="E75" s="19">
        <v>8</v>
      </c>
      <c r="F75" s="19">
        <v>8</v>
      </c>
      <c r="G75" s="19">
        <v>1</v>
      </c>
      <c r="H75" s="19">
        <v>4</v>
      </c>
      <c r="I75" s="19">
        <v>1</v>
      </c>
      <c r="J75" s="13">
        <v>4</v>
      </c>
      <c r="K75" s="229">
        <v>15407397.5</v>
      </c>
      <c r="L75" s="230">
        <v>2</v>
      </c>
      <c r="M75" s="229">
        <v>477777</v>
      </c>
      <c r="N75" s="231">
        <v>183696.4</v>
      </c>
      <c r="O75" s="232">
        <v>3</v>
      </c>
      <c r="P75" s="233">
        <v>70</v>
      </c>
      <c r="Q75" s="232">
        <v>553</v>
      </c>
      <c r="R75" s="233">
        <v>5056</v>
      </c>
      <c r="S75" s="232">
        <v>50910</v>
      </c>
      <c r="T75" s="233">
        <v>513426</v>
      </c>
    </row>
    <row r="76" spans="1:21" x14ac:dyDescent="0.15">
      <c r="A76" s="172">
        <v>30</v>
      </c>
      <c r="B76" s="173">
        <v>41115</v>
      </c>
      <c r="C76" s="174" t="s">
        <v>362</v>
      </c>
      <c r="D76" s="27">
        <v>8</v>
      </c>
      <c r="E76" s="27">
        <v>7</v>
      </c>
      <c r="F76" s="27">
        <v>1</v>
      </c>
      <c r="G76" s="27">
        <v>3</v>
      </c>
      <c r="H76" s="27">
        <v>6</v>
      </c>
      <c r="I76" s="27">
        <v>4</v>
      </c>
      <c r="J76" s="7">
        <v>7</v>
      </c>
      <c r="K76" s="222">
        <v>5836212.5</v>
      </c>
      <c r="L76" s="223" t="s">
        <v>23</v>
      </c>
      <c r="M76" s="224" t="s">
        <v>368</v>
      </c>
      <c r="N76" s="225">
        <v>598651.1</v>
      </c>
      <c r="O76" s="226">
        <v>2</v>
      </c>
      <c r="P76" s="227">
        <v>21</v>
      </c>
      <c r="Q76" s="226">
        <v>278</v>
      </c>
      <c r="R76" s="227">
        <v>2687</v>
      </c>
      <c r="S76" s="226">
        <v>26318</v>
      </c>
      <c r="T76" s="227">
        <v>254263</v>
      </c>
    </row>
    <row r="77" spans="1:21" x14ac:dyDescent="0.15">
      <c r="A77" s="178"/>
      <c r="B77" s="179">
        <v>41118</v>
      </c>
      <c r="C77" s="180" t="s">
        <v>363</v>
      </c>
      <c r="D77" s="19">
        <v>5</v>
      </c>
      <c r="E77" s="19">
        <v>4</v>
      </c>
      <c r="F77" s="19">
        <v>6</v>
      </c>
      <c r="G77" s="19">
        <v>8</v>
      </c>
      <c r="H77" s="19">
        <v>9</v>
      </c>
      <c r="I77" s="19">
        <v>8</v>
      </c>
      <c r="J77" s="13">
        <v>3</v>
      </c>
      <c r="K77" s="229">
        <v>14098827.5</v>
      </c>
      <c r="L77" s="230" t="s">
        <v>23</v>
      </c>
      <c r="M77" s="229" t="s">
        <v>368</v>
      </c>
      <c r="N77" s="231">
        <v>1601077.7</v>
      </c>
      <c r="O77" s="232">
        <v>7</v>
      </c>
      <c r="P77" s="233">
        <v>46</v>
      </c>
      <c r="Q77" s="232">
        <v>531</v>
      </c>
      <c r="R77" s="233">
        <v>5151</v>
      </c>
      <c r="S77" s="232">
        <v>49032</v>
      </c>
      <c r="T77" s="233">
        <v>520575</v>
      </c>
    </row>
    <row r="78" spans="1:21" x14ac:dyDescent="0.15">
      <c r="A78" s="172">
        <v>31</v>
      </c>
      <c r="B78" s="173">
        <v>41122</v>
      </c>
      <c r="C78" s="174" t="s">
        <v>362</v>
      </c>
      <c r="D78" s="27">
        <v>9</v>
      </c>
      <c r="E78" s="27">
        <v>7</v>
      </c>
      <c r="F78" s="27">
        <v>8</v>
      </c>
      <c r="G78" s="27">
        <v>6</v>
      </c>
      <c r="H78" s="27">
        <v>5</v>
      </c>
      <c r="I78" s="27">
        <v>3</v>
      </c>
      <c r="J78" s="7">
        <v>1</v>
      </c>
      <c r="K78" s="222">
        <v>5851357.5</v>
      </c>
      <c r="L78" s="223" t="s">
        <v>23</v>
      </c>
      <c r="M78" s="224" t="s">
        <v>368</v>
      </c>
      <c r="N78" s="225">
        <v>2017109.2</v>
      </c>
      <c r="O78" s="226">
        <v>2</v>
      </c>
      <c r="P78" s="227">
        <v>20</v>
      </c>
      <c r="Q78" s="226">
        <v>162</v>
      </c>
      <c r="R78" s="227">
        <v>1863</v>
      </c>
      <c r="S78" s="226">
        <v>18554</v>
      </c>
      <c r="T78" s="227">
        <v>177777</v>
      </c>
    </row>
    <row r="79" spans="1:21" x14ac:dyDescent="0.15">
      <c r="A79" s="178"/>
      <c r="B79" s="179">
        <v>41125</v>
      </c>
      <c r="C79" s="180" t="s">
        <v>363</v>
      </c>
      <c r="D79" s="19">
        <v>3</v>
      </c>
      <c r="E79" s="19">
        <v>5</v>
      </c>
      <c r="F79" s="19">
        <v>0</v>
      </c>
      <c r="G79" s="19">
        <v>4</v>
      </c>
      <c r="H79" s="19">
        <v>6</v>
      </c>
      <c r="I79" s="19">
        <v>2</v>
      </c>
      <c r="J79" s="13">
        <v>7</v>
      </c>
      <c r="K79" s="229">
        <v>14352605</v>
      </c>
      <c r="L79" s="230" t="s">
        <v>23</v>
      </c>
      <c r="M79" s="229" t="s">
        <v>368</v>
      </c>
      <c r="N79" s="231">
        <v>3037579.4</v>
      </c>
      <c r="O79" s="232">
        <v>4</v>
      </c>
      <c r="P79" s="233">
        <v>68</v>
      </c>
      <c r="Q79" s="232">
        <v>632</v>
      </c>
      <c r="R79" s="233">
        <v>6496</v>
      </c>
      <c r="S79" s="232">
        <v>64295</v>
      </c>
      <c r="T79" s="233">
        <v>624861</v>
      </c>
    </row>
    <row r="80" spans="1:21" x14ac:dyDescent="0.15">
      <c r="A80" s="172">
        <v>32</v>
      </c>
      <c r="B80" s="173">
        <v>41129</v>
      </c>
      <c r="C80" s="174" t="s">
        <v>362</v>
      </c>
      <c r="D80" s="27">
        <v>9</v>
      </c>
      <c r="E80" s="27">
        <v>0</v>
      </c>
      <c r="F80" s="27">
        <v>3</v>
      </c>
      <c r="G80" s="27">
        <v>3</v>
      </c>
      <c r="H80" s="27">
        <v>9</v>
      </c>
      <c r="I80" s="27">
        <v>1</v>
      </c>
      <c r="J80" s="7">
        <v>6</v>
      </c>
      <c r="K80" s="222">
        <v>6075097.5</v>
      </c>
      <c r="L80" s="234" t="s">
        <v>23</v>
      </c>
      <c r="M80" s="224" t="s">
        <v>368</v>
      </c>
      <c r="N80" s="225">
        <v>3469518.8</v>
      </c>
      <c r="O80" s="236">
        <v>1</v>
      </c>
      <c r="P80" s="227">
        <v>21</v>
      </c>
      <c r="Q80" s="226">
        <v>235</v>
      </c>
      <c r="R80" s="227">
        <v>2136</v>
      </c>
      <c r="S80" s="226">
        <v>21637</v>
      </c>
      <c r="T80" s="227">
        <v>236249</v>
      </c>
    </row>
    <row r="81" spans="1:20" x14ac:dyDescent="0.15">
      <c r="A81" s="178"/>
      <c r="B81" s="179">
        <v>41132</v>
      </c>
      <c r="C81" s="180" t="s">
        <v>363</v>
      </c>
      <c r="D81" s="19">
        <v>2</v>
      </c>
      <c r="E81" s="19">
        <v>1</v>
      </c>
      <c r="F81" s="19">
        <v>8</v>
      </c>
      <c r="G81" s="19">
        <v>5</v>
      </c>
      <c r="H81" s="19">
        <v>9</v>
      </c>
      <c r="I81" s="19">
        <v>9</v>
      </c>
      <c r="J81" s="13">
        <v>6</v>
      </c>
      <c r="K81" s="229">
        <v>14380035</v>
      </c>
      <c r="L81" s="230" t="s">
        <v>23</v>
      </c>
      <c r="M81" s="229" t="s">
        <v>368</v>
      </c>
      <c r="N81" s="231">
        <v>4491939.3</v>
      </c>
      <c r="O81" s="232">
        <v>4</v>
      </c>
      <c r="P81" s="233">
        <v>46</v>
      </c>
      <c r="Q81" s="232">
        <v>552</v>
      </c>
      <c r="R81" s="233">
        <v>5136</v>
      </c>
      <c r="S81" s="232">
        <v>53979</v>
      </c>
      <c r="T81" s="233">
        <v>550363</v>
      </c>
    </row>
    <row r="82" spans="1:20" x14ac:dyDescent="0.15">
      <c r="A82" s="172">
        <v>33</v>
      </c>
      <c r="B82" s="173">
        <v>41136</v>
      </c>
      <c r="C82" s="174" t="s">
        <v>362</v>
      </c>
      <c r="D82" s="27">
        <v>2</v>
      </c>
      <c r="E82" s="27">
        <v>0</v>
      </c>
      <c r="F82" s="27">
        <v>2</v>
      </c>
      <c r="G82" s="27">
        <v>6</v>
      </c>
      <c r="H82" s="27">
        <v>8</v>
      </c>
      <c r="I82" s="27">
        <v>1</v>
      </c>
      <c r="J82" s="7">
        <v>8</v>
      </c>
      <c r="K82" s="222">
        <v>6022590</v>
      </c>
      <c r="L82" s="223" t="s">
        <v>23</v>
      </c>
      <c r="M82" s="279" t="s">
        <v>368</v>
      </c>
      <c r="N82" s="225">
        <v>4920145.4000000004</v>
      </c>
      <c r="O82" s="226" t="s">
        <v>17</v>
      </c>
      <c r="P82" s="227">
        <v>19</v>
      </c>
      <c r="Q82" s="226">
        <v>231</v>
      </c>
      <c r="R82" s="227">
        <v>2346</v>
      </c>
      <c r="S82" s="226">
        <v>22443</v>
      </c>
      <c r="T82" s="227">
        <v>235422</v>
      </c>
    </row>
    <row r="83" spans="1:20" x14ac:dyDescent="0.15">
      <c r="A83" s="178"/>
      <c r="B83" s="179">
        <v>41139</v>
      </c>
      <c r="C83" s="180" t="s">
        <v>363</v>
      </c>
      <c r="D83" s="19">
        <v>6</v>
      </c>
      <c r="E83" s="19">
        <v>5</v>
      </c>
      <c r="F83" s="19">
        <v>6</v>
      </c>
      <c r="G83" s="19">
        <v>7</v>
      </c>
      <c r="H83" s="19">
        <v>3</v>
      </c>
      <c r="I83" s="19">
        <v>3</v>
      </c>
      <c r="J83" s="13">
        <v>2</v>
      </c>
      <c r="K83" s="229">
        <v>14525687.5</v>
      </c>
      <c r="L83" s="230">
        <v>3</v>
      </c>
      <c r="M83" s="229">
        <v>1977777</v>
      </c>
      <c r="N83" s="231">
        <v>19590.8</v>
      </c>
      <c r="O83" s="232">
        <v>6</v>
      </c>
      <c r="P83" s="233">
        <v>46</v>
      </c>
      <c r="Q83" s="232">
        <v>451</v>
      </c>
      <c r="R83" s="233">
        <v>4397</v>
      </c>
      <c r="S83" s="232">
        <v>47400</v>
      </c>
      <c r="T83" s="233">
        <v>469339</v>
      </c>
    </row>
    <row r="84" spans="1:20" x14ac:dyDescent="0.15">
      <c r="A84" s="172">
        <v>34</v>
      </c>
      <c r="B84" s="173">
        <v>41143</v>
      </c>
      <c r="C84" s="174" t="s">
        <v>362</v>
      </c>
      <c r="D84" s="27">
        <v>9</v>
      </c>
      <c r="E84" s="27">
        <v>7</v>
      </c>
      <c r="F84" s="27">
        <v>6</v>
      </c>
      <c r="G84" s="27">
        <v>4</v>
      </c>
      <c r="H84" s="27">
        <v>6</v>
      </c>
      <c r="I84" s="27">
        <v>3</v>
      </c>
      <c r="J84" s="7">
        <v>8</v>
      </c>
      <c r="K84" s="222">
        <v>6094067.5</v>
      </c>
      <c r="L84" s="223" t="s">
        <v>23</v>
      </c>
      <c r="M84" s="224" t="s">
        <v>368</v>
      </c>
      <c r="N84" s="225">
        <v>452879</v>
      </c>
      <c r="O84" s="226">
        <v>4</v>
      </c>
      <c r="P84" s="227">
        <v>18</v>
      </c>
      <c r="Q84" s="226">
        <v>260</v>
      </c>
      <c r="R84" s="227">
        <v>2454</v>
      </c>
      <c r="S84" s="226">
        <v>23553</v>
      </c>
      <c r="T84" s="227">
        <v>236870</v>
      </c>
    </row>
    <row r="85" spans="1:20" x14ac:dyDescent="0.15">
      <c r="A85" s="178"/>
      <c r="B85" s="179">
        <v>41146</v>
      </c>
      <c r="C85" s="180" t="s">
        <v>363</v>
      </c>
      <c r="D85" s="19">
        <v>4</v>
      </c>
      <c r="E85" s="19">
        <v>4</v>
      </c>
      <c r="F85" s="19">
        <v>9</v>
      </c>
      <c r="G85" s="19">
        <v>6</v>
      </c>
      <c r="H85" s="19">
        <v>3</v>
      </c>
      <c r="I85" s="19">
        <v>3</v>
      </c>
      <c r="J85" s="13">
        <v>6</v>
      </c>
      <c r="K85" s="229">
        <v>14607782.5</v>
      </c>
      <c r="L85" s="230">
        <v>1</v>
      </c>
      <c r="M85" s="229">
        <v>1477777</v>
      </c>
      <c r="N85" s="231">
        <v>13715.3</v>
      </c>
      <c r="O85" s="232">
        <v>8</v>
      </c>
      <c r="P85" s="233">
        <v>56</v>
      </c>
      <c r="Q85" s="232">
        <v>556</v>
      </c>
      <c r="R85" s="233">
        <v>5616</v>
      </c>
      <c r="S85" s="232">
        <v>58399</v>
      </c>
      <c r="T85" s="233">
        <v>557041</v>
      </c>
    </row>
    <row r="86" spans="1:20" x14ac:dyDescent="0.15">
      <c r="A86" s="172">
        <v>35</v>
      </c>
      <c r="B86" s="173">
        <v>41150</v>
      </c>
      <c r="C86" s="174" t="s">
        <v>362</v>
      </c>
      <c r="D86" s="27">
        <v>0</v>
      </c>
      <c r="E86" s="27">
        <v>2</v>
      </c>
      <c r="F86" s="27">
        <v>5</v>
      </c>
      <c r="G86" s="27">
        <v>5</v>
      </c>
      <c r="H86" s="27">
        <v>6</v>
      </c>
      <c r="I86" s="27">
        <v>1</v>
      </c>
      <c r="J86" s="7">
        <v>4</v>
      </c>
      <c r="K86" s="222">
        <v>6441440</v>
      </c>
      <c r="L86" s="223" t="s">
        <v>23</v>
      </c>
      <c r="M86" s="224" t="s">
        <v>368</v>
      </c>
      <c r="N86" s="225">
        <v>471701.7</v>
      </c>
      <c r="O86" s="226">
        <v>2</v>
      </c>
      <c r="P86" s="227">
        <v>26</v>
      </c>
      <c r="Q86" s="226">
        <v>180</v>
      </c>
      <c r="R86" s="227">
        <v>2279</v>
      </c>
      <c r="S86" s="226">
        <v>21652</v>
      </c>
      <c r="T86" s="227">
        <v>215028</v>
      </c>
    </row>
    <row r="87" spans="1:20" x14ac:dyDescent="0.15">
      <c r="A87" s="178"/>
      <c r="B87" s="179">
        <v>41153</v>
      </c>
      <c r="C87" s="180" t="s">
        <v>363</v>
      </c>
      <c r="D87" s="19">
        <v>4</v>
      </c>
      <c r="E87" s="19">
        <v>7</v>
      </c>
      <c r="F87" s="19">
        <v>7</v>
      </c>
      <c r="G87" s="19">
        <v>7</v>
      </c>
      <c r="H87" s="19">
        <v>8</v>
      </c>
      <c r="I87" s="19">
        <v>0</v>
      </c>
      <c r="J87" s="13">
        <v>5</v>
      </c>
      <c r="K87" s="229">
        <v>15712950</v>
      </c>
      <c r="L87" s="230">
        <v>1</v>
      </c>
      <c r="M87" s="229">
        <v>1577777</v>
      </c>
      <c r="N87" s="231">
        <v>11115.4</v>
      </c>
      <c r="O87" s="232">
        <v>5</v>
      </c>
      <c r="P87" s="233">
        <v>57</v>
      </c>
      <c r="Q87" s="232">
        <v>567</v>
      </c>
      <c r="R87" s="233">
        <v>5788</v>
      </c>
      <c r="S87" s="232">
        <v>56404</v>
      </c>
      <c r="T87" s="233">
        <v>684728</v>
      </c>
    </row>
    <row r="88" spans="1:20" x14ac:dyDescent="0.15">
      <c r="A88" s="172">
        <v>36</v>
      </c>
      <c r="B88" s="173">
        <v>41157</v>
      </c>
      <c r="C88" s="174" t="s">
        <v>362</v>
      </c>
      <c r="D88" s="27">
        <v>8</v>
      </c>
      <c r="E88" s="27">
        <v>5</v>
      </c>
      <c r="F88" s="27">
        <v>2</v>
      </c>
      <c r="G88" s="27">
        <v>5</v>
      </c>
      <c r="H88" s="27">
        <v>6</v>
      </c>
      <c r="I88" s="27">
        <v>1</v>
      </c>
      <c r="J88" s="7">
        <v>7</v>
      </c>
      <c r="K88" s="222">
        <v>6054945</v>
      </c>
      <c r="L88" s="234">
        <v>1</v>
      </c>
      <c r="M88" s="224">
        <v>377777</v>
      </c>
      <c r="N88" s="225">
        <v>63845</v>
      </c>
      <c r="O88" s="226">
        <v>1</v>
      </c>
      <c r="P88" s="227">
        <v>16</v>
      </c>
      <c r="Q88" s="226">
        <v>242</v>
      </c>
      <c r="R88" s="227">
        <v>2539</v>
      </c>
      <c r="S88" s="226">
        <v>25715</v>
      </c>
      <c r="T88" s="227">
        <v>263775</v>
      </c>
    </row>
    <row r="89" spans="1:20" x14ac:dyDescent="0.15">
      <c r="A89" s="178"/>
      <c r="B89" s="179">
        <v>41160</v>
      </c>
      <c r="C89" s="180" t="s">
        <v>363</v>
      </c>
      <c r="D89" s="19">
        <v>7</v>
      </c>
      <c r="E89" s="19">
        <v>0</v>
      </c>
      <c r="F89" s="19">
        <v>6</v>
      </c>
      <c r="G89" s="19">
        <v>1</v>
      </c>
      <c r="H89" s="19">
        <v>9</v>
      </c>
      <c r="I89" s="19">
        <v>1</v>
      </c>
      <c r="J89" s="13">
        <v>6</v>
      </c>
      <c r="K89" s="229">
        <v>14473382.5</v>
      </c>
      <c r="L89" s="237" t="s">
        <v>23</v>
      </c>
      <c r="M89" s="229" t="s">
        <v>368</v>
      </c>
      <c r="N89" s="231">
        <v>1092902.5</v>
      </c>
      <c r="O89" s="232">
        <v>4</v>
      </c>
      <c r="P89" s="233">
        <v>51</v>
      </c>
      <c r="Q89" s="232">
        <v>528</v>
      </c>
      <c r="R89" s="233">
        <v>5158</v>
      </c>
      <c r="S89" s="232">
        <v>52218</v>
      </c>
      <c r="T89" s="233">
        <v>563540</v>
      </c>
    </row>
    <row r="90" spans="1:20" x14ac:dyDescent="0.15">
      <c r="A90" s="172">
        <v>37</v>
      </c>
      <c r="B90" s="173">
        <v>41164</v>
      </c>
      <c r="C90" s="174" t="s">
        <v>362</v>
      </c>
      <c r="D90" s="27">
        <v>4</v>
      </c>
      <c r="E90" s="27">
        <v>0</v>
      </c>
      <c r="F90" s="27">
        <v>5</v>
      </c>
      <c r="G90" s="27">
        <v>8</v>
      </c>
      <c r="H90" s="27">
        <v>3</v>
      </c>
      <c r="I90" s="27">
        <v>4</v>
      </c>
      <c r="J90" s="7">
        <v>3</v>
      </c>
      <c r="K90" s="222">
        <v>5853245</v>
      </c>
      <c r="L90" s="234">
        <v>1</v>
      </c>
      <c r="M90" s="224">
        <v>1477777</v>
      </c>
      <c r="N90" s="225">
        <v>31291.200000000001</v>
      </c>
      <c r="O90" s="226">
        <v>1</v>
      </c>
      <c r="P90" s="227">
        <v>25</v>
      </c>
      <c r="Q90" s="226">
        <v>228</v>
      </c>
      <c r="R90" s="227">
        <v>2295</v>
      </c>
      <c r="S90" s="226">
        <v>22608</v>
      </c>
      <c r="T90" s="227">
        <v>229349</v>
      </c>
    </row>
    <row r="91" spans="1:20" x14ac:dyDescent="0.15">
      <c r="A91" s="178"/>
      <c r="B91" s="179">
        <v>41167</v>
      </c>
      <c r="C91" s="180" t="s">
        <v>363</v>
      </c>
      <c r="D91" s="19">
        <v>1</v>
      </c>
      <c r="E91" s="19">
        <v>1</v>
      </c>
      <c r="F91" s="19">
        <v>6</v>
      </c>
      <c r="G91" s="19">
        <v>9</v>
      </c>
      <c r="H91" s="19">
        <v>1</v>
      </c>
      <c r="I91" s="19">
        <v>0</v>
      </c>
      <c r="J91" s="13">
        <v>4</v>
      </c>
      <c r="K91" s="229">
        <v>14362390</v>
      </c>
      <c r="L91" s="230" t="s">
        <v>23</v>
      </c>
      <c r="M91" s="229" t="s">
        <v>368</v>
      </c>
      <c r="N91" s="231">
        <v>1052457.1000000001</v>
      </c>
      <c r="O91" s="232">
        <v>5</v>
      </c>
      <c r="P91" s="233">
        <v>32</v>
      </c>
      <c r="Q91" s="232">
        <v>421</v>
      </c>
      <c r="R91" s="233">
        <v>4360</v>
      </c>
      <c r="S91" s="232">
        <v>41820</v>
      </c>
      <c r="T91" s="233">
        <v>483914</v>
      </c>
    </row>
    <row r="92" spans="1:20" x14ac:dyDescent="0.15">
      <c r="A92" s="172">
        <v>38</v>
      </c>
      <c r="B92" s="173">
        <v>41171</v>
      </c>
      <c r="C92" s="174" t="s">
        <v>362</v>
      </c>
      <c r="D92" s="27">
        <v>2</v>
      </c>
      <c r="E92" s="27">
        <v>1</v>
      </c>
      <c r="F92" s="27">
        <v>8</v>
      </c>
      <c r="G92" s="27">
        <v>6</v>
      </c>
      <c r="H92" s="27">
        <v>5</v>
      </c>
      <c r="I92" s="27">
        <v>1</v>
      </c>
      <c r="J92" s="7">
        <v>3</v>
      </c>
      <c r="K92" s="222">
        <v>6034302.5</v>
      </c>
      <c r="L92" s="223" t="s">
        <v>23</v>
      </c>
      <c r="M92" s="224" t="s">
        <v>368</v>
      </c>
      <c r="N92" s="225">
        <v>1481496</v>
      </c>
      <c r="O92" s="226">
        <v>4</v>
      </c>
      <c r="P92" s="226">
        <v>27</v>
      </c>
      <c r="Q92" s="227">
        <v>287</v>
      </c>
      <c r="R92" s="226">
        <v>2706</v>
      </c>
      <c r="S92" s="227">
        <v>27901</v>
      </c>
      <c r="T92" s="226">
        <v>233027</v>
      </c>
    </row>
    <row r="93" spans="1:20" x14ac:dyDescent="0.15">
      <c r="A93" s="178"/>
      <c r="B93" s="179">
        <v>41174</v>
      </c>
      <c r="C93" s="180" t="s">
        <v>363</v>
      </c>
      <c r="D93" s="19">
        <v>7</v>
      </c>
      <c r="E93" s="19">
        <v>2</v>
      </c>
      <c r="F93" s="19">
        <v>6</v>
      </c>
      <c r="G93" s="19">
        <v>9</v>
      </c>
      <c r="H93" s="19">
        <v>5</v>
      </c>
      <c r="I93" s="19">
        <v>3</v>
      </c>
      <c r="J93" s="13">
        <v>4</v>
      </c>
      <c r="K93" s="229">
        <v>14541397.5</v>
      </c>
      <c r="L93" s="237">
        <v>1</v>
      </c>
      <c r="M93" s="229">
        <v>2477777</v>
      </c>
      <c r="N93" s="231">
        <v>37612.400000000001</v>
      </c>
      <c r="O93" s="232">
        <v>3</v>
      </c>
      <c r="P93" s="232">
        <v>49</v>
      </c>
      <c r="Q93" s="233">
        <v>493</v>
      </c>
      <c r="R93" s="232">
        <v>4901</v>
      </c>
      <c r="S93" s="233">
        <v>49631</v>
      </c>
      <c r="T93" s="232">
        <v>484936</v>
      </c>
    </row>
    <row r="94" spans="1:20" x14ac:dyDescent="0.15">
      <c r="A94" s="172">
        <v>39</v>
      </c>
      <c r="B94" s="173">
        <v>41178</v>
      </c>
      <c r="C94" s="174" t="s">
        <v>362</v>
      </c>
      <c r="D94" s="27">
        <v>3</v>
      </c>
      <c r="E94" s="27">
        <v>0</v>
      </c>
      <c r="F94" s="27">
        <v>2</v>
      </c>
      <c r="G94" s="27">
        <v>0</v>
      </c>
      <c r="H94" s="27">
        <v>5</v>
      </c>
      <c r="I94" s="27">
        <v>3</v>
      </c>
      <c r="J94" s="7">
        <v>5</v>
      </c>
      <c r="K94" s="222">
        <v>6303210</v>
      </c>
      <c r="L94" s="234" t="s">
        <v>23</v>
      </c>
      <c r="M94" s="224" t="s">
        <v>368</v>
      </c>
      <c r="N94" s="225">
        <v>485770.6</v>
      </c>
      <c r="O94" s="226">
        <v>5</v>
      </c>
      <c r="P94" s="226">
        <v>25</v>
      </c>
      <c r="Q94" s="227">
        <v>253</v>
      </c>
      <c r="R94" s="226">
        <v>2867</v>
      </c>
      <c r="S94" s="227">
        <v>26182</v>
      </c>
      <c r="T94" s="226">
        <v>265298</v>
      </c>
    </row>
    <row r="95" spans="1:20" x14ac:dyDescent="0.15">
      <c r="A95" s="178"/>
      <c r="B95" s="179">
        <v>41181</v>
      </c>
      <c r="C95" s="180" t="s">
        <v>363</v>
      </c>
      <c r="D95" s="19">
        <v>7</v>
      </c>
      <c r="E95" s="19">
        <v>3</v>
      </c>
      <c r="F95" s="19">
        <v>7</v>
      </c>
      <c r="G95" s="19">
        <v>1</v>
      </c>
      <c r="H95" s="19">
        <v>5</v>
      </c>
      <c r="I95" s="19">
        <v>8</v>
      </c>
      <c r="J95" s="13">
        <v>7</v>
      </c>
      <c r="K95" s="229">
        <v>15579905</v>
      </c>
      <c r="L95" s="230" t="s">
        <v>23</v>
      </c>
      <c r="M95" s="229" t="s">
        <v>368</v>
      </c>
      <c r="N95" s="231">
        <v>1593501.8</v>
      </c>
      <c r="O95" s="232">
        <v>5</v>
      </c>
      <c r="P95" s="233">
        <v>74</v>
      </c>
      <c r="Q95" s="232">
        <v>686</v>
      </c>
      <c r="R95" s="233">
        <v>6541</v>
      </c>
      <c r="S95" s="232">
        <v>64708</v>
      </c>
      <c r="T95" s="233">
        <v>675448</v>
      </c>
    </row>
    <row r="96" spans="1:20" x14ac:dyDescent="0.15">
      <c r="A96" s="172">
        <v>40</v>
      </c>
      <c r="B96" s="173">
        <v>41185</v>
      </c>
      <c r="C96" s="174" t="s">
        <v>362</v>
      </c>
      <c r="D96" s="27">
        <v>2</v>
      </c>
      <c r="E96" s="27">
        <v>4</v>
      </c>
      <c r="F96" s="27">
        <v>5</v>
      </c>
      <c r="G96" s="27">
        <v>4</v>
      </c>
      <c r="H96" s="27">
        <v>9</v>
      </c>
      <c r="I96" s="27">
        <v>7</v>
      </c>
      <c r="J96" s="7">
        <v>5</v>
      </c>
      <c r="K96" s="222">
        <v>6774602.5</v>
      </c>
      <c r="L96" s="234">
        <v>1</v>
      </c>
      <c r="M96" s="224">
        <v>1977777</v>
      </c>
      <c r="N96" s="224">
        <v>97399</v>
      </c>
      <c r="O96" s="226">
        <v>5</v>
      </c>
      <c r="P96" s="226">
        <v>31</v>
      </c>
      <c r="Q96" s="227">
        <v>291</v>
      </c>
      <c r="R96" s="226">
        <v>3008</v>
      </c>
      <c r="S96" s="227">
        <v>30065</v>
      </c>
      <c r="T96" s="226">
        <v>282063</v>
      </c>
    </row>
    <row r="97" spans="1:21" x14ac:dyDescent="0.15">
      <c r="A97" s="178"/>
      <c r="B97" s="179">
        <v>41188</v>
      </c>
      <c r="C97" s="180" t="s">
        <v>363</v>
      </c>
      <c r="D97" s="19">
        <v>9</v>
      </c>
      <c r="E97" s="19">
        <v>6</v>
      </c>
      <c r="F97" s="19">
        <v>4</v>
      </c>
      <c r="G97" s="19">
        <v>5</v>
      </c>
      <c r="H97" s="19">
        <v>8</v>
      </c>
      <c r="I97" s="19">
        <v>9</v>
      </c>
      <c r="J97" s="13">
        <v>3</v>
      </c>
      <c r="K97" s="229">
        <v>14559630</v>
      </c>
      <c r="L97" s="237" t="s">
        <v>23</v>
      </c>
      <c r="M97" s="229" t="s">
        <v>368</v>
      </c>
      <c r="N97" s="231">
        <v>1132588.7</v>
      </c>
      <c r="O97" s="232">
        <v>8</v>
      </c>
      <c r="P97" s="233">
        <v>57</v>
      </c>
      <c r="Q97" s="232">
        <v>496</v>
      </c>
      <c r="R97" s="233">
        <v>5056</v>
      </c>
      <c r="S97" s="232">
        <v>50517</v>
      </c>
      <c r="T97" s="233">
        <v>545012</v>
      </c>
    </row>
    <row r="98" spans="1:21" x14ac:dyDescent="0.15">
      <c r="A98" s="172">
        <v>41</v>
      </c>
      <c r="B98" s="173">
        <v>41192</v>
      </c>
      <c r="C98" s="174" t="s">
        <v>362</v>
      </c>
      <c r="D98" s="27">
        <v>7</v>
      </c>
      <c r="E98" s="27">
        <v>6</v>
      </c>
      <c r="F98" s="27">
        <v>2</v>
      </c>
      <c r="G98" s="27">
        <v>9</v>
      </c>
      <c r="H98" s="27">
        <v>3</v>
      </c>
      <c r="I98" s="27">
        <v>0</v>
      </c>
      <c r="J98" s="7">
        <v>3</v>
      </c>
      <c r="K98" s="222">
        <v>6095172.5</v>
      </c>
      <c r="L98" s="223" t="s">
        <v>23</v>
      </c>
      <c r="M98" s="224" t="s">
        <v>368</v>
      </c>
      <c r="N98" s="225">
        <v>1565955.5</v>
      </c>
      <c r="O98" s="226" t="s">
        <v>17</v>
      </c>
      <c r="P98" s="227">
        <v>21</v>
      </c>
      <c r="Q98" s="226">
        <v>204</v>
      </c>
      <c r="R98" s="227">
        <v>2064</v>
      </c>
      <c r="S98" s="226">
        <v>20323</v>
      </c>
      <c r="T98" s="227">
        <v>246049</v>
      </c>
    </row>
    <row r="99" spans="1:21" x14ac:dyDescent="0.15">
      <c r="A99" s="178"/>
      <c r="B99" s="179">
        <v>41195</v>
      </c>
      <c r="C99" s="180" t="s">
        <v>363</v>
      </c>
      <c r="D99" s="19">
        <v>1</v>
      </c>
      <c r="E99" s="19">
        <v>4</v>
      </c>
      <c r="F99" s="19">
        <v>5</v>
      </c>
      <c r="G99" s="19">
        <v>0</v>
      </c>
      <c r="H99" s="19">
        <v>2</v>
      </c>
      <c r="I99" s="19">
        <v>2</v>
      </c>
      <c r="J99" s="13">
        <v>1</v>
      </c>
      <c r="K99" s="229">
        <v>14679045</v>
      </c>
      <c r="L99" s="230" t="s">
        <v>23</v>
      </c>
      <c r="M99" s="229" t="s">
        <v>368</v>
      </c>
      <c r="N99" s="231">
        <v>2609635.6</v>
      </c>
      <c r="O99" s="232">
        <v>4</v>
      </c>
      <c r="P99" s="233">
        <v>48</v>
      </c>
      <c r="Q99" s="232">
        <v>441</v>
      </c>
      <c r="R99" s="233">
        <v>4341</v>
      </c>
      <c r="S99" s="232">
        <v>45603</v>
      </c>
      <c r="T99" s="233">
        <v>442951</v>
      </c>
    </row>
    <row r="100" spans="1:21" x14ac:dyDescent="0.15">
      <c r="A100" s="172">
        <v>42</v>
      </c>
      <c r="B100" s="173">
        <v>41199</v>
      </c>
      <c r="C100" s="174" t="s">
        <v>362</v>
      </c>
      <c r="D100" s="27">
        <v>7</v>
      </c>
      <c r="E100" s="27">
        <v>2</v>
      </c>
      <c r="F100" s="27">
        <v>1</v>
      </c>
      <c r="G100" s="27">
        <v>4</v>
      </c>
      <c r="H100" s="27">
        <v>7</v>
      </c>
      <c r="I100" s="27">
        <v>3</v>
      </c>
      <c r="J100" s="7">
        <v>3</v>
      </c>
      <c r="K100" s="222">
        <v>5882275</v>
      </c>
      <c r="L100" s="234" t="s">
        <v>23</v>
      </c>
      <c r="M100" s="224" t="s">
        <v>368</v>
      </c>
      <c r="N100" s="225">
        <v>3027865.4</v>
      </c>
      <c r="O100" s="226">
        <v>3</v>
      </c>
      <c r="P100" s="227">
        <v>26</v>
      </c>
      <c r="Q100" s="226">
        <v>243</v>
      </c>
      <c r="R100" s="227">
        <v>2652</v>
      </c>
      <c r="S100" s="226">
        <v>24897</v>
      </c>
      <c r="T100" s="227">
        <v>233171</v>
      </c>
    </row>
    <row r="101" spans="1:21" x14ac:dyDescent="0.15">
      <c r="A101" s="178"/>
      <c r="B101" s="179">
        <v>41202</v>
      </c>
      <c r="C101" s="180" t="s">
        <v>363</v>
      </c>
      <c r="D101" s="19">
        <v>0</v>
      </c>
      <c r="E101" s="19">
        <v>8</v>
      </c>
      <c r="F101" s="19">
        <v>4</v>
      </c>
      <c r="G101" s="19">
        <v>8</v>
      </c>
      <c r="H101" s="19">
        <v>8</v>
      </c>
      <c r="I101" s="19">
        <v>7</v>
      </c>
      <c r="J101" s="13">
        <v>5</v>
      </c>
      <c r="K101" s="229">
        <v>14325867.5</v>
      </c>
      <c r="L101" s="237" t="s">
        <v>23</v>
      </c>
      <c r="M101" s="229" t="s">
        <v>368</v>
      </c>
      <c r="N101" s="231">
        <v>4046434.6</v>
      </c>
      <c r="O101" s="232">
        <v>3</v>
      </c>
      <c r="P101" s="233">
        <v>76</v>
      </c>
      <c r="Q101" s="232">
        <v>659</v>
      </c>
      <c r="R101" s="233">
        <v>6556</v>
      </c>
      <c r="S101" s="232">
        <v>65343</v>
      </c>
      <c r="T101" s="233">
        <v>617709</v>
      </c>
      <c r="U101" s="228"/>
    </row>
    <row r="102" spans="1:21" x14ac:dyDescent="0.15">
      <c r="A102" s="172">
        <v>43</v>
      </c>
      <c r="B102" s="173">
        <v>41206</v>
      </c>
      <c r="C102" s="174" t="s">
        <v>362</v>
      </c>
      <c r="D102" s="27">
        <v>8</v>
      </c>
      <c r="E102" s="27">
        <v>5</v>
      </c>
      <c r="F102" s="27">
        <v>4</v>
      </c>
      <c r="G102" s="27">
        <v>0</v>
      </c>
      <c r="H102" s="27">
        <v>6</v>
      </c>
      <c r="I102" s="27">
        <v>4</v>
      </c>
      <c r="J102" s="7">
        <v>6</v>
      </c>
      <c r="K102" s="222">
        <v>6047777.5</v>
      </c>
      <c r="L102" s="223" t="s">
        <v>23</v>
      </c>
      <c r="M102" s="224" t="s">
        <v>368</v>
      </c>
      <c r="N102" s="225">
        <v>4476431.5999999996</v>
      </c>
      <c r="O102" s="226">
        <v>1</v>
      </c>
      <c r="P102" s="227">
        <v>21</v>
      </c>
      <c r="Q102" s="226">
        <v>246</v>
      </c>
      <c r="R102" s="227">
        <v>2556</v>
      </c>
      <c r="S102" s="226">
        <v>24602</v>
      </c>
      <c r="T102" s="227">
        <v>234705</v>
      </c>
    </row>
    <row r="103" spans="1:21" x14ac:dyDescent="0.15">
      <c r="A103" s="178"/>
      <c r="B103" s="287">
        <v>41209</v>
      </c>
      <c r="C103" s="180" t="s">
        <v>363</v>
      </c>
      <c r="D103" s="19">
        <v>1</v>
      </c>
      <c r="E103" s="19">
        <v>7</v>
      </c>
      <c r="F103" s="19">
        <v>3</v>
      </c>
      <c r="G103" s="19">
        <v>9</v>
      </c>
      <c r="H103" s="19">
        <v>6</v>
      </c>
      <c r="I103" s="19">
        <v>1</v>
      </c>
      <c r="J103" s="13">
        <v>7</v>
      </c>
      <c r="K103" s="229">
        <v>14581122.5</v>
      </c>
      <c r="L103" s="237">
        <v>1</v>
      </c>
      <c r="M103" s="229">
        <v>5477777</v>
      </c>
      <c r="N103" s="231">
        <v>35372.400000000001</v>
      </c>
      <c r="O103" s="232">
        <v>5</v>
      </c>
      <c r="P103" s="233">
        <v>67</v>
      </c>
      <c r="Q103" s="232">
        <v>581</v>
      </c>
      <c r="R103" s="233">
        <v>6182</v>
      </c>
      <c r="S103" s="232">
        <v>62584</v>
      </c>
      <c r="T103" s="233">
        <v>640029</v>
      </c>
    </row>
    <row r="104" spans="1:21" x14ac:dyDescent="0.15">
      <c r="A104" s="172">
        <v>44</v>
      </c>
      <c r="B104" s="173">
        <v>41213</v>
      </c>
      <c r="C104" s="174" t="s">
        <v>362</v>
      </c>
      <c r="D104" s="27">
        <v>0</v>
      </c>
      <c r="E104" s="27">
        <v>6</v>
      </c>
      <c r="F104" s="27">
        <v>3</v>
      </c>
      <c r="G104" s="27">
        <v>4</v>
      </c>
      <c r="H104" s="27">
        <v>8</v>
      </c>
      <c r="I104" s="27">
        <v>1</v>
      </c>
      <c r="J104" s="7">
        <v>1</v>
      </c>
      <c r="K104" s="222">
        <v>6466482.5</v>
      </c>
      <c r="L104" s="234" t="s">
        <v>23</v>
      </c>
      <c r="M104" s="224" t="s">
        <v>368</v>
      </c>
      <c r="N104" s="225">
        <v>495139.3</v>
      </c>
      <c r="O104" s="226">
        <v>1</v>
      </c>
      <c r="P104" s="227">
        <v>27</v>
      </c>
      <c r="Q104" s="226">
        <v>208</v>
      </c>
      <c r="R104" s="227">
        <v>2150</v>
      </c>
      <c r="S104" s="226">
        <v>22255</v>
      </c>
      <c r="T104" s="227">
        <v>196470</v>
      </c>
    </row>
    <row r="105" spans="1:21" x14ac:dyDescent="0.15">
      <c r="A105" s="178"/>
      <c r="B105" s="179">
        <v>41216</v>
      </c>
      <c r="C105" s="180" t="s">
        <v>363</v>
      </c>
      <c r="D105" s="19">
        <v>1</v>
      </c>
      <c r="E105" s="19">
        <v>6</v>
      </c>
      <c r="F105" s="19">
        <v>7</v>
      </c>
      <c r="G105" s="19">
        <v>9</v>
      </c>
      <c r="H105" s="19">
        <v>6</v>
      </c>
      <c r="I105" s="19">
        <v>6</v>
      </c>
      <c r="J105" s="13">
        <v>5</v>
      </c>
      <c r="K105" s="229">
        <v>15335012.5</v>
      </c>
      <c r="L105" s="237" t="s">
        <v>23</v>
      </c>
      <c r="M105" s="229" t="s">
        <v>368</v>
      </c>
      <c r="N105" s="231">
        <v>1585458.7</v>
      </c>
      <c r="O105" s="232">
        <v>7</v>
      </c>
      <c r="P105" s="232">
        <v>60</v>
      </c>
      <c r="Q105" s="233">
        <v>635</v>
      </c>
      <c r="R105" s="232">
        <v>6446</v>
      </c>
      <c r="S105" s="233">
        <v>69496</v>
      </c>
      <c r="T105" s="232">
        <v>658663</v>
      </c>
    </row>
    <row r="106" spans="1:21" x14ac:dyDescent="0.15">
      <c r="A106" s="172">
        <v>45</v>
      </c>
      <c r="B106" s="173">
        <v>41220</v>
      </c>
      <c r="C106" s="174" t="s">
        <v>362</v>
      </c>
      <c r="D106" s="27">
        <v>8</v>
      </c>
      <c r="E106" s="27">
        <v>6</v>
      </c>
      <c r="F106" s="27">
        <v>3</v>
      </c>
      <c r="G106" s="27">
        <v>4</v>
      </c>
      <c r="H106" s="27">
        <v>5</v>
      </c>
      <c r="I106" s="27">
        <v>7</v>
      </c>
      <c r="J106" s="7">
        <v>6</v>
      </c>
      <c r="K106" s="222">
        <v>7084335</v>
      </c>
      <c r="L106" s="223" t="s">
        <v>23</v>
      </c>
      <c r="M106" s="224" t="s">
        <v>368</v>
      </c>
      <c r="N106" s="225">
        <v>2089154.9</v>
      </c>
      <c r="O106" s="226" t="s">
        <v>17</v>
      </c>
      <c r="P106" s="227">
        <v>32</v>
      </c>
      <c r="Q106" s="226">
        <v>248</v>
      </c>
      <c r="R106" s="227">
        <v>2735</v>
      </c>
      <c r="S106" s="226">
        <v>27730</v>
      </c>
      <c r="T106" s="227">
        <v>275182</v>
      </c>
    </row>
    <row r="107" spans="1:21" x14ac:dyDescent="0.15">
      <c r="A107" s="178"/>
      <c r="B107" s="179">
        <v>41223</v>
      </c>
      <c r="C107" s="180" t="s">
        <v>363</v>
      </c>
      <c r="D107" s="19">
        <v>4</v>
      </c>
      <c r="E107" s="19">
        <v>2</v>
      </c>
      <c r="F107" s="19">
        <v>0</v>
      </c>
      <c r="G107" s="19">
        <v>8</v>
      </c>
      <c r="H107" s="19">
        <v>4</v>
      </c>
      <c r="I107" s="19">
        <v>5</v>
      </c>
      <c r="J107" s="13">
        <v>6</v>
      </c>
      <c r="K107" s="229">
        <v>16361522.5</v>
      </c>
      <c r="L107" s="237" t="s">
        <v>23</v>
      </c>
      <c r="M107" s="229" t="s">
        <v>368</v>
      </c>
      <c r="N107" s="231">
        <v>3252459.1</v>
      </c>
      <c r="O107" s="232">
        <v>5</v>
      </c>
      <c r="P107" s="233">
        <v>74</v>
      </c>
      <c r="Q107" s="232">
        <v>740</v>
      </c>
      <c r="R107" s="233">
        <v>7034</v>
      </c>
      <c r="S107" s="232">
        <v>66532</v>
      </c>
      <c r="T107" s="233">
        <v>625974</v>
      </c>
    </row>
    <row r="108" spans="1:21" x14ac:dyDescent="0.15">
      <c r="A108" s="172">
        <v>46</v>
      </c>
      <c r="B108" s="173">
        <v>41227</v>
      </c>
      <c r="C108" s="174" t="s">
        <v>362</v>
      </c>
      <c r="D108" s="291">
        <v>9</v>
      </c>
      <c r="E108" s="291">
        <v>5</v>
      </c>
      <c r="F108" s="291">
        <v>3</v>
      </c>
      <c r="G108" s="291">
        <v>9</v>
      </c>
      <c r="H108" s="291">
        <v>1</v>
      </c>
      <c r="I108" s="291">
        <v>3</v>
      </c>
      <c r="J108" s="292">
        <v>7</v>
      </c>
      <c r="K108" s="222">
        <v>6162865</v>
      </c>
      <c r="L108" s="234">
        <v>1</v>
      </c>
      <c r="M108" s="224">
        <v>3677777</v>
      </c>
      <c r="N108" s="225">
        <v>12861.8</v>
      </c>
      <c r="O108" s="226">
        <v>4</v>
      </c>
      <c r="P108" s="227">
        <v>19</v>
      </c>
      <c r="Q108" s="226">
        <v>295</v>
      </c>
      <c r="R108" s="227">
        <v>2597</v>
      </c>
      <c r="S108" s="226">
        <v>25686</v>
      </c>
      <c r="T108" s="227">
        <v>268869</v>
      </c>
    </row>
    <row r="109" spans="1:21" x14ac:dyDescent="0.15">
      <c r="A109" s="178"/>
      <c r="B109" s="179">
        <v>41230</v>
      </c>
      <c r="C109" s="180" t="s">
        <v>363</v>
      </c>
      <c r="D109" s="19">
        <v>4</v>
      </c>
      <c r="E109" s="19">
        <v>4</v>
      </c>
      <c r="F109" s="19">
        <v>2</v>
      </c>
      <c r="G109" s="19">
        <v>0</v>
      </c>
      <c r="H109" s="19">
        <v>2</v>
      </c>
      <c r="I109" s="19">
        <v>2</v>
      </c>
      <c r="J109" s="13">
        <v>6</v>
      </c>
      <c r="K109" s="229">
        <v>14795162.5</v>
      </c>
      <c r="L109" s="237" t="s">
        <v>23</v>
      </c>
      <c r="M109" s="229" t="s">
        <v>368</v>
      </c>
      <c r="N109" s="231">
        <v>1064797.8999999999</v>
      </c>
      <c r="O109" s="232">
        <v>5</v>
      </c>
      <c r="P109" s="233">
        <v>57</v>
      </c>
      <c r="Q109" s="232">
        <v>577</v>
      </c>
      <c r="R109" s="233">
        <v>5510</v>
      </c>
      <c r="S109" s="232">
        <v>58060</v>
      </c>
      <c r="T109" s="233">
        <v>578855</v>
      </c>
    </row>
    <row r="110" spans="1:21" x14ac:dyDescent="0.15">
      <c r="A110" s="172">
        <v>47</v>
      </c>
      <c r="B110" s="173">
        <v>41234</v>
      </c>
      <c r="C110" s="174" t="s">
        <v>362</v>
      </c>
      <c r="D110" s="27">
        <v>5</v>
      </c>
      <c r="E110" s="27">
        <v>7</v>
      </c>
      <c r="F110" s="27">
        <v>5</v>
      </c>
      <c r="G110" s="27">
        <v>6</v>
      </c>
      <c r="H110" s="27">
        <v>5</v>
      </c>
      <c r="I110" s="27">
        <v>6</v>
      </c>
      <c r="J110" s="7">
        <v>4</v>
      </c>
      <c r="K110" s="222">
        <v>5905180</v>
      </c>
      <c r="L110" s="234" t="s">
        <v>23</v>
      </c>
      <c r="M110" s="224" t="s">
        <v>368</v>
      </c>
      <c r="N110" s="225">
        <v>1484656.2</v>
      </c>
      <c r="O110" s="226">
        <v>5</v>
      </c>
      <c r="P110" s="227">
        <v>27</v>
      </c>
      <c r="Q110" s="226">
        <v>230</v>
      </c>
      <c r="R110" s="227">
        <v>2117</v>
      </c>
      <c r="S110" s="226">
        <v>20783</v>
      </c>
      <c r="T110" s="227">
        <v>197978</v>
      </c>
    </row>
    <row r="111" spans="1:21" x14ac:dyDescent="0.15">
      <c r="A111" s="178"/>
      <c r="B111" s="179">
        <v>41237</v>
      </c>
      <c r="C111" s="180" t="s">
        <v>363</v>
      </c>
      <c r="D111" s="19">
        <v>5</v>
      </c>
      <c r="E111" s="19">
        <v>9</v>
      </c>
      <c r="F111" s="19">
        <v>6</v>
      </c>
      <c r="G111" s="19">
        <v>0</v>
      </c>
      <c r="H111" s="19">
        <v>2</v>
      </c>
      <c r="I111" s="19">
        <v>8</v>
      </c>
      <c r="J111" s="13">
        <v>7</v>
      </c>
      <c r="K111" s="229">
        <v>14430805</v>
      </c>
      <c r="L111" s="230" t="s">
        <v>23</v>
      </c>
      <c r="M111" s="229" t="s">
        <v>368</v>
      </c>
      <c r="N111" s="231">
        <v>2510686.4</v>
      </c>
      <c r="O111" s="232">
        <v>8</v>
      </c>
      <c r="P111" s="233">
        <v>68</v>
      </c>
      <c r="Q111" s="232">
        <v>573</v>
      </c>
      <c r="R111" s="233">
        <v>6133</v>
      </c>
      <c r="S111" s="232">
        <v>61469</v>
      </c>
      <c r="T111" s="233">
        <v>634124</v>
      </c>
    </row>
    <row r="112" spans="1:21" x14ac:dyDescent="0.15">
      <c r="A112" s="172">
        <v>48</v>
      </c>
      <c r="B112" s="173">
        <v>41241</v>
      </c>
      <c r="C112" s="174" t="s">
        <v>362</v>
      </c>
      <c r="D112" s="27">
        <v>3</v>
      </c>
      <c r="E112" s="27">
        <v>3</v>
      </c>
      <c r="F112" s="27">
        <v>6</v>
      </c>
      <c r="G112" s="27">
        <v>5</v>
      </c>
      <c r="H112" s="27">
        <v>0</v>
      </c>
      <c r="I112" s="27">
        <v>5</v>
      </c>
      <c r="J112" s="7">
        <v>5</v>
      </c>
      <c r="K112" s="222">
        <v>5851822.5</v>
      </c>
      <c r="L112" s="234" t="s">
        <v>23</v>
      </c>
      <c r="M112" s="224" t="s">
        <v>368</v>
      </c>
      <c r="N112" s="225">
        <v>2926751</v>
      </c>
      <c r="O112" s="226">
        <v>3</v>
      </c>
      <c r="P112" s="227">
        <v>17</v>
      </c>
      <c r="Q112" s="226">
        <v>263</v>
      </c>
      <c r="R112" s="227">
        <v>2548</v>
      </c>
      <c r="S112" s="226">
        <v>27932</v>
      </c>
      <c r="T112" s="227">
        <v>247650</v>
      </c>
    </row>
    <row r="113" spans="1:20" x14ac:dyDescent="0.15">
      <c r="A113" s="178"/>
      <c r="B113" s="179">
        <v>41244</v>
      </c>
      <c r="C113" s="180" t="s">
        <v>363</v>
      </c>
      <c r="D113" s="19">
        <v>5</v>
      </c>
      <c r="E113" s="19">
        <v>2</v>
      </c>
      <c r="F113" s="19">
        <v>2</v>
      </c>
      <c r="G113" s="19">
        <v>3</v>
      </c>
      <c r="H113" s="19">
        <v>6</v>
      </c>
      <c r="I113" s="19">
        <v>1</v>
      </c>
      <c r="J113" s="13">
        <v>6</v>
      </c>
      <c r="K113" s="229">
        <v>14795847.5</v>
      </c>
      <c r="L113" s="230" t="s">
        <v>23</v>
      </c>
      <c r="M113" s="229" t="s">
        <v>368</v>
      </c>
      <c r="N113" s="231">
        <v>3978735.8</v>
      </c>
      <c r="O113" s="232">
        <v>6</v>
      </c>
      <c r="P113" s="233">
        <v>47</v>
      </c>
      <c r="Q113" s="232">
        <v>580</v>
      </c>
      <c r="R113" s="233">
        <v>5602</v>
      </c>
      <c r="S113" s="232">
        <v>54125</v>
      </c>
      <c r="T113" s="233">
        <v>586285</v>
      </c>
    </row>
    <row r="114" spans="1:20" x14ac:dyDescent="0.15">
      <c r="A114" s="172">
        <v>49</v>
      </c>
      <c r="B114" s="173">
        <v>41248</v>
      </c>
      <c r="C114" s="174" t="s">
        <v>362</v>
      </c>
      <c r="D114" s="27">
        <v>7</v>
      </c>
      <c r="E114" s="27">
        <v>5</v>
      </c>
      <c r="F114" s="27">
        <v>9</v>
      </c>
      <c r="G114" s="27">
        <v>5</v>
      </c>
      <c r="H114" s="27">
        <v>9</v>
      </c>
      <c r="I114" s="27">
        <v>4</v>
      </c>
      <c r="J114" s="7">
        <v>0</v>
      </c>
      <c r="K114" s="222">
        <v>7097245</v>
      </c>
      <c r="L114" s="234">
        <v>1</v>
      </c>
      <c r="M114" s="224">
        <v>4477777</v>
      </c>
      <c r="N114" s="225">
        <v>5572.9</v>
      </c>
      <c r="O114" s="226">
        <v>1</v>
      </c>
      <c r="P114" s="227">
        <v>26</v>
      </c>
      <c r="Q114" s="226">
        <v>200</v>
      </c>
      <c r="R114" s="227">
        <v>1946</v>
      </c>
      <c r="S114" s="226">
        <v>19405</v>
      </c>
      <c r="T114" s="227">
        <v>201096</v>
      </c>
    </row>
    <row r="115" spans="1:20" x14ac:dyDescent="0.15">
      <c r="A115" s="178"/>
      <c r="B115" s="179">
        <v>41251</v>
      </c>
      <c r="C115" s="180" t="s">
        <v>363</v>
      </c>
      <c r="D115" s="19">
        <v>1</v>
      </c>
      <c r="E115" s="19">
        <v>3</v>
      </c>
      <c r="F115" s="19">
        <v>4</v>
      </c>
      <c r="G115" s="19">
        <v>1</v>
      </c>
      <c r="H115" s="19">
        <v>3</v>
      </c>
      <c r="I115" s="19">
        <v>7</v>
      </c>
      <c r="J115" s="13">
        <v>2</v>
      </c>
      <c r="K115" s="229">
        <v>16350530</v>
      </c>
      <c r="L115" s="230">
        <v>1</v>
      </c>
      <c r="M115" s="229">
        <v>1077777</v>
      </c>
      <c r="N115" s="231">
        <v>90318.6</v>
      </c>
      <c r="O115" s="232">
        <v>2</v>
      </c>
      <c r="P115" s="233">
        <v>56</v>
      </c>
      <c r="Q115" s="232">
        <v>520</v>
      </c>
      <c r="R115" s="233">
        <v>5352</v>
      </c>
      <c r="S115" s="232">
        <v>52725</v>
      </c>
      <c r="T115" s="233">
        <v>528872</v>
      </c>
    </row>
    <row r="116" spans="1:20" x14ac:dyDescent="0.15">
      <c r="A116" s="172">
        <v>50</v>
      </c>
      <c r="B116" s="173">
        <v>41255</v>
      </c>
      <c r="C116" s="174" t="s">
        <v>362</v>
      </c>
      <c r="D116" s="27">
        <v>9</v>
      </c>
      <c r="E116" s="27">
        <v>2</v>
      </c>
      <c r="F116" s="27">
        <v>8</v>
      </c>
      <c r="G116" s="27">
        <v>8</v>
      </c>
      <c r="H116" s="27">
        <v>8</v>
      </c>
      <c r="I116" s="27">
        <v>5</v>
      </c>
      <c r="J116" s="7">
        <v>3</v>
      </c>
      <c r="K116" s="222">
        <v>6564675</v>
      </c>
      <c r="L116" s="234" t="s">
        <v>23</v>
      </c>
      <c r="M116" s="224" t="s">
        <v>368</v>
      </c>
      <c r="N116" s="225">
        <v>557067</v>
      </c>
      <c r="O116" s="226">
        <v>1</v>
      </c>
      <c r="P116" s="227">
        <v>25</v>
      </c>
      <c r="Q116" s="226">
        <v>270</v>
      </c>
      <c r="R116" s="227">
        <v>2632</v>
      </c>
      <c r="S116" s="226">
        <v>26417</v>
      </c>
      <c r="T116" s="227">
        <v>255026</v>
      </c>
    </row>
    <row r="117" spans="1:20" x14ac:dyDescent="0.15">
      <c r="A117" s="178"/>
      <c r="B117" s="179">
        <v>41258</v>
      </c>
      <c r="C117" s="180" t="s">
        <v>363</v>
      </c>
      <c r="D117" s="19">
        <v>5</v>
      </c>
      <c r="E117" s="19">
        <v>2</v>
      </c>
      <c r="F117" s="19">
        <v>2</v>
      </c>
      <c r="G117" s="19">
        <v>4</v>
      </c>
      <c r="H117" s="19">
        <v>1</v>
      </c>
      <c r="I117" s="19">
        <v>0</v>
      </c>
      <c r="J117" s="13">
        <v>4</v>
      </c>
      <c r="K117" s="229">
        <v>15810572.5</v>
      </c>
      <c r="L117" s="230">
        <v>1</v>
      </c>
      <c r="M117" s="229">
        <v>1677777</v>
      </c>
      <c r="N117" s="231">
        <v>3421.7</v>
      </c>
      <c r="O117" s="232">
        <v>6</v>
      </c>
      <c r="P117" s="233">
        <v>39</v>
      </c>
      <c r="Q117" s="232">
        <v>510</v>
      </c>
      <c r="R117" s="233">
        <v>4874</v>
      </c>
      <c r="S117" s="232">
        <v>47034</v>
      </c>
      <c r="T117" s="233">
        <v>540445</v>
      </c>
    </row>
    <row r="118" spans="1:20" x14ac:dyDescent="0.15">
      <c r="A118" s="172">
        <v>51</v>
      </c>
      <c r="B118" s="173">
        <v>41262</v>
      </c>
      <c r="C118" s="174" t="s">
        <v>362</v>
      </c>
      <c r="D118" s="27">
        <v>0</v>
      </c>
      <c r="E118" s="27">
        <v>7</v>
      </c>
      <c r="F118" s="27">
        <v>9</v>
      </c>
      <c r="G118" s="27">
        <v>4</v>
      </c>
      <c r="H118" s="27">
        <v>0</v>
      </c>
      <c r="I118" s="27">
        <v>7</v>
      </c>
      <c r="J118" s="7">
        <v>9</v>
      </c>
      <c r="K118" s="222">
        <v>6333637.5</v>
      </c>
      <c r="L118" s="234">
        <v>1</v>
      </c>
      <c r="M118" s="224">
        <v>377777</v>
      </c>
      <c r="N118" s="225">
        <v>75966.3</v>
      </c>
      <c r="O118" s="226" t="s">
        <v>17</v>
      </c>
      <c r="P118" s="227">
        <v>18</v>
      </c>
      <c r="Q118" s="226">
        <v>198</v>
      </c>
      <c r="R118" s="227">
        <v>1797</v>
      </c>
      <c r="S118" s="226">
        <v>20593</v>
      </c>
      <c r="T118" s="227">
        <v>200724</v>
      </c>
    </row>
    <row r="119" spans="1:20" x14ac:dyDescent="0.15">
      <c r="A119" s="178"/>
      <c r="B119" s="179">
        <v>41265</v>
      </c>
      <c r="C119" s="180" t="s">
        <v>363</v>
      </c>
      <c r="D119" s="19">
        <v>9</v>
      </c>
      <c r="E119" s="19">
        <v>2</v>
      </c>
      <c r="F119" s="19">
        <v>1</v>
      </c>
      <c r="G119" s="19">
        <v>0</v>
      </c>
      <c r="H119" s="19">
        <v>7</v>
      </c>
      <c r="I119" s="19">
        <v>0</v>
      </c>
      <c r="J119" s="13">
        <v>8</v>
      </c>
      <c r="K119" s="229">
        <v>15868922.5</v>
      </c>
      <c r="L119" s="230" t="s">
        <v>23</v>
      </c>
      <c r="M119" s="229" t="s">
        <v>368</v>
      </c>
      <c r="N119" s="231">
        <v>1204246.7</v>
      </c>
      <c r="O119" s="232">
        <v>3</v>
      </c>
      <c r="P119" s="233">
        <v>54</v>
      </c>
      <c r="Q119" s="232">
        <v>507</v>
      </c>
      <c r="R119" s="233">
        <v>4946</v>
      </c>
      <c r="S119" s="232">
        <v>50500</v>
      </c>
      <c r="T119" s="233">
        <v>628943</v>
      </c>
    </row>
    <row r="120" spans="1:20" x14ac:dyDescent="0.15">
      <c r="A120" s="172">
        <v>52</v>
      </c>
      <c r="B120" s="173">
        <v>41269</v>
      </c>
      <c r="C120" s="174" t="s">
        <v>362</v>
      </c>
      <c r="D120" s="27">
        <v>4</v>
      </c>
      <c r="E120" s="27">
        <v>2</v>
      </c>
      <c r="F120" s="27">
        <v>3</v>
      </c>
      <c r="G120" s="27">
        <v>0</v>
      </c>
      <c r="H120" s="27">
        <v>8</v>
      </c>
      <c r="I120" s="27">
        <v>6</v>
      </c>
      <c r="J120" s="7">
        <v>8</v>
      </c>
      <c r="K120" s="222">
        <v>5993217.5</v>
      </c>
      <c r="L120" s="223" t="s">
        <v>23</v>
      </c>
      <c r="M120" s="224" t="s">
        <v>368</v>
      </c>
      <c r="N120" s="225">
        <v>1630364.5</v>
      </c>
      <c r="O120" s="226">
        <v>7</v>
      </c>
      <c r="P120" s="227">
        <v>18</v>
      </c>
      <c r="Q120" s="226">
        <v>236</v>
      </c>
      <c r="R120" s="227">
        <v>2458</v>
      </c>
      <c r="S120" s="226">
        <v>23570</v>
      </c>
      <c r="T120" s="227">
        <v>229412</v>
      </c>
    </row>
    <row r="121" spans="1:20" x14ac:dyDescent="0.15">
      <c r="A121" s="178"/>
      <c r="B121" s="179">
        <v>41272</v>
      </c>
      <c r="C121" s="180" t="s">
        <v>363</v>
      </c>
      <c r="D121" s="38">
        <v>1</v>
      </c>
      <c r="E121" s="38">
        <v>8</v>
      </c>
      <c r="F121" s="38">
        <v>6</v>
      </c>
      <c r="G121" s="38">
        <v>2</v>
      </c>
      <c r="H121" s="38">
        <v>6</v>
      </c>
      <c r="I121" s="38">
        <v>6</v>
      </c>
      <c r="J121" s="39">
        <v>7</v>
      </c>
      <c r="K121" s="229">
        <v>16069167.5</v>
      </c>
      <c r="L121" s="237">
        <v>1</v>
      </c>
      <c r="M121" s="229">
        <v>2677777</v>
      </c>
      <c r="N121" s="231">
        <v>95105.3</v>
      </c>
      <c r="O121" s="232">
        <v>5</v>
      </c>
      <c r="P121" s="233">
        <v>60</v>
      </c>
      <c r="Q121" s="232">
        <v>705</v>
      </c>
      <c r="R121" s="233">
        <v>6749</v>
      </c>
      <c r="S121" s="232">
        <v>69855</v>
      </c>
      <c r="T121" s="233">
        <v>701406</v>
      </c>
    </row>
    <row r="122" spans="1:20" x14ac:dyDescent="0.15">
      <c r="A122" s="45"/>
      <c r="B122" s="46"/>
      <c r="C122" s="46"/>
      <c r="D122" s="276"/>
      <c r="E122" s="276"/>
      <c r="F122" s="276"/>
      <c r="G122" s="276"/>
      <c r="H122" s="276"/>
      <c r="I122" s="276" t="s">
        <v>24</v>
      </c>
      <c r="J122" s="276"/>
      <c r="K122" s="277"/>
      <c r="L122" s="278">
        <f>SUM(L70:L121)</f>
        <v>19</v>
      </c>
      <c r="M122" s="229"/>
      <c r="N122" s="278"/>
      <c r="O122" s="278">
        <f t="shared" ref="O122:T122" si="1">SUM(O70:O121)</f>
        <v>188</v>
      </c>
      <c r="P122" s="278">
        <f t="shared" si="1"/>
        <v>2042</v>
      </c>
      <c r="Q122" s="278">
        <f t="shared" si="1"/>
        <v>20728</v>
      </c>
      <c r="R122" s="278">
        <f t="shared" si="1"/>
        <v>206878</v>
      </c>
      <c r="S122" s="278">
        <f t="shared" si="1"/>
        <v>2069329</v>
      </c>
      <c r="T122" s="272">
        <f t="shared" si="1"/>
        <v>20966036</v>
      </c>
    </row>
    <row r="123" spans="1:20" x14ac:dyDescent="0.15">
      <c r="K123" s="222"/>
    </row>
    <row r="202" spans="12:13" x14ac:dyDescent="0.15">
      <c r="L202" s="293"/>
      <c r="M202" s="293"/>
    </row>
    <row r="203" spans="12:13" x14ac:dyDescent="0.15">
      <c r="L203" s="125" t="str">
        <f t="shared" ref="L203:L254" si="2">IF(AND(C70="MI",M70&gt;1000000),L70,"")</f>
        <v>JP</v>
      </c>
      <c r="M203" s="125" t="str">
        <f t="shared" ref="M203:M254" si="3">IF(AND(C70="SA",M70&gt;1000000),L70,"")</f>
        <v/>
      </c>
    </row>
    <row r="204" spans="12:13" x14ac:dyDescent="0.15">
      <c r="L204" s="125" t="str">
        <f t="shared" si="2"/>
        <v/>
      </c>
      <c r="M204" s="125" t="str">
        <f t="shared" si="3"/>
        <v>JP</v>
      </c>
    </row>
    <row r="205" spans="12:13" x14ac:dyDescent="0.15">
      <c r="L205" s="125" t="str">
        <f t="shared" si="2"/>
        <v>JP</v>
      </c>
      <c r="M205" s="125" t="str">
        <f t="shared" si="3"/>
        <v/>
      </c>
    </row>
    <row r="206" spans="12:13" x14ac:dyDescent="0.15">
      <c r="L206" s="125" t="str">
        <f t="shared" si="2"/>
        <v/>
      </c>
      <c r="M206" s="125" t="str">
        <f t="shared" si="3"/>
        <v>JP</v>
      </c>
    </row>
    <row r="207" spans="12:13" x14ac:dyDescent="0.15">
      <c r="L207" s="125">
        <f t="shared" si="2"/>
        <v>1</v>
      </c>
      <c r="M207" s="125" t="str">
        <f t="shared" si="3"/>
        <v/>
      </c>
    </row>
    <row r="208" spans="12:13" x14ac:dyDescent="0.15">
      <c r="L208" s="125" t="str">
        <f t="shared" si="2"/>
        <v/>
      </c>
      <c r="M208" s="125" t="str">
        <f t="shared" si="3"/>
        <v/>
      </c>
    </row>
    <row r="209" spans="12:13" x14ac:dyDescent="0.15">
      <c r="L209" s="125" t="str">
        <f t="shared" si="2"/>
        <v>JP</v>
      </c>
      <c r="M209" s="125" t="str">
        <f t="shared" si="3"/>
        <v/>
      </c>
    </row>
    <row r="210" spans="12:13" x14ac:dyDescent="0.15">
      <c r="L210" s="125" t="str">
        <f t="shared" si="2"/>
        <v/>
      </c>
      <c r="M210" s="125" t="str">
        <f t="shared" si="3"/>
        <v>JP</v>
      </c>
    </row>
    <row r="211" spans="12:13" x14ac:dyDescent="0.15">
      <c r="L211" s="125" t="str">
        <f t="shared" si="2"/>
        <v>JP</v>
      </c>
      <c r="M211" s="125" t="str">
        <f t="shared" si="3"/>
        <v/>
      </c>
    </row>
    <row r="212" spans="12:13" x14ac:dyDescent="0.15">
      <c r="L212" s="125" t="str">
        <f t="shared" si="2"/>
        <v/>
      </c>
      <c r="M212" s="125" t="str">
        <f t="shared" si="3"/>
        <v>JP</v>
      </c>
    </row>
    <row r="213" spans="12:13" x14ac:dyDescent="0.15">
      <c r="L213" s="125" t="str">
        <f t="shared" si="2"/>
        <v>JP</v>
      </c>
      <c r="M213" s="125" t="str">
        <f t="shared" si="3"/>
        <v/>
      </c>
    </row>
    <row r="214" spans="12:13" x14ac:dyDescent="0.15">
      <c r="L214" s="125" t="str">
        <f t="shared" si="2"/>
        <v/>
      </c>
      <c r="M214" s="125" t="str">
        <f t="shared" si="3"/>
        <v>JP</v>
      </c>
    </row>
    <row r="215" spans="12:13" x14ac:dyDescent="0.15">
      <c r="L215" s="125" t="str">
        <f t="shared" si="2"/>
        <v>JP</v>
      </c>
      <c r="M215" s="125" t="str">
        <f t="shared" si="3"/>
        <v/>
      </c>
    </row>
    <row r="216" spans="12:13" x14ac:dyDescent="0.15">
      <c r="L216" s="125" t="str">
        <f t="shared" si="2"/>
        <v/>
      </c>
      <c r="M216" s="125">
        <f t="shared" si="3"/>
        <v>3</v>
      </c>
    </row>
    <row r="217" spans="12:13" x14ac:dyDescent="0.15">
      <c r="L217" s="125" t="str">
        <f t="shared" si="2"/>
        <v>JP</v>
      </c>
      <c r="M217" s="125" t="str">
        <f t="shared" si="3"/>
        <v/>
      </c>
    </row>
    <row r="218" spans="12:13" x14ac:dyDescent="0.15">
      <c r="L218" s="125" t="str">
        <f t="shared" si="2"/>
        <v/>
      </c>
      <c r="M218" s="125">
        <f t="shared" si="3"/>
        <v>1</v>
      </c>
    </row>
    <row r="219" spans="12:13" x14ac:dyDescent="0.15">
      <c r="L219" s="125" t="str">
        <f t="shared" si="2"/>
        <v>JP</v>
      </c>
      <c r="M219" s="125" t="str">
        <f t="shared" si="3"/>
        <v/>
      </c>
    </row>
    <row r="220" spans="12:13" x14ac:dyDescent="0.15">
      <c r="L220" s="125" t="str">
        <f t="shared" si="2"/>
        <v/>
      </c>
      <c r="M220" s="125">
        <f t="shared" si="3"/>
        <v>1</v>
      </c>
    </row>
    <row r="221" spans="12:13" x14ac:dyDescent="0.15">
      <c r="L221" s="125" t="str">
        <f t="shared" si="2"/>
        <v/>
      </c>
      <c r="M221" s="125" t="str">
        <f t="shared" si="3"/>
        <v/>
      </c>
    </row>
    <row r="222" spans="12:13" x14ac:dyDescent="0.15">
      <c r="L222" s="125" t="str">
        <f t="shared" si="2"/>
        <v/>
      </c>
      <c r="M222" s="125" t="str">
        <f t="shared" si="3"/>
        <v>JP</v>
      </c>
    </row>
    <row r="223" spans="12:13" x14ac:dyDescent="0.15">
      <c r="L223" s="125">
        <f t="shared" si="2"/>
        <v>1</v>
      </c>
      <c r="M223" s="125" t="str">
        <f t="shared" si="3"/>
        <v/>
      </c>
    </row>
    <row r="224" spans="12:13" x14ac:dyDescent="0.15">
      <c r="L224" s="125" t="str">
        <f t="shared" si="2"/>
        <v/>
      </c>
      <c r="M224" s="125" t="str">
        <f t="shared" si="3"/>
        <v>JP</v>
      </c>
    </row>
    <row r="225" spans="12:13" x14ac:dyDescent="0.15">
      <c r="L225" s="125" t="str">
        <f t="shared" si="2"/>
        <v>JP</v>
      </c>
      <c r="M225" s="125" t="str">
        <f t="shared" si="3"/>
        <v/>
      </c>
    </row>
    <row r="226" spans="12:13" x14ac:dyDescent="0.15">
      <c r="L226" s="125" t="str">
        <f t="shared" si="2"/>
        <v/>
      </c>
      <c r="M226" s="125">
        <f t="shared" si="3"/>
        <v>1</v>
      </c>
    </row>
    <row r="227" spans="12:13" x14ac:dyDescent="0.15">
      <c r="L227" s="125" t="str">
        <f t="shared" si="2"/>
        <v>JP</v>
      </c>
      <c r="M227" s="125" t="str">
        <f t="shared" si="3"/>
        <v/>
      </c>
    </row>
    <row r="228" spans="12:13" x14ac:dyDescent="0.15">
      <c r="L228" s="125" t="str">
        <f t="shared" si="2"/>
        <v/>
      </c>
      <c r="M228" s="125" t="str">
        <f t="shared" si="3"/>
        <v>JP</v>
      </c>
    </row>
    <row r="229" spans="12:13" x14ac:dyDescent="0.15">
      <c r="L229" s="125">
        <f t="shared" si="2"/>
        <v>1</v>
      </c>
      <c r="M229" s="125" t="str">
        <f t="shared" si="3"/>
        <v/>
      </c>
    </row>
    <row r="230" spans="12:13" x14ac:dyDescent="0.15">
      <c r="L230" s="125" t="str">
        <f t="shared" si="2"/>
        <v/>
      </c>
      <c r="M230" s="125" t="str">
        <f t="shared" si="3"/>
        <v>JP</v>
      </c>
    </row>
    <row r="231" spans="12:13" x14ac:dyDescent="0.15">
      <c r="L231" s="125" t="str">
        <f t="shared" si="2"/>
        <v>JP</v>
      </c>
      <c r="M231" s="125" t="str">
        <f t="shared" si="3"/>
        <v/>
      </c>
    </row>
    <row r="232" spans="12:13" x14ac:dyDescent="0.15">
      <c r="L232" s="125" t="str">
        <f t="shared" si="2"/>
        <v/>
      </c>
      <c r="M232" s="125" t="str">
        <f t="shared" si="3"/>
        <v>JP</v>
      </c>
    </row>
    <row r="233" spans="12:13" x14ac:dyDescent="0.15">
      <c r="L233" s="125" t="str">
        <f t="shared" si="2"/>
        <v>JP</v>
      </c>
      <c r="M233" s="125" t="str">
        <f t="shared" si="3"/>
        <v/>
      </c>
    </row>
    <row r="234" spans="12:13" x14ac:dyDescent="0.15">
      <c r="L234" s="125" t="str">
        <f t="shared" si="2"/>
        <v/>
      </c>
      <c r="M234" s="125" t="str">
        <f t="shared" si="3"/>
        <v>JP</v>
      </c>
    </row>
    <row r="235" spans="12:13" x14ac:dyDescent="0.15">
      <c r="L235" s="125" t="str">
        <f t="shared" si="2"/>
        <v>JP</v>
      </c>
      <c r="M235" s="125" t="str">
        <f t="shared" si="3"/>
        <v/>
      </c>
    </row>
    <row r="236" spans="12:13" x14ac:dyDescent="0.15">
      <c r="L236" s="125" t="str">
        <f t="shared" si="2"/>
        <v/>
      </c>
      <c r="M236" s="125">
        <f t="shared" si="3"/>
        <v>1</v>
      </c>
    </row>
    <row r="237" spans="12:13" x14ac:dyDescent="0.15">
      <c r="L237" s="125" t="str">
        <f t="shared" si="2"/>
        <v>JP</v>
      </c>
      <c r="M237" s="125" t="str">
        <f t="shared" si="3"/>
        <v/>
      </c>
    </row>
    <row r="238" spans="12:13" x14ac:dyDescent="0.15">
      <c r="L238" s="125" t="str">
        <f t="shared" si="2"/>
        <v/>
      </c>
      <c r="M238" s="125" t="str">
        <f t="shared" si="3"/>
        <v>JP</v>
      </c>
    </row>
    <row r="239" spans="12:13" x14ac:dyDescent="0.15">
      <c r="L239" s="125" t="str">
        <f t="shared" si="2"/>
        <v>JP</v>
      </c>
      <c r="M239" s="125" t="str">
        <f t="shared" si="3"/>
        <v/>
      </c>
    </row>
    <row r="240" spans="12:13" x14ac:dyDescent="0.15">
      <c r="L240" s="125" t="str">
        <f t="shared" si="2"/>
        <v/>
      </c>
      <c r="M240" s="125" t="str">
        <f t="shared" si="3"/>
        <v>JP</v>
      </c>
    </row>
    <row r="241" spans="11:13" x14ac:dyDescent="0.15">
      <c r="L241" s="125">
        <f t="shared" si="2"/>
        <v>1</v>
      </c>
      <c r="M241" s="125" t="str">
        <f t="shared" si="3"/>
        <v/>
      </c>
    </row>
    <row r="242" spans="11:13" x14ac:dyDescent="0.15">
      <c r="L242" s="125" t="str">
        <f t="shared" si="2"/>
        <v/>
      </c>
      <c r="M242" s="125" t="str">
        <f t="shared" si="3"/>
        <v>JP</v>
      </c>
    </row>
    <row r="243" spans="11:13" x14ac:dyDescent="0.15">
      <c r="L243" s="125" t="str">
        <f t="shared" si="2"/>
        <v>JP</v>
      </c>
      <c r="M243" s="125" t="str">
        <f t="shared" si="3"/>
        <v/>
      </c>
    </row>
    <row r="244" spans="11:13" x14ac:dyDescent="0.15">
      <c r="L244" s="125" t="str">
        <f t="shared" si="2"/>
        <v/>
      </c>
      <c r="M244" s="125" t="str">
        <f t="shared" si="3"/>
        <v>JP</v>
      </c>
    </row>
    <row r="245" spans="11:13" x14ac:dyDescent="0.15">
      <c r="L245" s="125" t="str">
        <f t="shared" si="2"/>
        <v>JP</v>
      </c>
      <c r="M245" s="125" t="str">
        <f t="shared" si="3"/>
        <v/>
      </c>
    </row>
    <row r="246" spans="11:13" x14ac:dyDescent="0.15">
      <c r="L246" s="125" t="str">
        <f t="shared" si="2"/>
        <v/>
      </c>
      <c r="M246" s="125" t="str">
        <f t="shared" si="3"/>
        <v>JP</v>
      </c>
    </row>
    <row r="247" spans="11:13" x14ac:dyDescent="0.15">
      <c r="L247" s="125">
        <f t="shared" si="2"/>
        <v>1</v>
      </c>
      <c r="M247" s="125" t="str">
        <f t="shared" si="3"/>
        <v/>
      </c>
    </row>
    <row r="248" spans="11:13" x14ac:dyDescent="0.15">
      <c r="L248" s="125" t="str">
        <f t="shared" si="2"/>
        <v/>
      </c>
      <c r="M248" s="125">
        <f t="shared" si="3"/>
        <v>1</v>
      </c>
    </row>
    <row r="249" spans="11:13" x14ac:dyDescent="0.15">
      <c r="L249" s="125" t="str">
        <f t="shared" si="2"/>
        <v>JP</v>
      </c>
      <c r="M249" s="125" t="str">
        <f t="shared" si="3"/>
        <v/>
      </c>
    </row>
    <row r="250" spans="11:13" x14ac:dyDescent="0.15">
      <c r="L250" s="125" t="str">
        <f t="shared" si="2"/>
        <v/>
      </c>
      <c r="M250" s="125">
        <f t="shared" si="3"/>
        <v>1</v>
      </c>
    </row>
    <row r="251" spans="11:13" x14ac:dyDescent="0.15">
      <c r="L251" s="125" t="str">
        <f t="shared" si="2"/>
        <v/>
      </c>
      <c r="M251" s="125" t="str">
        <f t="shared" si="3"/>
        <v/>
      </c>
    </row>
    <row r="252" spans="11:13" x14ac:dyDescent="0.15">
      <c r="L252" s="125" t="str">
        <f t="shared" si="2"/>
        <v/>
      </c>
      <c r="M252" s="125" t="str">
        <f t="shared" si="3"/>
        <v>JP</v>
      </c>
    </row>
    <row r="253" spans="11:13" x14ac:dyDescent="0.15">
      <c r="L253" s="125" t="str">
        <f t="shared" si="2"/>
        <v>JP</v>
      </c>
      <c r="M253" s="125" t="str">
        <f t="shared" si="3"/>
        <v/>
      </c>
    </row>
    <row r="254" spans="11:13" x14ac:dyDescent="0.15">
      <c r="L254" s="125" t="str">
        <f t="shared" si="2"/>
        <v/>
      </c>
      <c r="M254" s="125">
        <f t="shared" si="3"/>
        <v>1</v>
      </c>
    </row>
    <row r="255" spans="11:13" x14ac:dyDescent="0.15">
      <c r="L255" s="125" t="e">
        <f>IF(AND(#REF!="MI",#REF!&gt;1000000),#REF!,"")</f>
        <v>#REF!</v>
      </c>
      <c r="M255" s="125" t="e">
        <f>IF(AND(#REF!="SA",#REF!&gt;1000000),#REF!,"")</f>
        <v>#REF!</v>
      </c>
    </row>
    <row r="256" spans="11:13" x14ac:dyDescent="0.15">
      <c r="K256" t="s">
        <v>372</v>
      </c>
      <c r="L256" s="294" t="e">
        <f>SUM(L204:L255)</f>
        <v>#REF!</v>
      </c>
      <c r="M256" s="294" t="e">
        <f>SUM(M204:M255)</f>
        <v>#REF!</v>
      </c>
    </row>
    <row r="258" spans="12:12" x14ac:dyDescent="0.15">
      <c r="L258" t="str">
        <f t="shared" ref="L258:L272" si="4">IF(M123&gt;1000000,L123,"")</f>
        <v/>
      </c>
    </row>
    <row r="259" spans="12:12" x14ac:dyDescent="0.15">
      <c r="L259" t="str">
        <f t="shared" si="4"/>
        <v/>
      </c>
    </row>
    <row r="260" spans="12:12" x14ac:dyDescent="0.15">
      <c r="L260" t="str">
        <f t="shared" si="4"/>
        <v/>
      </c>
    </row>
    <row r="261" spans="12:12" x14ac:dyDescent="0.15">
      <c r="L261" t="str">
        <f t="shared" si="4"/>
        <v/>
      </c>
    </row>
    <row r="262" spans="12:12" x14ac:dyDescent="0.15">
      <c r="L262" t="str">
        <f t="shared" si="4"/>
        <v/>
      </c>
    </row>
    <row r="263" spans="12:12" x14ac:dyDescent="0.15">
      <c r="L263" t="str">
        <f t="shared" si="4"/>
        <v/>
      </c>
    </row>
    <row r="264" spans="12:12" x14ac:dyDescent="0.15">
      <c r="L264" t="str">
        <f t="shared" si="4"/>
        <v/>
      </c>
    </row>
    <row r="265" spans="12:12" x14ac:dyDescent="0.15">
      <c r="L265" t="str">
        <f t="shared" si="4"/>
        <v/>
      </c>
    </row>
    <row r="266" spans="12:12" x14ac:dyDescent="0.15">
      <c r="L266" t="str">
        <f t="shared" si="4"/>
        <v/>
      </c>
    </row>
    <row r="267" spans="12:12" x14ac:dyDescent="0.15">
      <c r="L267" t="str">
        <f t="shared" si="4"/>
        <v/>
      </c>
    </row>
    <row r="268" spans="12:12" x14ac:dyDescent="0.15">
      <c r="L268" t="str">
        <f t="shared" si="4"/>
        <v/>
      </c>
    </row>
    <row r="269" spans="12:12" x14ac:dyDescent="0.15">
      <c r="L269" t="str">
        <f t="shared" si="4"/>
        <v/>
      </c>
    </row>
    <row r="270" spans="12:12" x14ac:dyDescent="0.15">
      <c r="L270" t="str">
        <f t="shared" si="4"/>
        <v/>
      </c>
    </row>
    <row r="271" spans="12:12" x14ac:dyDescent="0.15">
      <c r="L271" t="str">
        <f t="shared" si="4"/>
        <v/>
      </c>
    </row>
    <row r="272" spans="12:12" x14ac:dyDescent="0.15">
      <c r="L272" t="str">
        <f t="shared" si="4"/>
        <v/>
      </c>
    </row>
    <row r="275" spans="11:21" x14ac:dyDescent="0.15">
      <c r="K275" s="295" t="s">
        <v>373</v>
      </c>
      <c r="L275" s="288" t="s">
        <v>374</v>
      </c>
      <c r="M275" s="288" t="s">
        <v>375</v>
      </c>
      <c r="N275" s="288" t="s">
        <v>376</v>
      </c>
      <c r="O275" s="288" t="s">
        <v>377</v>
      </c>
      <c r="P275" s="288" t="s">
        <v>378</v>
      </c>
      <c r="Q275" s="288" t="s">
        <v>379</v>
      </c>
      <c r="R275" s="288" t="s">
        <v>380</v>
      </c>
      <c r="S275" s="288" t="s">
        <v>381</v>
      </c>
    </row>
    <row r="276" spans="11:21" x14ac:dyDescent="0.15">
      <c r="K276" s="296">
        <f>IF($M8="",0,IF($M8&gt;20000000,$L8,0))</f>
        <v>0</v>
      </c>
      <c r="L276" s="296">
        <f t="shared" ref="L276:L327" si="5">IF($M8="",0,IF($M8&gt;10000000,$L8-K276,0))</f>
        <v>0</v>
      </c>
      <c r="M276" s="296">
        <f t="shared" ref="M276:M327" si="6">IF($M8="",0,IF($M8&gt;7500000,$L8-K276-L276,0))</f>
        <v>0</v>
      </c>
      <c r="N276" s="296">
        <f t="shared" ref="N276:N327" si="7">IF($M8="",0,IF($M8&gt;5000000,$L8-K276-L276-M276,0))</f>
        <v>0</v>
      </c>
      <c r="O276" s="296">
        <f t="shared" ref="O276:O327" si="8">IF($M8="",0,IF($M8&gt;2500000,$L8-K276-L276-M276-N276,0))</f>
        <v>0</v>
      </c>
      <c r="P276" s="296">
        <f t="shared" ref="P276:P327" si="9">IF($M8="",0,IF($M8&gt;1500000,$L8-K276-L276-M276-N276-O276,0))</f>
        <v>0</v>
      </c>
      <c r="Q276" s="296">
        <f t="shared" ref="Q276:Q327" si="10">IF($M8="",0,IF($M8&gt;1000000,$L8-K276-L276-M276-N276-O276-P276,0))</f>
        <v>0</v>
      </c>
      <c r="R276" s="296">
        <f t="shared" ref="R276:R327" si="11">IF($M8="",0,IF($M8&gt;500000,$L8-K276-L276-M276-N276-O276-P276-Q276,0))</f>
        <v>0</v>
      </c>
      <c r="S276" s="296">
        <f t="shared" ref="S276:S327" si="12">IF($M8="",0,IF($M8&gt;250000,$L8-K276-L276-M276-N276-O276-P276-Q276-R276,0))</f>
        <v>0</v>
      </c>
      <c r="T276" s="31"/>
      <c r="U276" s="31"/>
    </row>
    <row r="277" spans="11:21" x14ac:dyDescent="0.15">
      <c r="K277" s="296">
        <f t="shared" ref="K277:K340" si="13">IF($M9="",0,IF($M9&gt;20000000,$L9,0))</f>
        <v>0</v>
      </c>
      <c r="L277" s="296">
        <f t="shared" si="5"/>
        <v>0</v>
      </c>
      <c r="M277" s="296">
        <f t="shared" si="6"/>
        <v>0</v>
      </c>
      <c r="N277" s="296">
        <f t="shared" si="7"/>
        <v>0</v>
      </c>
      <c r="O277" s="296">
        <f t="shared" si="8"/>
        <v>1</v>
      </c>
      <c r="P277" s="296">
        <f t="shared" si="9"/>
        <v>0</v>
      </c>
      <c r="Q277" s="296">
        <f t="shared" si="10"/>
        <v>0</v>
      </c>
      <c r="R277" s="296">
        <f t="shared" si="11"/>
        <v>0</v>
      </c>
      <c r="S277" s="296">
        <f t="shared" si="12"/>
        <v>0</v>
      </c>
    </row>
    <row r="278" spans="11:21" x14ac:dyDescent="0.15">
      <c r="K278" s="296">
        <f t="shared" si="13"/>
        <v>0</v>
      </c>
      <c r="L278" s="296">
        <f t="shared" si="5"/>
        <v>0</v>
      </c>
      <c r="M278" s="296">
        <f t="shared" si="6"/>
        <v>0</v>
      </c>
      <c r="N278" s="296">
        <f t="shared" si="7"/>
        <v>0</v>
      </c>
      <c r="O278" s="296">
        <f t="shared" si="8"/>
        <v>0</v>
      </c>
      <c r="P278" s="296">
        <f t="shared" si="9"/>
        <v>0</v>
      </c>
      <c r="Q278" s="296">
        <f t="shared" si="10"/>
        <v>0</v>
      </c>
      <c r="R278" s="296">
        <f t="shared" si="11"/>
        <v>0</v>
      </c>
      <c r="S278" s="296">
        <f t="shared" si="12"/>
        <v>1</v>
      </c>
    </row>
    <row r="279" spans="11:21" x14ac:dyDescent="0.15">
      <c r="K279" s="296">
        <f t="shared" si="13"/>
        <v>0</v>
      </c>
      <c r="L279" s="296">
        <f t="shared" si="5"/>
        <v>0</v>
      </c>
      <c r="M279" s="296">
        <f t="shared" si="6"/>
        <v>0</v>
      </c>
      <c r="N279" s="296">
        <f t="shared" si="7"/>
        <v>0</v>
      </c>
      <c r="O279" s="296">
        <f t="shared" si="8"/>
        <v>0</v>
      </c>
      <c r="P279" s="296">
        <f t="shared" si="9"/>
        <v>0</v>
      </c>
      <c r="Q279" s="296">
        <f t="shared" si="10"/>
        <v>1</v>
      </c>
      <c r="R279" s="296">
        <f t="shared" si="11"/>
        <v>0</v>
      </c>
      <c r="S279" s="296">
        <f t="shared" si="12"/>
        <v>0</v>
      </c>
    </row>
    <row r="280" spans="11:21" x14ac:dyDescent="0.15">
      <c r="K280" s="296">
        <f t="shared" si="13"/>
        <v>0</v>
      </c>
      <c r="L280" s="296">
        <f t="shared" si="5"/>
        <v>0</v>
      </c>
      <c r="M280" s="296">
        <f t="shared" si="6"/>
        <v>0</v>
      </c>
      <c r="N280" s="296">
        <f t="shared" si="7"/>
        <v>0</v>
      </c>
      <c r="O280" s="296">
        <f t="shared" si="8"/>
        <v>0</v>
      </c>
      <c r="P280" s="296">
        <f t="shared" si="9"/>
        <v>0</v>
      </c>
      <c r="Q280" s="296">
        <f t="shared" si="10"/>
        <v>0</v>
      </c>
      <c r="R280" s="296">
        <f t="shared" si="11"/>
        <v>0</v>
      </c>
      <c r="S280" s="296">
        <f t="shared" si="12"/>
        <v>0</v>
      </c>
    </row>
    <row r="281" spans="11:21" x14ac:dyDescent="0.15">
      <c r="K281" s="296">
        <f t="shared" si="13"/>
        <v>0</v>
      </c>
      <c r="L281" s="296">
        <f t="shared" si="5"/>
        <v>0</v>
      </c>
      <c r="M281" s="296">
        <f t="shared" si="6"/>
        <v>0</v>
      </c>
      <c r="N281" s="296">
        <f t="shared" si="7"/>
        <v>0</v>
      </c>
      <c r="O281" s="296">
        <f t="shared" si="8"/>
        <v>0</v>
      </c>
      <c r="P281" s="296">
        <f t="shared" si="9"/>
        <v>0</v>
      </c>
      <c r="Q281" s="296">
        <f t="shared" si="10"/>
        <v>0</v>
      </c>
      <c r="R281" s="296">
        <f t="shared" si="11"/>
        <v>2</v>
      </c>
      <c r="S281" s="296">
        <f t="shared" si="12"/>
        <v>0</v>
      </c>
    </row>
    <row r="282" spans="11:21" x14ac:dyDescent="0.15">
      <c r="K282" s="296">
        <f t="shared" si="13"/>
        <v>0</v>
      </c>
      <c r="L282" s="296">
        <f t="shared" si="5"/>
        <v>0</v>
      </c>
      <c r="M282" s="296">
        <f t="shared" si="6"/>
        <v>0</v>
      </c>
      <c r="N282" s="296">
        <f t="shared" si="7"/>
        <v>0</v>
      </c>
      <c r="O282" s="296">
        <f t="shared" si="8"/>
        <v>0</v>
      </c>
      <c r="P282" s="296">
        <f t="shared" si="9"/>
        <v>0</v>
      </c>
      <c r="Q282" s="296">
        <f t="shared" si="10"/>
        <v>0</v>
      </c>
      <c r="R282" s="296">
        <f t="shared" si="11"/>
        <v>0</v>
      </c>
      <c r="S282" s="296">
        <f t="shared" si="12"/>
        <v>0</v>
      </c>
    </row>
    <row r="283" spans="11:21" x14ac:dyDescent="0.15">
      <c r="K283" s="296">
        <f t="shared" si="13"/>
        <v>0</v>
      </c>
      <c r="L283" s="296">
        <f t="shared" si="5"/>
        <v>0</v>
      </c>
      <c r="M283" s="296">
        <f t="shared" si="6"/>
        <v>0</v>
      </c>
      <c r="N283" s="296">
        <f t="shared" si="7"/>
        <v>0</v>
      </c>
      <c r="O283" s="296">
        <f t="shared" si="8"/>
        <v>0</v>
      </c>
      <c r="P283" s="296">
        <f t="shared" si="9"/>
        <v>0</v>
      </c>
      <c r="Q283" s="296">
        <f t="shared" si="10"/>
        <v>0</v>
      </c>
      <c r="R283" s="296">
        <f t="shared" si="11"/>
        <v>0</v>
      </c>
      <c r="S283" s="296">
        <f t="shared" si="12"/>
        <v>0</v>
      </c>
    </row>
    <row r="284" spans="11:21" x14ac:dyDescent="0.15">
      <c r="K284" s="296">
        <f t="shared" si="13"/>
        <v>0</v>
      </c>
      <c r="L284" s="296">
        <f t="shared" si="5"/>
        <v>0</v>
      </c>
      <c r="M284" s="296">
        <f t="shared" si="6"/>
        <v>0</v>
      </c>
      <c r="N284" s="296">
        <f t="shared" si="7"/>
        <v>0</v>
      </c>
      <c r="O284" s="296">
        <f t="shared" si="8"/>
        <v>1</v>
      </c>
      <c r="P284" s="296">
        <f t="shared" si="9"/>
        <v>0</v>
      </c>
      <c r="Q284" s="296">
        <f t="shared" si="10"/>
        <v>0</v>
      </c>
      <c r="R284" s="296">
        <f t="shared" si="11"/>
        <v>0</v>
      </c>
      <c r="S284" s="296">
        <f t="shared" si="12"/>
        <v>0</v>
      </c>
    </row>
    <row r="285" spans="11:21" x14ac:dyDescent="0.15">
      <c r="K285" s="296">
        <f t="shared" si="13"/>
        <v>0</v>
      </c>
      <c r="L285" s="296">
        <f t="shared" si="5"/>
        <v>0</v>
      </c>
      <c r="M285" s="296">
        <f t="shared" si="6"/>
        <v>0</v>
      </c>
      <c r="N285" s="296">
        <f t="shared" si="7"/>
        <v>0</v>
      </c>
      <c r="O285" s="296">
        <f t="shared" si="8"/>
        <v>0</v>
      </c>
      <c r="P285" s="296">
        <f t="shared" si="9"/>
        <v>0</v>
      </c>
      <c r="Q285" s="296">
        <f t="shared" si="10"/>
        <v>1</v>
      </c>
      <c r="R285" s="296">
        <f t="shared" si="11"/>
        <v>0</v>
      </c>
      <c r="S285" s="296">
        <f t="shared" si="12"/>
        <v>0</v>
      </c>
    </row>
    <row r="286" spans="11:21" x14ac:dyDescent="0.15">
      <c r="K286" s="296">
        <f t="shared" si="13"/>
        <v>0</v>
      </c>
      <c r="L286" s="296">
        <f t="shared" si="5"/>
        <v>0</v>
      </c>
      <c r="M286" s="296">
        <f t="shared" si="6"/>
        <v>0</v>
      </c>
      <c r="N286" s="296">
        <f t="shared" si="7"/>
        <v>0</v>
      </c>
      <c r="O286" s="296">
        <f t="shared" si="8"/>
        <v>0</v>
      </c>
      <c r="P286" s="296">
        <f t="shared" si="9"/>
        <v>0</v>
      </c>
      <c r="Q286" s="296">
        <f t="shared" si="10"/>
        <v>0</v>
      </c>
      <c r="R286" s="296">
        <f t="shared" si="11"/>
        <v>0</v>
      </c>
      <c r="S286" s="296">
        <f t="shared" si="12"/>
        <v>0</v>
      </c>
    </row>
    <row r="287" spans="11:21" x14ac:dyDescent="0.15">
      <c r="K287" s="296">
        <f t="shared" si="13"/>
        <v>0</v>
      </c>
      <c r="L287" s="296">
        <f t="shared" si="5"/>
        <v>0</v>
      </c>
      <c r="M287" s="296">
        <f t="shared" si="6"/>
        <v>0</v>
      </c>
      <c r="N287" s="296">
        <f t="shared" si="7"/>
        <v>0</v>
      </c>
      <c r="O287" s="296">
        <f t="shared" si="8"/>
        <v>0</v>
      </c>
      <c r="P287" s="296">
        <f t="shared" si="9"/>
        <v>0</v>
      </c>
      <c r="Q287" s="296">
        <f t="shared" si="10"/>
        <v>0</v>
      </c>
      <c r="R287" s="296">
        <f t="shared" si="11"/>
        <v>2</v>
      </c>
      <c r="S287" s="296">
        <f t="shared" si="12"/>
        <v>0</v>
      </c>
    </row>
    <row r="288" spans="11:21" x14ac:dyDescent="0.15">
      <c r="K288" s="296">
        <f t="shared" si="13"/>
        <v>0</v>
      </c>
      <c r="L288" s="296">
        <f t="shared" si="5"/>
        <v>0</v>
      </c>
      <c r="M288" s="296">
        <f t="shared" si="6"/>
        <v>0</v>
      </c>
      <c r="N288" s="296">
        <f t="shared" si="7"/>
        <v>0</v>
      </c>
      <c r="O288" s="296">
        <f t="shared" si="8"/>
        <v>0</v>
      </c>
      <c r="P288" s="296">
        <f t="shared" si="9"/>
        <v>0</v>
      </c>
      <c r="Q288" s="296">
        <f t="shared" si="10"/>
        <v>0</v>
      </c>
      <c r="R288" s="296">
        <f t="shared" si="11"/>
        <v>0</v>
      </c>
      <c r="S288" s="296">
        <f t="shared" si="12"/>
        <v>0</v>
      </c>
    </row>
    <row r="289" spans="11:19" x14ac:dyDescent="0.15">
      <c r="K289" s="296">
        <f t="shared" si="13"/>
        <v>0</v>
      </c>
      <c r="L289" s="296">
        <f t="shared" si="5"/>
        <v>0</v>
      </c>
      <c r="M289" s="296">
        <f t="shared" si="6"/>
        <v>0</v>
      </c>
      <c r="N289" s="296">
        <f t="shared" si="7"/>
        <v>0</v>
      </c>
      <c r="O289" s="296">
        <f t="shared" si="8"/>
        <v>0</v>
      </c>
      <c r="P289" s="296">
        <f t="shared" si="9"/>
        <v>1</v>
      </c>
      <c r="Q289" s="296">
        <f t="shared" si="10"/>
        <v>0</v>
      </c>
      <c r="R289" s="296">
        <f t="shared" si="11"/>
        <v>0</v>
      </c>
      <c r="S289" s="296">
        <f t="shared" si="12"/>
        <v>0</v>
      </c>
    </row>
    <row r="290" spans="11:19" x14ac:dyDescent="0.15">
      <c r="K290" s="296">
        <f t="shared" si="13"/>
        <v>0</v>
      </c>
      <c r="L290" s="296">
        <f t="shared" si="5"/>
        <v>0</v>
      </c>
      <c r="M290" s="296">
        <f t="shared" si="6"/>
        <v>0</v>
      </c>
      <c r="N290" s="296">
        <f t="shared" si="7"/>
        <v>0</v>
      </c>
      <c r="O290" s="296">
        <f t="shared" si="8"/>
        <v>0</v>
      </c>
      <c r="P290" s="296">
        <f t="shared" si="9"/>
        <v>0</v>
      </c>
      <c r="Q290" s="296">
        <f t="shared" si="10"/>
        <v>0</v>
      </c>
      <c r="R290" s="296">
        <f t="shared" si="11"/>
        <v>0</v>
      </c>
      <c r="S290" s="296">
        <f t="shared" si="12"/>
        <v>0</v>
      </c>
    </row>
    <row r="291" spans="11:19" x14ac:dyDescent="0.15">
      <c r="K291" s="296">
        <f t="shared" si="13"/>
        <v>0</v>
      </c>
      <c r="L291" s="296">
        <f t="shared" si="5"/>
        <v>0</v>
      </c>
      <c r="M291" s="296">
        <f t="shared" si="6"/>
        <v>0</v>
      </c>
      <c r="N291" s="296">
        <f t="shared" si="7"/>
        <v>0</v>
      </c>
      <c r="O291" s="296">
        <f t="shared" si="8"/>
        <v>0</v>
      </c>
      <c r="P291" s="296">
        <f t="shared" si="9"/>
        <v>0</v>
      </c>
      <c r="Q291" s="296">
        <f t="shared" si="10"/>
        <v>0</v>
      </c>
      <c r="R291" s="296">
        <f t="shared" si="11"/>
        <v>0</v>
      </c>
      <c r="S291" s="296">
        <f t="shared" si="12"/>
        <v>0</v>
      </c>
    </row>
    <row r="292" spans="11:19" x14ac:dyDescent="0.15">
      <c r="K292" s="296">
        <f t="shared" si="13"/>
        <v>0</v>
      </c>
      <c r="L292" s="296">
        <f t="shared" si="5"/>
        <v>0</v>
      </c>
      <c r="M292" s="296">
        <f t="shared" si="6"/>
        <v>0</v>
      </c>
      <c r="N292" s="296">
        <f t="shared" si="7"/>
        <v>0</v>
      </c>
      <c r="O292" s="296">
        <f t="shared" si="8"/>
        <v>0</v>
      </c>
      <c r="P292" s="296">
        <f t="shared" si="9"/>
        <v>0</v>
      </c>
      <c r="Q292" s="296">
        <f t="shared" si="10"/>
        <v>0</v>
      </c>
      <c r="R292" s="296">
        <f t="shared" si="11"/>
        <v>0</v>
      </c>
      <c r="S292" s="296">
        <f t="shared" si="12"/>
        <v>0</v>
      </c>
    </row>
    <row r="293" spans="11:19" x14ac:dyDescent="0.15">
      <c r="K293" s="296">
        <f t="shared" si="13"/>
        <v>0</v>
      </c>
      <c r="L293" s="296">
        <f t="shared" si="5"/>
        <v>0</v>
      </c>
      <c r="M293" s="296">
        <f t="shared" si="6"/>
        <v>0</v>
      </c>
      <c r="N293" s="296">
        <f t="shared" si="7"/>
        <v>0</v>
      </c>
      <c r="O293" s="296">
        <f t="shared" si="8"/>
        <v>0</v>
      </c>
      <c r="P293" s="296">
        <f t="shared" si="9"/>
        <v>0</v>
      </c>
      <c r="Q293" s="296">
        <f t="shared" si="10"/>
        <v>0</v>
      </c>
      <c r="R293" s="296">
        <f t="shared" si="11"/>
        <v>0</v>
      </c>
      <c r="S293" s="296">
        <f t="shared" si="12"/>
        <v>0</v>
      </c>
    </row>
    <row r="294" spans="11:19" x14ac:dyDescent="0.15">
      <c r="K294" s="296">
        <f t="shared" si="13"/>
        <v>0</v>
      </c>
      <c r="L294" s="296">
        <f t="shared" si="5"/>
        <v>0</v>
      </c>
      <c r="M294" s="296">
        <f t="shared" si="6"/>
        <v>0</v>
      </c>
      <c r="N294" s="296">
        <f t="shared" si="7"/>
        <v>0</v>
      </c>
      <c r="O294" s="296">
        <f t="shared" si="8"/>
        <v>0</v>
      </c>
      <c r="P294" s="296">
        <f t="shared" si="9"/>
        <v>0</v>
      </c>
      <c r="Q294" s="296">
        <f t="shared" si="10"/>
        <v>0</v>
      </c>
      <c r="R294" s="296">
        <f t="shared" si="11"/>
        <v>0</v>
      </c>
      <c r="S294" s="296">
        <f t="shared" si="12"/>
        <v>0</v>
      </c>
    </row>
    <row r="295" spans="11:19" x14ac:dyDescent="0.15">
      <c r="K295" s="296">
        <f t="shared" si="13"/>
        <v>0</v>
      </c>
      <c r="L295" s="296">
        <f t="shared" si="5"/>
        <v>0</v>
      </c>
      <c r="M295" s="296">
        <f t="shared" si="6"/>
        <v>0</v>
      </c>
      <c r="N295" s="296">
        <f t="shared" si="7"/>
        <v>0</v>
      </c>
      <c r="O295" s="296">
        <f t="shared" si="8"/>
        <v>0</v>
      </c>
      <c r="P295" s="296">
        <f t="shared" si="9"/>
        <v>3</v>
      </c>
      <c r="Q295" s="296">
        <f t="shared" si="10"/>
        <v>0</v>
      </c>
      <c r="R295" s="296">
        <f t="shared" si="11"/>
        <v>0</v>
      </c>
      <c r="S295" s="296">
        <f t="shared" si="12"/>
        <v>0</v>
      </c>
    </row>
    <row r="296" spans="11:19" x14ac:dyDescent="0.15">
      <c r="K296" s="296">
        <f t="shared" si="13"/>
        <v>0</v>
      </c>
      <c r="L296" s="296">
        <f t="shared" si="5"/>
        <v>0</v>
      </c>
      <c r="M296" s="296">
        <f t="shared" si="6"/>
        <v>0</v>
      </c>
      <c r="N296" s="296">
        <f t="shared" si="7"/>
        <v>0</v>
      </c>
      <c r="O296" s="296">
        <f t="shared" si="8"/>
        <v>0</v>
      </c>
      <c r="P296" s="296">
        <f t="shared" si="9"/>
        <v>0</v>
      </c>
      <c r="Q296" s="296">
        <f t="shared" si="10"/>
        <v>0</v>
      </c>
      <c r="R296" s="296">
        <f t="shared" si="11"/>
        <v>0</v>
      </c>
      <c r="S296" s="296">
        <f t="shared" si="12"/>
        <v>0</v>
      </c>
    </row>
    <row r="297" spans="11:19" x14ac:dyDescent="0.15">
      <c r="K297" s="296">
        <f t="shared" si="13"/>
        <v>0</v>
      </c>
      <c r="L297" s="296">
        <f t="shared" si="5"/>
        <v>0</v>
      </c>
      <c r="M297" s="296">
        <f t="shared" si="6"/>
        <v>0</v>
      </c>
      <c r="N297" s="296">
        <f t="shared" si="7"/>
        <v>0</v>
      </c>
      <c r="O297" s="296">
        <f t="shared" si="8"/>
        <v>0</v>
      </c>
      <c r="P297" s="296">
        <f t="shared" si="9"/>
        <v>1</v>
      </c>
      <c r="Q297" s="296">
        <f t="shared" si="10"/>
        <v>0</v>
      </c>
      <c r="R297" s="296">
        <f t="shared" si="11"/>
        <v>0</v>
      </c>
      <c r="S297" s="296">
        <f t="shared" si="12"/>
        <v>0</v>
      </c>
    </row>
    <row r="298" spans="11:19" x14ac:dyDescent="0.15">
      <c r="K298" s="296">
        <f t="shared" si="13"/>
        <v>0</v>
      </c>
      <c r="L298" s="296">
        <f t="shared" si="5"/>
        <v>0</v>
      </c>
      <c r="M298" s="296">
        <f t="shared" si="6"/>
        <v>0</v>
      </c>
      <c r="N298" s="296">
        <f t="shared" si="7"/>
        <v>0</v>
      </c>
      <c r="O298" s="296">
        <f t="shared" si="8"/>
        <v>0</v>
      </c>
      <c r="P298" s="296">
        <f t="shared" si="9"/>
        <v>0</v>
      </c>
      <c r="Q298" s="296">
        <f t="shared" si="10"/>
        <v>0</v>
      </c>
      <c r="R298" s="296">
        <f t="shared" si="11"/>
        <v>0</v>
      </c>
      <c r="S298" s="296">
        <f t="shared" si="12"/>
        <v>0</v>
      </c>
    </row>
    <row r="299" spans="11:19" x14ac:dyDescent="0.15">
      <c r="K299" s="296">
        <f t="shared" si="13"/>
        <v>0</v>
      </c>
      <c r="L299" s="296">
        <f t="shared" si="5"/>
        <v>0</v>
      </c>
      <c r="M299" s="296">
        <f t="shared" si="6"/>
        <v>0</v>
      </c>
      <c r="N299" s="296">
        <f t="shared" si="7"/>
        <v>0</v>
      </c>
      <c r="O299" s="296">
        <f t="shared" si="8"/>
        <v>0</v>
      </c>
      <c r="P299" s="296">
        <f t="shared" si="9"/>
        <v>0</v>
      </c>
      <c r="Q299" s="296">
        <f t="shared" si="10"/>
        <v>0</v>
      </c>
      <c r="R299" s="296">
        <f t="shared" si="11"/>
        <v>0</v>
      </c>
      <c r="S299" s="296">
        <f t="shared" si="12"/>
        <v>0</v>
      </c>
    </row>
    <row r="300" spans="11:19" x14ac:dyDescent="0.15">
      <c r="K300" s="296">
        <f t="shared" si="13"/>
        <v>0</v>
      </c>
      <c r="L300" s="296">
        <f t="shared" si="5"/>
        <v>0</v>
      </c>
      <c r="M300" s="296">
        <f t="shared" si="6"/>
        <v>0</v>
      </c>
      <c r="N300" s="296">
        <f t="shared" si="7"/>
        <v>0</v>
      </c>
      <c r="O300" s="296">
        <f t="shared" si="8"/>
        <v>0</v>
      </c>
      <c r="P300" s="296">
        <f t="shared" si="9"/>
        <v>0</v>
      </c>
      <c r="Q300" s="296">
        <f t="shared" si="10"/>
        <v>0</v>
      </c>
      <c r="R300" s="296">
        <f t="shared" si="11"/>
        <v>0</v>
      </c>
      <c r="S300" s="296">
        <f t="shared" si="12"/>
        <v>0</v>
      </c>
    </row>
    <row r="301" spans="11:19" x14ac:dyDescent="0.15">
      <c r="K301" s="296">
        <f t="shared" si="13"/>
        <v>0</v>
      </c>
      <c r="L301" s="296">
        <f t="shared" si="5"/>
        <v>0</v>
      </c>
      <c r="M301" s="296">
        <f t="shared" si="6"/>
        <v>0</v>
      </c>
      <c r="N301" s="296">
        <f t="shared" si="7"/>
        <v>0</v>
      </c>
      <c r="O301" s="296">
        <f t="shared" si="8"/>
        <v>0</v>
      </c>
      <c r="P301" s="296">
        <f t="shared" si="9"/>
        <v>0</v>
      </c>
      <c r="Q301" s="296">
        <f t="shared" si="10"/>
        <v>0</v>
      </c>
      <c r="R301" s="296">
        <f t="shared" si="11"/>
        <v>0</v>
      </c>
      <c r="S301" s="296">
        <f t="shared" si="12"/>
        <v>0</v>
      </c>
    </row>
    <row r="302" spans="11:19" x14ac:dyDescent="0.15">
      <c r="K302" s="296">
        <f t="shared" si="13"/>
        <v>0</v>
      </c>
      <c r="L302" s="296">
        <f t="shared" si="5"/>
        <v>0</v>
      </c>
      <c r="M302" s="296">
        <f t="shared" si="6"/>
        <v>0</v>
      </c>
      <c r="N302" s="296">
        <f t="shared" si="7"/>
        <v>0</v>
      </c>
      <c r="O302" s="296">
        <f t="shared" si="8"/>
        <v>0</v>
      </c>
      <c r="P302" s="296">
        <f t="shared" si="9"/>
        <v>0</v>
      </c>
      <c r="Q302" s="296">
        <f t="shared" si="10"/>
        <v>0</v>
      </c>
      <c r="R302" s="296">
        <f t="shared" si="11"/>
        <v>0</v>
      </c>
      <c r="S302" s="296">
        <f t="shared" si="12"/>
        <v>0</v>
      </c>
    </row>
    <row r="303" spans="11:19" x14ac:dyDescent="0.15">
      <c r="K303" s="296">
        <f t="shared" si="13"/>
        <v>0</v>
      </c>
      <c r="L303" s="296">
        <f t="shared" si="5"/>
        <v>0</v>
      </c>
      <c r="M303" s="296">
        <f t="shared" si="6"/>
        <v>0</v>
      </c>
      <c r="N303" s="296">
        <f t="shared" si="7"/>
        <v>0</v>
      </c>
      <c r="O303" s="296">
        <f t="shared" si="8"/>
        <v>1</v>
      </c>
      <c r="P303" s="296">
        <f t="shared" si="9"/>
        <v>0</v>
      </c>
      <c r="Q303" s="296">
        <f t="shared" si="10"/>
        <v>0</v>
      </c>
      <c r="R303" s="296">
        <f t="shared" si="11"/>
        <v>0</v>
      </c>
      <c r="S303" s="296">
        <f t="shared" si="12"/>
        <v>0</v>
      </c>
    </row>
    <row r="304" spans="11:19" x14ac:dyDescent="0.15">
      <c r="K304" s="296">
        <f t="shared" si="13"/>
        <v>0</v>
      </c>
      <c r="L304" s="296">
        <f t="shared" si="5"/>
        <v>0</v>
      </c>
      <c r="M304" s="296">
        <f t="shared" si="6"/>
        <v>0</v>
      </c>
      <c r="N304" s="296">
        <f t="shared" si="7"/>
        <v>0</v>
      </c>
      <c r="O304" s="296">
        <f t="shared" si="8"/>
        <v>0</v>
      </c>
      <c r="P304" s="296">
        <f t="shared" si="9"/>
        <v>0</v>
      </c>
      <c r="Q304" s="296">
        <f t="shared" si="10"/>
        <v>0</v>
      </c>
      <c r="R304" s="296">
        <f t="shared" si="11"/>
        <v>0</v>
      </c>
      <c r="S304" s="296">
        <f t="shared" si="12"/>
        <v>0</v>
      </c>
    </row>
    <row r="305" spans="11:19" x14ac:dyDescent="0.15">
      <c r="K305" s="296">
        <f t="shared" si="13"/>
        <v>0</v>
      </c>
      <c r="L305" s="296">
        <f t="shared" si="5"/>
        <v>0</v>
      </c>
      <c r="M305" s="296">
        <f t="shared" si="6"/>
        <v>0</v>
      </c>
      <c r="N305" s="296">
        <f t="shared" si="7"/>
        <v>0</v>
      </c>
      <c r="O305" s="296">
        <f t="shared" si="8"/>
        <v>0</v>
      </c>
      <c r="P305" s="296">
        <f t="shared" si="9"/>
        <v>1</v>
      </c>
      <c r="Q305" s="296">
        <f t="shared" si="10"/>
        <v>0</v>
      </c>
      <c r="R305" s="296">
        <f t="shared" si="11"/>
        <v>0</v>
      </c>
      <c r="S305" s="296">
        <f t="shared" si="12"/>
        <v>0</v>
      </c>
    </row>
    <row r="306" spans="11:19" x14ac:dyDescent="0.15">
      <c r="K306" s="296">
        <f t="shared" si="13"/>
        <v>0</v>
      </c>
      <c r="L306" s="296">
        <f t="shared" si="5"/>
        <v>0</v>
      </c>
      <c r="M306" s="296">
        <f t="shared" si="6"/>
        <v>0</v>
      </c>
      <c r="N306" s="296">
        <f t="shared" si="7"/>
        <v>0</v>
      </c>
      <c r="O306" s="296">
        <f t="shared" si="8"/>
        <v>0</v>
      </c>
      <c r="P306" s="296">
        <f t="shared" si="9"/>
        <v>0</v>
      </c>
      <c r="Q306" s="296">
        <f t="shared" si="10"/>
        <v>0</v>
      </c>
      <c r="R306" s="296">
        <f t="shared" si="11"/>
        <v>0</v>
      </c>
      <c r="S306" s="296">
        <f t="shared" si="12"/>
        <v>1</v>
      </c>
    </row>
    <row r="307" spans="11:19" x14ac:dyDescent="0.15">
      <c r="K307" s="296">
        <f t="shared" si="13"/>
        <v>0</v>
      </c>
      <c r="L307" s="296">
        <f t="shared" si="5"/>
        <v>0</v>
      </c>
      <c r="M307" s="296">
        <f t="shared" si="6"/>
        <v>0</v>
      </c>
      <c r="N307" s="296">
        <f t="shared" si="7"/>
        <v>0</v>
      </c>
      <c r="O307" s="296">
        <f t="shared" si="8"/>
        <v>0</v>
      </c>
      <c r="P307" s="296">
        <f t="shared" si="9"/>
        <v>0</v>
      </c>
      <c r="Q307" s="296">
        <f t="shared" si="10"/>
        <v>1</v>
      </c>
      <c r="R307" s="296">
        <f t="shared" si="11"/>
        <v>0</v>
      </c>
      <c r="S307" s="296">
        <f t="shared" si="12"/>
        <v>0</v>
      </c>
    </row>
    <row r="308" spans="11:19" x14ac:dyDescent="0.15">
      <c r="K308" s="296">
        <f t="shared" si="13"/>
        <v>0</v>
      </c>
      <c r="L308" s="296">
        <f t="shared" si="5"/>
        <v>0</v>
      </c>
      <c r="M308" s="296">
        <f t="shared" si="6"/>
        <v>0</v>
      </c>
      <c r="N308" s="296">
        <f t="shared" si="7"/>
        <v>0</v>
      </c>
      <c r="O308" s="296">
        <f t="shared" si="8"/>
        <v>0</v>
      </c>
      <c r="P308" s="296">
        <f t="shared" si="9"/>
        <v>0</v>
      </c>
      <c r="Q308" s="296">
        <f t="shared" si="10"/>
        <v>0</v>
      </c>
      <c r="R308" s="296">
        <f t="shared" si="11"/>
        <v>0</v>
      </c>
      <c r="S308" s="296">
        <f t="shared" si="12"/>
        <v>0</v>
      </c>
    </row>
    <row r="309" spans="11:19" x14ac:dyDescent="0.15">
      <c r="K309" s="296">
        <f t="shared" si="13"/>
        <v>0</v>
      </c>
      <c r="L309" s="296">
        <f t="shared" si="5"/>
        <v>0</v>
      </c>
      <c r="M309" s="296">
        <f t="shared" si="6"/>
        <v>0</v>
      </c>
      <c r="N309" s="296">
        <f t="shared" si="7"/>
        <v>0</v>
      </c>
      <c r="O309" s="296">
        <f t="shared" si="8"/>
        <v>0</v>
      </c>
      <c r="P309" s="296">
        <f t="shared" si="9"/>
        <v>0</v>
      </c>
      <c r="Q309" s="296">
        <f t="shared" si="10"/>
        <v>0</v>
      </c>
      <c r="R309" s="296">
        <f t="shared" si="11"/>
        <v>0</v>
      </c>
      <c r="S309" s="296">
        <f t="shared" si="12"/>
        <v>0</v>
      </c>
    </row>
    <row r="310" spans="11:19" x14ac:dyDescent="0.15">
      <c r="K310" s="296">
        <f t="shared" si="13"/>
        <v>0</v>
      </c>
      <c r="L310" s="296">
        <f t="shared" si="5"/>
        <v>0</v>
      </c>
      <c r="M310" s="296">
        <f t="shared" si="6"/>
        <v>0</v>
      </c>
      <c r="N310" s="296">
        <f t="shared" si="7"/>
        <v>0</v>
      </c>
      <c r="O310" s="296">
        <f t="shared" si="8"/>
        <v>0</v>
      </c>
      <c r="P310" s="296">
        <f t="shared" si="9"/>
        <v>0</v>
      </c>
      <c r="Q310" s="296">
        <f t="shared" si="10"/>
        <v>0</v>
      </c>
      <c r="R310" s="296">
        <f t="shared" si="11"/>
        <v>0</v>
      </c>
      <c r="S310" s="296">
        <f t="shared" si="12"/>
        <v>0</v>
      </c>
    </row>
    <row r="311" spans="11:19" x14ac:dyDescent="0.15">
      <c r="K311" s="296">
        <f t="shared" si="13"/>
        <v>0</v>
      </c>
      <c r="L311" s="296">
        <f t="shared" si="5"/>
        <v>0</v>
      </c>
      <c r="M311" s="296">
        <f t="shared" si="6"/>
        <v>0</v>
      </c>
      <c r="N311" s="296">
        <f t="shared" si="7"/>
        <v>0</v>
      </c>
      <c r="O311" s="296">
        <f t="shared" si="8"/>
        <v>0</v>
      </c>
      <c r="P311" s="296">
        <f t="shared" si="9"/>
        <v>0</v>
      </c>
      <c r="Q311" s="296">
        <f t="shared" si="10"/>
        <v>0</v>
      </c>
      <c r="R311" s="296">
        <f t="shared" si="11"/>
        <v>0</v>
      </c>
      <c r="S311" s="296">
        <f t="shared" si="12"/>
        <v>0</v>
      </c>
    </row>
    <row r="312" spans="11:19" x14ac:dyDescent="0.15">
      <c r="K312" s="296">
        <f t="shared" si="13"/>
        <v>0</v>
      </c>
      <c r="L312" s="296">
        <f t="shared" si="5"/>
        <v>0</v>
      </c>
      <c r="M312" s="296">
        <f t="shared" si="6"/>
        <v>0</v>
      </c>
      <c r="N312" s="296">
        <f t="shared" si="7"/>
        <v>0</v>
      </c>
      <c r="O312" s="296">
        <f t="shared" si="8"/>
        <v>1</v>
      </c>
      <c r="P312" s="296">
        <f t="shared" si="9"/>
        <v>0</v>
      </c>
      <c r="Q312" s="296">
        <f t="shared" si="10"/>
        <v>0</v>
      </c>
      <c r="R312" s="296">
        <f t="shared" si="11"/>
        <v>0</v>
      </c>
      <c r="S312" s="296">
        <f t="shared" si="12"/>
        <v>0</v>
      </c>
    </row>
    <row r="313" spans="11:19" x14ac:dyDescent="0.15">
      <c r="K313" s="296">
        <f t="shared" si="13"/>
        <v>0</v>
      </c>
      <c r="L313" s="296">
        <f t="shared" si="5"/>
        <v>0</v>
      </c>
      <c r="M313" s="296">
        <f t="shared" si="6"/>
        <v>0</v>
      </c>
      <c r="N313" s="296">
        <f t="shared" si="7"/>
        <v>0</v>
      </c>
      <c r="O313" s="296">
        <f t="shared" si="8"/>
        <v>0</v>
      </c>
      <c r="P313" s="296">
        <f t="shared" si="9"/>
        <v>0</v>
      </c>
      <c r="Q313" s="296">
        <f t="shared" si="10"/>
        <v>0</v>
      </c>
      <c r="R313" s="296">
        <f t="shared" si="11"/>
        <v>0</v>
      </c>
      <c r="S313" s="296">
        <f t="shared" si="12"/>
        <v>0</v>
      </c>
    </row>
    <row r="314" spans="11:19" x14ac:dyDescent="0.15">
      <c r="K314" s="296">
        <f t="shared" si="13"/>
        <v>0</v>
      </c>
      <c r="L314" s="296">
        <f t="shared" si="5"/>
        <v>0</v>
      </c>
      <c r="M314" s="296">
        <f t="shared" si="6"/>
        <v>0</v>
      </c>
      <c r="N314" s="296">
        <f t="shared" si="7"/>
        <v>0</v>
      </c>
      <c r="O314" s="296">
        <f t="shared" si="8"/>
        <v>0</v>
      </c>
      <c r="P314" s="296">
        <f t="shared" si="9"/>
        <v>0</v>
      </c>
      <c r="Q314" s="296">
        <f t="shared" si="10"/>
        <v>0</v>
      </c>
      <c r="R314" s="296">
        <f t="shared" si="11"/>
        <v>0</v>
      </c>
      <c r="S314" s="296">
        <f t="shared" si="12"/>
        <v>0</v>
      </c>
    </row>
    <row r="315" spans="11:19" x14ac:dyDescent="0.15">
      <c r="K315" s="296">
        <f t="shared" si="13"/>
        <v>0</v>
      </c>
      <c r="L315" s="296">
        <f t="shared" si="5"/>
        <v>0</v>
      </c>
      <c r="M315" s="296">
        <f t="shared" si="6"/>
        <v>0</v>
      </c>
      <c r="N315" s="296">
        <f t="shared" si="7"/>
        <v>0</v>
      </c>
      <c r="O315" s="296">
        <f t="shared" si="8"/>
        <v>0</v>
      </c>
      <c r="P315" s="296">
        <f t="shared" si="9"/>
        <v>0</v>
      </c>
      <c r="Q315" s="296">
        <f t="shared" si="10"/>
        <v>2</v>
      </c>
      <c r="R315" s="296">
        <f t="shared" si="11"/>
        <v>0</v>
      </c>
      <c r="S315" s="296">
        <f t="shared" si="12"/>
        <v>0</v>
      </c>
    </row>
    <row r="316" spans="11:19" x14ac:dyDescent="0.15">
      <c r="K316" s="296">
        <f t="shared" si="13"/>
        <v>0</v>
      </c>
      <c r="L316" s="296">
        <f t="shared" si="5"/>
        <v>0</v>
      </c>
      <c r="M316" s="296">
        <f t="shared" si="6"/>
        <v>0</v>
      </c>
      <c r="N316" s="296">
        <f t="shared" si="7"/>
        <v>0</v>
      </c>
      <c r="O316" s="296">
        <f t="shared" si="8"/>
        <v>0</v>
      </c>
      <c r="P316" s="296">
        <f t="shared" si="9"/>
        <v>0</v>
      </c>
      <c r="Q316" s="296">
        <f t="shared" si="10"/>
        <v>0</v>
      </c>
      <c r="R316" s="296">
        <f t="shared" si="11"/>
        <v>0</v>
      </c>
      <c r="S316" s="296">
        <f t="shared" si="12"/>
        <v>1</v>
      </c>
    </row>
    <row r="317" spans="11:19" x14ac:dyDescent="0.15">
      <c r="K317" s="296">
        <f t="shared" si="13"/>
        <v>0</v>
      </c>
      <c r="L317" s="296">
        <f t="shared" si="5"/>
        <v>0</v>
      </c>
      <c r="M317" s="296">
        <f t="shared" si="6"/>
        <v>0</v>
      </c>
      <c r="N317" s="296">
        <f t="shared" si="7"/>
        <v>0</v>
      </c>
      <c r="O317" s="296">
        <f t="shared" si="8"/>
        <v>0</v>
      </c>
      <c r="P317" s="296">
        <f t="shared" si="9"/>
        <v>0</v>
      </c>
      <c r="Q317" s="296">
        <f t="shared" si="10"/>
        <v>0</v>
      </c>
      <c r="R317" s="296">
        <f t="shared" si="11"/>
        <v>0</v>
      </c>
      <c r="S317" s="296">
        <f t="shared" si="12"/>
        <v>0</v>
      </c>
    </row>
    <row r="318" spans="11:19" x14ac:dyDescent="0.15">
      <c r="K318" s="296">
        <f t="shared" si="13"/>
        <v>0</v>
      </c>
      <c r="L318" s="296">
        <f t="shared" si="5"/>
        <v>0</v>
      </c>
      <c r="M318" s="296">
        <f t="shared" si="6"/>
        <v>0</v>
      </c>
      <c r="N318" s="296">
        <f t="shared" si="7"/>
        <v>0</v>
      </c>
      <c r="O318" s="296">
        <f t="shared" si="8"/>
        <v>0</v>
      </c>
      <c r="P318" s="296">
        <f t="shared" si="9"/>
        <v>0</v>
      </c>
      <c r="Q318" s="296">
        <f t="shared" si="10"/>
        <v>0</v>
      </c>
      <c r="R318" s="296">
        <f t="shared" si="11"/>
        <v>0</v>
      </c>
      <c r="S318" s="296">
        <f t="shared" si="12"/>
        <v>0</v>
      </c>
    </row>
    <row r="319" spans="11:19" x14ac:dyDescent="0.15">
      <c r="K319" s="296">
        <f t="shared" si="13"/>
        <v>0</v>
      </c>
      <c r="L319" s="296">
        <f t="shared" si="5"/>
        <v>0</v>
      </c>
      <c r="M319" s="296">
        <f t="shared" si="6"/>
        <v>0</v>
      </c>
      <c r="N319" s="296">
        <f t="shared" si="7"/>
        <v>0</v>
      </c>
      <c r="O319" s="296">
        <f t="shared" si="8"/>
        <v>0</v>
      </c>
      <c r="P319" s="296">
        <f t="shared" si="9"/>
        <v>0</v>
      </c>
      <c r="Q319" s="296">
        <f t="shared" si="10"/>
        <v>0</v>
      </c>
      <c r="R319" s="296">
        <f t="shared" si="11"/>
        <v>0</v>
      </c>
      <c r="S319" s="296">
        <f t="shared" si="12"/>
        <v>0</v>
      </c>
    </row>
    <row r="320" spans="11:19" x14ac:dyDescent="0.15">
      <c r="K320" s="296">
        <f t="shared" si="13"/>
        <v>0</v>
      </c>
      <c r="L320" s="296">
        <f t="shared" si="5"/>
        <v>0</v>
      </c>
      <c r="M320" s="296">
        <f t="shared" si="6"/>
        <v>0</v>
      </c>
      <c r="N320" s="296">
        <f t="shared" si="7"/>
        <v>0</v>
      </c>
      <c r="O320" s="296">
        <f t="shared" si="8"/>
        <v>1</v>
      </c>
      <c r="P320" s="296">
        <f t="shared" si="9"/>
        <v>0</v>
      </c>
      <c r="Q320" s="296">
        <f t="shared" si="10"/>
        <v>0</v>
      </c>
      <c r="R320" s="296">
        <f t="shared" si="11"/>
        <v>0</v>
      </c>
      <c r="S320" s="296">
        <f t="shared" si="12"/>
        <v>0</v>
      </c>
    </row>
    <row r="321" spans="11:19" x14ac:dyDescent="0.15">
      <c r="K321" s="296">
        <f t="shared" si="13"/>
        <v>0</v>
      </c>
      <c r="L321" s="296">
        <f t="shared" si="5"/>
        <v>0</v>
      </c>
      <c r="M321" s="296">
        <f t="shared" si="6"/>
        <v>0</v>
      </c>
      <c r="N321" s="296">
        <f t="shared" si="7"/>
        <v>0</v>
      </c>
      <c r="O321" s="296">
        <f t="shared" si="8"/>
        <v>0</v>
      </c>
      <c r="P321" s="296">
        <f t="shared" si="9"/>
        <v>0</v>
      </c>
      <c r="Q321" s="296">
        <f t="shared" si="10"/>
        <v>0</v>
      </c>
      <c r="R321" s="296">
        <f t="shared" si="11"/>
        <v>1</v>
      </c>
      <c r="S321" s="296">
        <f t="shared" si="12"/>
        <v>0</v>
      </c>
    </row>
    <row r="322" spans="11:19" x14ac:dyDescent="0.15">
      <c r="K322" s="296">
        <f t="shared" si="13"/>
        <v>0</v>
      </c>
      <c r="L322" s="296">
        <f t="shared" si="5"/>
        <v>0</v>
      </c>
      <c r="M322" s="296">
        <f t="shared" si="6"/>
        <v>0</v>
      </c>
      <c r="N322" s="296">
        <f t="shared" si="7"/>
        <v>0</v>
      </c>
      <c r="O322" s="296">
        <f t="shared" si="8"/>
        <v>0</v>
      </c>
      <c r="P322" s="296">
        <f t="shared" si="9"/>
        <v>0</v>
      </c>
      <c r="Q322" s="296">
        <f t="shared" si="10"/>
        <v>0</v>
      </c>
      <c r="R322" s="296">
        <f t="shared" si="11"/>
        <v>0</v>
      </c>
      <c r="S322" s="296">
        <f t="shared" si="12"/>
        <v>0</v>
      </c>
    </row>
    <row r="323" spans="11:19" x14ac:dyDescent="0.15">
      <c r="K323" s="296">
        <f t="shared" si="13"/>
        <v>0</v>
      </c>
      <c r="L323" s="296">
        <f t="shared" si="5"/>
        <v>0</v>
      </c>
      <c r="M323" s="296">
        <f t="shared" si="6"/>
        <v>0</v>
      </c>
      <c r="N323" s="296">
        <f t="shared" si="7"/>
        <v>0</v>
      </c>
      <c r="O323" s="296">
        <f t="shared" si="8"/>
        <v>0</v>
      </c>
      <c r="P323" s="296">
        <f t="shared" si="9"/>
        <v>0</v>
      </c>
      <c r="Q323" s="296">
        <f t="shared" si="10"/>
        <v>1</v>
      </c>
      <c r="R323" s="296">
        <f t="shared" si="11"/>
        <v>0</v>
      </c>
      <c r="S323" s="296">
        <f t="shared" si="12"/>
        <v>0</v>
      </c>
    </row>
    <row r="324" spans="11:19" x14ac:dyDescent="0.15">
      <c r="K324" s="296">
        <f t="shared" si="13"/>
        <v>0</v>
      </c>
      <c r="L324" s="296">
        <f t="shared" si="5"/>
        <v>0</v>
      </c>
      <c r="M324" s="296">
        <f t="shared" si="6"/>
        <v>0</v>
      </c>
      <c r="N324" s="296">
        <f t="shared" si="7"/>
        <v>0</v>
      </c>
      <c r="O324" s="296">
        <f t="shared" si="8"/>
        <v>0</v>
      </c>
      <c r="P324" s="296">
        <f t="shared" si="9"/>
        <v>0</v>
      </c>
      <c r="Q324" s="296">
        <f t="shared" si="10"/>
        <v>0</v>
      </c>
      <c r="R324" s="296">
        <f t="shared" si="11"/>
        <v>0</v>
      </c>
      <c r="S324" s="296">
        <f t="shared" si="12"/>
        <v>0</v>
      </c>
    </row>
    <row r="325" spans="11:19" x14ac:dyDescent="0.15">
      <c r="K325" s="296">
        <f t="shared" si="13"/>
        <v>0</v>
      </c>
      <c r="L325" s="296">
        <f t="shared" si="5"/>
        <v>0</v>
      </c>
      <c r="M325" s="296">
        <f t="shared" si="6"/>
        <v>0</v>
      </c>
      <c r="N325" s="296">
        <f t="shared" si="7"/>
        <v>0</v>
      </c>
      <c r="O325" s="296">
        <f t="shared" si="8"/>
        <v>0</v>
      </c>
      <c r="P325" s="296">
        <f t="shared" si="9"/>
        <v>0</v>
      </c>
      <c r="Q325" s="296">
        <f t="shared" si="10"/>
        <v>0</v>
      </c>
      <c r="R325" s="296">
        <f t="shared" si="11"/>
        <v>0</v>
      </c>
      <c r="S325" s="296">
        <f t="shared" si="12"/>
        <v>0</v>
      </c>
    </row>
    <row r="326" spans="11:19" x14ac:dyDescent="0.15">
      <c r="K326" s="296">
        <f t="shared" si="13"/>
        <v>0</v>
      </c>
      <c r="L326" s="296">
        <f t="shared" si="5"/>
        <v>0</v>
      </c>
      <c r="M326" s="296">
        <f t="shared" si="6"/>
        <v>0</v>
      </c>
      <c r="N326" s="296">
        <f t="shared" si="7"/>
        <v>0</v>
      </c>
      <c r="O326" s="296">
        <f t="shared" si="8"/>
        <v>0</v>
      </c>
      <c r="P326" s="296">
        <f t="shared" si="9"/>
        <v>0</v>
      </c>
      <c r="Q326" s="296">
        <f t="shared" si="10"/>
        <v>0</v>
      </c>
      <c r="R326" s="296">
        <f t="shared" si="11"/>
        <v>0</v>
      </c>
      <c r="S326" s="296">
        <f t="shared" si="12"/>
        <v>0</v>
      </c>
    </row>
    <row r="327" spans="11:19" x14ac:dyDescent="0.15">
      <c r="K327" s="296">
        <f t="shared" si="13"/>
        <v>0</v>
      </c>
      <c r="L327" s="296">
        <f t="shared" si="5"/>
        <v>0</v>
      </c>
      <c r="M327" s="296">
        <f t="shared" si="6"/>
        <v>0</v>
      </c>
      <c r="N327" s="296">
        <f t="shared" si="7"/>
        <v>0</v>
      </c>
      <c r="O327" s="296">
        <f t="shared" si="8"/>
        <v>0</v>
      </c>
      <c r="P327" s="296">
        <f t="shared" si="9"/>
        <v>0</v>
      </c>
      <c r="Q327" s="296">
        <f t="shared" si="10"/>
        <v>2</v>
      </c>
      <c r="R327" s="296">
        <f t="shared" si="11"/>
        <v>0</v>
      </c>
      <c r="S327" s="296">
        <f t="shared" si="12"/>
        <v>0</v>
      </c>
    </row>
    <row r="328" spans="11:19" x14ac:dyDescent="0.15">
      <c r="K328" s="296"/>
      <c r="L328" s="296"/>
      <c r="M328" s="296"/>
      <c r="N328" s="296"/>
      <c r="O328" s="296"/>
      <c r="P328" s="296"/>
      <c r="Q328" s="296"/>
      <c r="R328" s="296"/>
      <c r="S328" s="296"/>
    </row>
    <row r="329" spans="11:19" x14ac:dyDescent="0.15">
      <c r="K329" s="296"/>
      <c r="L329" s="296"/>
      <c r="M329" s="296"/>
      <c r="N329" s="296"/>
      <c r="O329" s="296"/>
      <c r="P329" s="296"/>
      <c r="Q329" s="296"/>
      <c r="R329" s="296"/>
      <c r="S329" s="296"/>
    </row>
    <row r="330" spans="11:19" x14ac:dyDescent="0.15">
      <c r="K330" s="296"/>
      <c r="L330" s="296"/>
      <c r="M330" s="296"/>
      <c r="N330" s="296"/>
      <c r="O330" s="296"/>
      <c r="P330" s="296"/>
      <c r="Q330" s="296"/>
      <c r="R330" s="296"/>
      <c r="S330" s="296"/>
    </row>
    <row r="331" spans="11:19" x14ac:dyDescent="0.15">
      <c r="K331" s="296"/>
      <c r="L331" s="296"/>
      <c r="M331" s="296"/>
      <c r="N331" s="296"/>
      <c r="O331" s="296"/>
      <c r="P331" s="296"/>
      <c r="Q331" s="296"/>
      <c r="R331" s="296"/>
      <c r="S331" s="296"/>
    </row>
    <row r="332" spans="11:19" x14ac:dyDescent="0.15">
      <c r="K332" s="296"/>
      <c r="L332" s="296"/>
      <c r="M332" s="296"/>
      <c r="N332" s="296"/>
      <c r="O332" s="296"/>
      <c r="P332" s="296"/>
      <c r="Q332" s="296"/>
      <c r="R332" s="296"/>
      <c r="S332" s="296"/>
    </row>
    <row r="333" spans="11:19" x14ac:dyDescent="0.15">
      <c r="K333" s="296"/>
      <c r="L333" s="296"/>
      <c r="M333" s="296"/>
      <c r="N333" s="296"/>
      <c r="O333" s="296"/>
      <c r="P333" s="296"/>
      <c r="Q333" s="296"/>
      <c r="R333" s="296"/>
      <c r="S333" s="296"/>
    </row>
    <row r="334" spans="11:19" x14ac:dyDescent="0.15">
      <c r="K334" s="296"/>
      <c r="L334" s="296"/>
      <c r="M334" s="296"/>
      <c r="N334" s="296"/>
      <c r="O334" s="296"/>
      <c r="P334" s="296"/>
      <c r="Q334" s="296"/>
      <c r="R334" s="296"/>
      <c r="S334" s="296"/>
    </row>
    <row r="335" spans="11:19" x14ac:dyDescent="0.15">
      <c r="K335" s="296"/>
      <c r="L335" s="296"/>
      <c r="M335" s="296"/>
      <c r="N335" s="296"/>
      <c r="O335" s="296"/>
      <c r="P335" s="296"/>
      <c r="Q335" s="296"/>
      <c r="R335" s="296"/>
      <c r="S335" s="296"/>
    </row>
    <row r="336" spans="11:19" x14ac:dyDescent="0.15">
      <c r="K336" s="296"/>
      <c r="L336" s="296"/>
      <c r="M336" s="296"/>
      <c r="N336" s="296"/>
      <c r="O336" s="296"/>
      <c r="P336" s="296"/>
      <c r="Q336" s="296"/>
      <c r="R336" s="296"/>
      <c r="S336" s="296"/>
    </row>
    <row r="337" spans="11:19" x14ac:dyDescent="0.15">
      <c r="K337" s="296"/>
      <c r="L337" s="296"/>
      <c r="M337" s="296"/>
      <c r="N337" s="296"/>
      <c r="O337" s="296"/>
      <c r="P337" s="296"/>
      <c r="Q337" s="296"/>
      <c r="R337" s="296"/>
      <c r="S337" s="296"/>
    </row>
    <row r="338" spans="11:19" x14ac:dyDescent="0.15">
      <c r="K338" s="296">
        <f t="shared" si="13"/>
        <v>0</v>
      </c>
      <c r="L338" s="296">
        <f t="shared" ref="L338:L389" si="14">IF($M70="",0,IF($M70&gt;10000000,$L70-K338,0))</f>
        <v>0</v>
      </c>
      <c r="M338" s="296">
        <f t="shared" ref="M338:M389" si="15">IF($M70="",0,IF($M70&gt;7500000,$L70-K338-L338,0))</f>
        <v>0</v>
      </c>
      <c r="N338" s="296">
        <f t="shared" ref="N338:N389" si="16">IF($M70="",0,IF($M70&gt;5000000,$L70-K338-L338-M338,0))</f>
        <v>0</v>
      </c>
      <c r="O338" s="296">
        <f t="shared" ref="O338:O389" si="17">IF($M70="",0,IF($M70&gt;2500000,$L70-K338-L338-M338-N338,0))</f>
        <v>0</v>
      </c>
      <c r="P338" s="296">
        <f t="shared" ref="P338:P389" si="18">IF($M70="",0,IF($M70&gt;1500000,$L70-K338-L338-M338-N338-O338,0))</f>
        <v>0</v>
      </c>
      <c r="Q338" s="296">
        <f t="shared" ref="Q338:Q389" si="19">IF($M70="",0,IF($M70&gt;1000000,$L70-K338-L338-M338-N338-O338-P338,0))</f>
        <v>0</v>
      </c>
      <c r="R338" s="296">
        <f t="shared" ref="R338:R389" si="20">IF($M70="",0,IF($M70&gt;500000,$L70-K338-L338-M338-N338-O338-P338-Q338,0))</f>
        <v>0</v>
      </c>
      <c r="S338" s="296">
        <f t="shared" ref="S338:S389" si="21">IF($M70="",0,IF($M70&gt;250000,$L70-K338-L338-M338-N338-O338-P338-Q338-R338,0))</f>
        <v>0</v>
      </c>
    </row>
    <row r="339" spans="11:19" x14ac:dyDescent="0.15">
      <c r="K339" s="296">
        <f t="shared" si="13"/>
        <v>0</v>
      </c>
      <c r="L339" s="296">
        <f t="shared" si="14"/>
        <v>0</v>
      </c>
      <c r="M339" s="296">
        <f t="shared" si="15"/>
        <v>0</v>
      </c>
      <c r="N339" s="296">
        <f t="shared" si="16"/>
        <v>0</v>
      </c>
      <c r="O339" s="296">
        <f t="shared" si="17"/>
        <v>0</v>
      </c>
      <c r="P339" s="296">
        <f t="shared" si="18"/>
        <v>0</v>
      </c>
      <c r="Q339" s="296">
        <f t="shared" si="19"/>
        <v>0</v>
      </c>
      <c r="R339" s="296">
        <f t="shared" si="20"/>
        <v>0</v>
      </c>
      <c r="S339" s="296">
        <f t="shared" si="21"/>
        <v>0</v>
      </c>
    </row>
    <row r="340" spans="11:19" x14ac:dyDescent="0.15">
      <c r="K340" s="296">
        <f t="shared" si="13"/>
        <v>0</v>
      </c>
      <c r="L340" s="296">
        <f t="shared" si="14"/>
        <v>0</v>
      </c>
      <c r="M340" s="296">
        <f t="shared" si="15"/>
        <v>0</v>
      </c>
      <c r="N340" s="296">
        <f t="shared" si="16"/>
        <v>0</v>
      </c>
      <c r="O340" s="296">
        <f t="shared" si="17"/>
        <v>0</v>
      </c>
      <c r="P340" s="296">
        <f t="shared" si="18"/>
        <v>0</v>
      </c>
      <c r="Q340" s="296">
        <f t="shared" si="19"/>
        <v>0</v>
      </c>
      <c r="R340" s="296">
        <f t="shared" si="20"/>
        <v>0</v>
      </c>
      <c r="S340" s="296">
        <f t="shared" si="21"/>
        <v>0</v>
      </c>
    </row>
    <row r="341" spans="11:19" x14ac:dyDescent="0.15">
      <c r="K341" s="296">
        <f t="shared" ref="K341:K389" si="22">IF($M73="",0,IF($M73&gt;20000000,$L73,0))</f>
        <v>0</v>
      </c>
      <c r="L341" s="296">
        <f t="shared" si="14"/>
        <v>0</v>
      </c>
      <c r="M341" s="296">
        <f t="shared" si="15"/>
        <v>0</v>
      </c>
      <c r="N341" s="296">
        <f t="shared" si="16"/>
        <v>0</v>
      </c>
      <c r="O341" s="296">
        <f t="shared" si="17"/>
        <v>0</v>
      </c>
      <c r="P341" s="296">
        <f t="shared" si="18"/>
        <v>0</v>
      </c>
      <c r="Q341" s="296">
        <f t="shared" si="19"/>
        <v>0</v>
      </c>
      <c r="R341" s="296">
        <f t="shared" si="20"/>
        <v>0</v>
      </c>
      <c r="S341" s="296">
        <f t="shared" si="21"/>
        <v>0</v>
      </c>
    </row>
    <row r="342" spans="11:19" x14ac:dyDescent="0.15">
      <c r="K342" s="296">
        <f t="shared" si="22"/>
        <v>0</v>
      </c>
      <c r="L342" s="296">
        <f t="shared" si="14"/>
        <v>0</v>
      </c>
      <c r="M342" s="296">
        <f t="shared" si="15"/>
        <v>0</v>
      </c>
      <c r="N342" s="296">
        <f t="shared" si="16"/>
        <v>0</v>
      </c>
      <c r="O342" s="296">
        <f t="shared" si="17"/>
        <v>1</v>
      </c>
      <c r="P342" s="296">
        <f t="shared" si="18"/>
        <v>0</v>
      </c>
      <c r="Q342" s="296">
        <f t="shared" si="19"/>
        <v>0</v>
      </c>
      <c r="R342" s="296">
        <f t="shared" si="20"/>
        <v>0</v>
      </c>
      <c r="S342" s="296">
        <f t="shared" si="21"/>
        <v>0</v>
      </c>
    </row>
    <row r="343" spans="11:19" x14ac:dyDescent="0.15">
      <c r="K343" s="296">
        <f t="shared" si="22"/>
        <v>0</v>
      </c>
      <c r="L343" s="296">
        <f t="shared" si="14"/>
        <v>0</v>
      </c>
      <c r="M343" s="296">
        <f t="shared" si="15"/>
        <v>0</v>
      </c>
      <c r="N343" s="296">
        <f t="shared" si="16"/>
        <v>0</v>
      </c>
      <c r="O343" s="296">
        <f t="shared" si="17"/>
        <v>0</v>
      </c>
      <c r="P343" s="296">
        <f t="shared" si="18"/>
        <v>0</v>
      </c>
      <c r="Q343" s="296">
        <f t="shared" si="19"/>
        <v>0</v>
      </c>
      <c r="R343" s="296">
        <f t="shared" si="20"/>
        <v>0</v>
      </c>
      <c r="S343" s="296">
        <f t="shared" si="21"/>
        <v>2</v>
      </c>
    </row>
    <row r="344" spans="11:19" x14ac:dyDescent="0.15">
      <c r="K344" s="296">
        <f t="shared" si="22"/>
        <v>0</v>
      </c>
      <c r="L344" s="296">
        <f t="shared" si="14"/>
        <v>0</v>
      </c>
      <c r="M344" s="296">
        <f t="shared" si="15"/>
        <v>0</v>
      </c>
      <c r="N344" s="296">
        <f t="shared" si="16"/>
        <v>0</v>
      </c>
      <c r="O344" s="296">
        <f t="shared" si="17"/>
        <v>0</v>
      </c>
      <c r="P344" s="296">
        <f t="shared" si="18"/>
        <v>0</v>
      </c>
      <c r="Q344" s="296">
        <f t="shared" si="19"/>
        <v>0</v>
      </c>
      <c r="R344" s="296">
        <f t="shared" si="20"/>
        <v>0</v>
      </c>
      <c r="S344" s="296">
        <f t="shared" si="21"/>
        <v>0</v>
      </c>
    </row>
    <row r="345" spans="11:19" x14ac:dyDescent="0.15">
      <c r="K345" s="296">
        <f t="shared" si="22"/>
        <v>0</v>
      </c>
      <c r="L345" s="296">
        <f t="shared" si="14"/>
        <v>0</v>
      </c>
      <c r="M345" s="296">
        <f t="shared" si="15"/>
        <v>0</v>
      </c>
      <c r="N345" s="296">
        <f t="shared" si="16"/>
        <v>0</v>
      </c>
      <c r="O345" s="296">
        <f t="shared" si="17"/>
        <v>0</v>
      </c>
      <c r="P345" s="296">
        <f t="shared" si="18"/>
        <v>0</v>
      </c>
      <c r="Q345" s="296">
        <f t="shared" si="19"/>
        <v>0</v>
      </c>
      <c r="R345" s="296">
        <f t="shared" si="20"/>
        <v>0</v>
      </c>
      <c r="S345" s="296">
        <f t="shared" si="21"/>
        <v>0</v>
      </c>
    </row>
    <row r="346" spans="11:19" x14ac:dyDescent="0.15">
      <c r="K346" s="296">
        <f t="shared" si="22"/>
        <v>0</v>
      </c>
      <c r="L346" s="296">
        <f t="shared" si="14"/>
        <v>0</v>
      </c>
      <c r="M346" s="296">
        <f t="shared" si="15"/>
        <v>0</v>
      </c>
      <c r="N346" s="296">
        <f t="shared" si="16"/>
        <v>0</v>
      </c>
      <c r="O346" s="296">
        <f t="shared" si="17"/>
        <v>0</v>
      </c>
      <c r="P346" s="296">
        <f t="shared" si="18"/>
        <v>0</v>
      </c>
      <c r="Q346" s="296">
        <f t="shared" si="19"/>
        <v>0</v>
      </c>
      <c r="R346" s="296">
        <f t="shared" si="20"/>
        <v>0</v>
      </c>
      <c r="S346" s="296">
        <f t="shared" si="21"/>
        <v>0</v>
      </c>
    </row>
    <row r="347" spans="11:19" x14ac:dyDescent="0.15">
      <c r="K347" s="296">
        <f t="shared" si="22"/>
        <v>0</v>
      </c>
      <c r="L347" s="296">
        <f t="shared" si="14"/>
        <v>0</v>
      </c>
      <c r="M347" s="296">
        <f t="shared" si="15"/>
        <v>0</v>
      </c>
      <c r="N347" s="296">
        <f t="shared" si="16"/>
        <v>0</v>
      </c>
      <c r="O347" s="296">
        <f t="shared" si="17"/>
        <v>0</v>
      </c>
      <c r="P347" s="296">
        <f t="shared" si="18"/>
        <v>0</v>
      </c>
      <c r="Q347" s="296">
        <f t="shared" si="19"/>
        <v>0</v>
      </c>
      <c r="R347" s="296">
        <f t="shared" si="20"/>
        <v>0</v>
      </c>
      <c r="S347" s="296">
        <f t="shared" si="21"/>
        <v>0</v>
      </c>
    </row>
    <row r="348" spans="11:19" x14ac:dyDescent="0.15">
      <c r="K348" s="296">
        <f t="shared" si="22"/>
        <v>0</v>
      </c>
      <c r="L348" s="296">
        <f t="shared" si="14"/>
        <v>0</v>
      </c>
      <c r="M348" s="296">
        <f t="shared" si="15"/>
        <v>0</v>
      </c>
      <c r="N348" s="296">
        <f t="shared" si="16"/>
        <v>0</v>
      </c>
      <c r="O348" s="296">
        <f t="shared" si="17"/>
        <v>0</v>
      </c>
      <c r="P348" s="296">
        <f t="shared" si="18"/>
        <v>0</v>
      </c>
      <c r="Q348" s="296">
        <f t="shared" si="19"/>
        <v>0</v>
      </c>
      <c r="R348" s="296">
        <f t="shared" si="20"/>
        <v>0</v>
      </c>
      <c r="S348" s="296">
        <f t="shared" si="21"/>
        <v>0</v>
      </c>
    </row>
    <row r="349" spans="11:19" x14ac:dyDescent="0.15">
      <c r="K349" s="296">
        <f t="shared" si="22"/>
        <v>0</v>
      </c>
      <c r="L349" s="296">
        <f t="shared" si="14"/>
        <v>0</v>
      </c>
      <c r="M349" s="296">
        <f t="shared" si="15"/>
        <v>0</v>
      </c>
      <c r="N349" s="296">
        <f t="shared" si="16"/>
        <v>0</v>
      </c>
      <c r="O349" s="296">
        <f t="shared" si="17"/>
        <v>0</v>
      </c>
      <c r="P349" s="296">
        <f t="shared" si="18"/>
        <v>0</v>
      </c>
      <c r="Q349" s="296">
        <f t="shared" si="19"/>
        <v>0</v>
      </c>
      <c r="R349" s="296">
        <f t="shared" si="20"/>
        <v>0</v>
      </c>
      <c r="S349" s="296">
        <f t="shared" si="21"/>
        <v>0</v>
      </c>
    </row>
    <row r="350" spans="11:19" x14ac:dyDescent="0.15">
      <c r="K350" s="296">
        <f t="shared" si="22"/>
        <v>0</v>
      </c>
      <c r="L350" s="296">
        <f t="shared" si="14"/>
        <v>0</v>
      </c>
      <c r="M350" s="296">
        <f t="shared" si="15"/>
        <v>0</v>
      </c>
      <c r="N350" s="296">
        <f t="shared" si="16"/>
        <v>0</v>
      </c>
      <c r="O350" s="296">
        <f t="shared" si="17"/>
        <v>0</v>
      </c>
      <c r="P350" s="296">
        <f t="shared" si="18"/>
        <v>0</v>
      </c>
      <c r="Q350" s="296">
        <f t="shared" si="19"/>
        <v>0</v>
      </c>
      <c r="R350" s="296">
        <f t="shared" si="20"/>
        <v>0</v>
      </c>
      <c r="S350" s="296">
        <f t="shared" si="21"/>
        <v>0</v>
      </c>
    </row>
    <row r="351" spans="11:19" x14ac:dyDescent="0.15">
      <c r="K351" s="296">
        <f t="shared" si="22"/>
        <v>0</v>
      </c>
      <c r="L351" s="296">
        <f t="shared" si="14"/>
        <v>0</v>
      </c>
      <c r="M351" s="296">
        <f t="shared" si="15"/>
        <v>0</v>
      </c>
      <c r="N351" s="296">
        <f t="shared" si="16"/>
        <v>0</v>
      </c>
      <c r="O351" s="296">
        <f t="shared" si="17"/>
        <v>0</v>
      </c>
      <c r="P351" s="296">
        <f t="shared" si="18"/>
        <v>3</v>
      </c>
      <c r="Q351" s="296">
        <f t="shared" si="19"/>
        <v>0</v>
      </c>
      <c r="R351" s="296">
        <f t="shared" si="20"/>
        <v>0</v>
      </c>
      <c r="S351" s="296">
        <f t="shared" si="21"/>
        <v>0</v>
      </c>
    </row>
    <row r="352" spans="11:19" x14ac:dyDescent="0.15">
      <c r="K352" s="296">
        <f t="shared" si="22"/>
        <v>0</v>
      </c>
      <c r="L352" s="296">
        <f t="shared" si="14"/>
        <v>0</v>
      </c>
      <c r="M352" s="296">
        <f t="shared" si="15"/>
        <v>0</v>
      </c>
      <c r="N352" s="296">
        <f t="shared" si="16"/>
        <v>0</v>
      </c>
      <c r="O352" s="296">
        <f t="shared" si="17"/>
        <v>0</v>
      </c>
      <c r="P352" s="296">
        <f t="shared" si="18"/>
        <v>0</v>
      </c>
      <c r="Q352" s="296">
        <f t="shared" si="19"/>
        <v>0</v>
      </c>
      <c r="R352" s="296">
        <f t="shared" si="20"/>
        <v>0</v>
      </c>
      <c r="S352" s="296">
        <f t="shared" si="21"/>
        <v>0</v>
      </c>
    </row>
    <row r="353" spans="11:19" x14ac:dyDescent="0.15">
      <c r="K353" s="296">
        <f t="shared" si="22"/>
        <v>0</v>
      </c>
      <c r="L353" s="296">
        <f t="shared" si="14"/>
        <v>0</v>
      </c>
      <c r="M353" s="296">
        <f t="shared" si="15"/>
        <v>0</v>
      </c>
      <c r="N353" s="296">
        <f t="shared" si="16"/>
        <v>0</v>
      </c>
      <c r="O353" s="296">
        <f t="shared" si="17"/>
        <v>0</v>
      </c>
      <c r="P353" s="296">
        <f t="shared" si="18"/>
        <v>0</v>
      </c>
      <c r="Q353" s="296">
        <f t="shared" si="19"/>
        <v>1</v>
      </c>
      <c r="R353" s="296">
        <f t="shared" si="20"/>
        <v>0</v>
      </c>
      <c r="S353" s="296">
        <f t="shared" si="21"/>
        <v>0</v>
      </c>
    </row>
    <row r="354" spans="11:19" x14ac:dyDescent="0.15">
      <c r="K354" s="296">
        <f t="shared" si="22"/>
        <v>0</v>
      </c>
      <c r="L354" s="296">
        <f t="shared" si="14"/>
        <v>0</v>
      </c>
      <c r="M354" s="296">
        <f t="shared" si="15"/>
        <v>0</v>
      </c>
      <c r="N354" s="296">
        <f t="shared" si="16"/>
        <v>0</v>
      </c>
      <c r="O354" s="296">
        <f t="shared" si="17"/>
        <v>0</v>
      </c>
      <c r="P354" s="296">
        <f t="shared" si="18"/>
        <v>0</v>
      </c>
      <c r="Q354" s="296">
        <f t="shared" si="19"/>
        <v>0</v>
      </c>
      <c r="R354" s="296">
        <f t="shared" si="20"/>
        <v>0</v>
      </c>
      <c r="S354" s="296">
        <f t="shared" si="21"/>
        <v>0</v>
      </c>
    </row>
    <row r="355" spans="11:19" x14ac:dyDescent="0.15">
      <c r="K355" s="296">
        <f t="shared" si="22"/>
        <v>0</v>
      </c>
      <c r="L355" s="296">
        <f t="shared" si="14"/>
        <v>0</v>
      </c>
      <c r="M355" s="296">
        <f t="shared" si="15"/>
        <v>0</v>
      </c>
      <c r="N355" s="296">
        <f t="shared" si="16"/>
        <v>0</v>
      </c>
      <c r="O355" s="296">
        <f t="shared" si="17"/>
        <v>0</v>
      </c>
      <c r="P355" s="296">
        <f t="shared" si="18"/>
        <v>1</v>
      </c>
      <c r="Q355" s="296">
        <f t="shared" si="19"/>
        <v>0</v>
      </c>
      <c r="R355" s="296">
        <f t="shared" si="20"/>
        <v>0</v>
      </c>
      <c r="S355" s="296">
        <f t="shared" si="21"/>
        <v>0</v>
      </c>
    </row>
    <row r="356" spans="11:19" x14ac:dyDescent="0.15">
      <c r="K356" s="296">
        <f t="shared" si="22"/>
        <v>0</v>
      </c>
      <c r="L356" s="296">
        <f t="shared" si="14"/>
        <v>0</v>
      </c>
      <c r="M356" s="296">
        <f t="shared" si="15"/>
        <v>0</v>
      </c>
      <c r="N356" s="296">
        <f t="shared" si="16"/>
        <v>0</v>
      </c>
      <c r="O356" s="296">
        <f t="shared" si="17"/>
        <v>0</v>
      </c>
      <c r="P356" s="296">
        <f t="shared" si="18"/>
        <v>0</v>
      </c>
      <c r="Q356" s="296">
        <f t="shared" si="19"/>
        <v>0</v>
      </c>
      <c r="R356" s="296">
        <f t="shared" si="20"/>
        <v>0</v>
      </c>
      <c r="S356" s="296">
        <f t="shared" si="21"/>
        <v>1</v>
      </c>
    </row>
    <row r="357" spans="11:19" x14ac:dyDescent="0.15">
      <c r="K357" s="296">
        <f t="shared" si="22"/>
        <v>0</v>
      </c>
      <c r="L357" s="296">
        <f t="shared" si="14"/>
        <v>0</v>
      </c>
      <c r="M357" s="296">
        <f t="shared" si="15"/>
        <v>0</v>
      </c>
      <c r="N357" s="296">
        <f t="shared" si="16"/>
        <v>0</v>
      </c>
      <c r="O357" s="296">
        <f t="shared" si="17"/>
        <v>0</v>
      </c>
      <c r="P357" s="296">
        <f t="shared" si="18"/>
        <v>0</v>
      </c>
      <c r="Q357" s="296">
        <f t="shared" si="19"/>
        <v>0</v>
      </c>
      <c r="R357" s="296">
        <f t="shared" si="20"/>
        <v>0</v>
      </c>
      <c r="S357" s="296">
        <f t="shared" si="21"/>
        <v>0</v>
      </c>
    </row>
    <row r="358" spans="11:19" x14ac:dyDescent="0.15">
      <c r="K358" s="296">
        <f t="shared" si="22"/>
        <v>0</v>
      </c>
      <c r="L358" s="296">
        <f t="shared" si="14"/>
        <v>0</v>
      </c>
      <c r="M358" s="296">
        <f t="shared" si="15"/>
        <v>0</v>
      </c>
      <c r="N358" s="296">
        <f t="shared" si="16"/>
        <v>0</v>
      </c>
      <c r="O358" s="296">
        <f t="shared" si="17"/>
        <v>0</v>
      </c>
      <c r="P358" s="296">
        <f t="shared" si="18"/>
        <v>0</v>
      </c>
      <c r="Q358" s="296">
        <f t="shared" si="19"/>
        <v>1</v>
      </c>
      <c r="R358" s="296">
        <f t="shared" si="20"/>
        <v>0</v>
      </c>
      <c r="S358" s="296">
        <f t="shared" si="21"/>
        <v>0</v>
      </c>
    </row>
    <row r="359" spans="11:19" x14ac:dyDescent="0.15">
      <c r="K359" s="296">
        <f t="shared" si="22"/>
        <v>0</v>
      </c>
      <c r="L359" s="296">
        <f t="shared" si="14"/>
        <v>0</v>
      </c>
      <c r="M359" s="296">
        <f t="shared" si="15"/>
        <v>0</v>
      </c>
      <c r="N359" s="296">
        <f t="shared" si="16"/>
        <v>0</v>
      </c>
      <c r="O359" s="296">
        <f t="shared" si="17"/>
        <v>0</v>
      </c>
      <c r="P359" s="296">
        <f t="shared" si="18"/>
        <v>0</v>
      </c>
      <c r="Q359" s="296">
        <f t="shared" si="19"/>
        <v>0</v>
      </c>
      <c r="R359" s="296">
        <f t="shared" si="20"/>
        <v>0</v>
      </c>
      <c r="S359" s="296">
        <f t="shared" si="21"/>
        <v>0</v>
      </c>
    </row>
    <row r="360" spans="11:19" x14ac:dyDescent="0.15">
      <c r="K360" s="296">
        <f t="shared" si="22"/>
        <v>0</v>
      </c>
      <c r="L360" s="296">
        <f t="shared" si="14"/>
        <v>0</v>
      </c>
      <c r="M360" s="296">
        <f t="shared" si="15"/>
        <v>0</v>
      </c>
      <c r="N360" s="296">
        <f t="shared" si="16"/>
        <v>0</v>
      </c>
      <c r="O360" s="296">
        <f t="shared" si="17"/>
        <v>0</v>
      </c>
      <c r="P360" s="296">
        <f t="shared" si="18"/>
        <v>0</v>
      </c>
      <c r="Q360" s="296">
        <f t="shared" si="19"/>
        <v>0</v>
      </c>
      <c r="R360" s="296">
        <f t="shared" si="20"/>
        <v>0</v>
      </c>
      <c r="S360" s="296">
        <f t="shared" si="21"/>
        <v>0</v>
      </c>
    </row>
    <row r="361" spans="11:19" x14ac:dyDescent="0.15">
      <c r="K361" s="296">
        <f t="shared" si="22"/>
        <v>0</v>
      </c>
      <c r="L361" s="296">
        <f t="shared" si="14"/>
        <v>0</v>
      </c>
      <c r="M361" s="296">
        <f t="shared" si="15"/>
        <v>0</v>
      </c>
      <c r="N361" s="296">
        <f t="shared" si="16"/>
        <v>0</v>
      </c>
      <c r="O361" s="296">
        <f t="shared" si="17"/>
        <v>0</v>
      </c>
      <c r="P361" s="296">
        <f t="shared" si="18"/>
        <v>1</v>
      </c>
      <c r="Q361" s="296">
        <f t="shared" si="19"/>
        <v>0</v>
      </c>
      <c r="R361" s="296">
        <f t="shared" si="20"/>
        <v>0</v>
      </c>
      <c r="S361" s="296">
        <f t="shared" si="21"/>
        <v>0</v>
      </c>
    </row>
    <row r="362" spans="11:19" x14ac:dyDescent="0.15">
      <c r="K362" s="296">
        <f t="shared" si="22"/>
        <v>0</v>
      </c>
      <c r="L362" s="296">
        <f t="shared" si="14"/>
        <v>0</v>
      </c>
      <c r="M362" s="296">
        <f t="shared" si="15"/>
        <v>0</v>
      </c>
      <c r="N362" s="296">
        <f t="shared" si="16"/>
        <v>0</v>
      </c>
      <c r="O362" s="296">
        <f t="shared" si="17"/>
        <v>0</v>
      </c>
      <c r="P362" s="296">
        <f t="shared" si="18"/>
        <v>0</v>
      </c>
      <c r="Q362" s="296">
        <f t="shared" si="19"/>
        <v>0</v>
      </c>
      <c r="R362" s="296">
        <f t="shared" si="20"/>
        <v>0</v>
      </c>
      <c r="S362" s="296">
        <f t="shared" si="21"/>
        <v>0</v>
      </c>
    </row>
    <row r="363" spans="11:19" x14ac:dyDescent="0.15">
      <c r="K363" s="296">
        <f t="shared" si="22"/>
        <v>0</v>
      </c>
      <c r="L363" s="296">
        <f t="shared" si="14"/>
        <v>0</v>
      </c>
      <c r="M363" s="296">
        <f t="shared" si="15"/>
        <v>0</v>
      </c>
      <c r="N363" s="296">
        <f t="shared" si="16"/>
        <v>0</v>
      </c>
      <c r="O363" s="296">
        <f t="shared" si="17"/>
        <v>0</v>
      </c>
      <c r="P363" s="296">
        <f t="shared" si="18"/>
        <v>0</v>
      </c>
      <c r="Q363" s="296">
        <f t="shared" si="19"/>
        <v>0</v>
      </c>
      <c r="R363" s="296">
        <f t="shared" si="20"/>
        <v>0</v>
      </c>
      <c r="S363" s="296">
        <f t="shared" si="21"/>
        <v>0</v>
      </c>
    </row>
    <row r="364" spans="11:19" x14ac:dyDescent="0.15">
      <c r="K364" s="296">
        <f t="shared" si="22"/>
        <v>0</v>
      </c>
      <c r="L364" s="296">
        <f t="shared" si="14"/>
        <v>0</v>
      </c>
      <c r="M364" s="296">
        <f t="shared" si="15"/>
        <v>0</v>
      </c>
      <c r="N364" s="296">
        <f t="shared" si="16"/>
        <v>0</v>
      </c>
      <c r="O364" s="296">
        <f t="shared" si="17"/>
        <v>0</v>
      </c>
      <c r="P364" s="296">
        <f t="shared" si="18"/>
        <v>1</v>
      </c>
      <c r="Q364" s="296">
        <f t="shared" si="19"/>
        <v>0</v>
      </c>
      <c r="R364" s="296">
        <f t="shared" si="20"/>
        <v>0</v>
      </c>
      <c r="S364" s="296">
        <f t="shared" si="21"/>
        <v>0</v>
      </c>
    </row>
    <row r="365" spans="11:19" x14ac:dyDescent="0.15">
      <c r="K365" s="296">
        <f t="shared" si="22"/>
        <v>0</v>
      </c>
      <c r="L365" s="296">
        <f t="shared" si="14"/>
        <v>0</v>
      </c>
      <c r="M365" s="296">
        <f t="shared" si="15"/>
        <v>0</v>
      </c>
      <c r="N365" s="296">
        <f t="shared" si="16"/>
        <v>0</v>
      </c>
      <c r="O365" s="296">
        <f t="shared" si="17"/>
        <v>0</v>
      </c>
      <c r="P365" s="296">
        <f t="shared" si="18"/>
        <v>0</v>
      </c>
      <c r="Q365" s="296">
        <f t="shared" si="19"/>
        <v>0</v>
      </c>
      <c r="R365" s="296">
        <f t="shared" si="20"/>
        <v>0</v>
      </c>
      <c r="S365" s="296">
        <f t="shared" si="21"/>
        <v>0</v>
      </c>
    </row>
    <row r="366" spans="11:19" x14ac:dyDescent="0.15">
      <c r="K366" s="296">
        <f t="shared" si="22"/>
        <v>0</v>
      </c>
      <c r="L366" s="296">
        <f t="shared" si="14"/>
        <v>0</v>
      </c>
      <c r="M366" s="296">
        <f t="shared" si="15"/>
        <v>0</v>
      </c>
      <c r="N366" s="296">
        <f t="shared" si="16"/>
        <v>0</v>
      </c>
      <c r="O366" s="296">
        <f t="shared" si="17"/>
        <v>0</v>
      </c>
      <c r="P366" s="296">
        <f t="shared" si="18"/>
        <v>0</v>
      </c>
      <c r="Q366" s="296">
        <f t="shared" si="19"/>
        <v>0</v>
      </c>
      <c r="R366" s="296">
        <f t="shared" si="20"/>
        <v>0</v>
      </c>
      <c r="S366" s="296">
        <f t="shared" si="21"/>
        <v>0</v>
      </c>
    </row>
    <row r="367" spans="11:19" x14ac:dyDescent="0.15">
      <c r="K367" s="296">
        <f t="shared" si="22"/>
        <v>0</v>
      </c>
      <c r="L367" s="296">
        <f t="shared" si="14"/>
        <v>0</v>
      </c>
      <c r="M367" s="296">
        <f t="shared" si="15"/>
        <v>0</v>
      </c>
      <c r="N367" s="296">
        <f t="shared" si="16"/>
        <v>0</v>
      </c>
      <c r="O367" s="296">
        <f t="shared" si="17"/>
        <v>0</v>
      </c>
      <c r="P367" s="296">
        <f t="shared" si="18"/>
        <v>0</v>
      </c>
      <c r="Q367" s="296">
        <f t="shared" si="19"/>
        <v>0</v>
      </c>
      <c r="R367" s="296">
        <f t="shared" si="20"/>
        <v>0</v>
      </c>
      <c r="S367" s="296">
        <f t="shared" si="21"/>
        <v>0</v>
      </c>
    </row>
    <row r="368" spans="11:19" x14ac:dyDescent="0.15">
      <c r="K368" s="296">
        <f t="shared" si="22"/>
        <v>0</v>
      </c>
      <c r="L368" s="296">
        <f t="shared" si="14"/>
        <v>0</v>
      </c>
      <c r="M368" s="296">
        <f t="shared" si="15"/>
        <v>0</v>
      </c>
      <c r="N368" s="296">
        <f t="shared" si="16"/>
        <v>0</v>
      </c>
      <c r="O368" s="296">
        <f t="shared" si="17"/>
        <v>0</v>
      </c>
      <c r="P368" s="296">
        <f t="shared" si="18"/>
        <v>0</v>
      </c>
      <c r="Q368" s="296">
        <f t="shared" si="19"/>
        <v>0</v>
      </c>
      <c r="R368" s="296">
        <f t="shared" si="20"/>
        <v>0</v>
      </c>
      <c r="S368" s="296">
        <f t="shared" si="21"/>
        <v>0</v>
      </c>
    </row>
    <row r="369" spans="11:19" x14ac:dyDescent="0.15">
      <c r="K369" s="296">
        <f t="shared" si="22"/>
        <v>0</v>
      </c>
      <c r="L369" s="296">
        <f t="shared" si="14"/>
        <v>0</v>
      </c>
      <c r="M369" s="296">
        <f t="shared" si="15"/>
        <v>0</v>
      </c>
      <c r="N369" s="296">
        <f t="shared" si="16"/>
        <v>0</v>
      </c>
      <c r="O369" s="296">
        <f t="shared" si="17"/>
        <v>0</v>
      </c>
      <c r="P369" s="296">
        <f t="shared" si="18"/>
        <v>0</v>
      </c>
      <c r="Q369" s="296">
        <f t="shared" si="19"/>
        <v>0</v>
      </c>
      <c r="R369" s="296">
        <f t="shared" si="20"/>
        <v>0</v>
      </c>
      <c r="S369" s="296">
        <f t="shared" si="21"/>
        <v>0</v>
      </c>
    </row>
    <row r="370" spans="11:19" x14ac:dyDescent="0.15">
      <c r="K370" s="296">
        <f t="shared" si="22"/>
        <v>0</v>
      </c>
      <c r="L370" s="296">
        <f t="shared" si="14"/>
        <v>0</v>
      </c>
      <c r="M370" s="296">
        <f t="shared" si="15"/>
        <v>0</v>
      </c>
      <c r="N370" s="296">
        <f t="shared" si="16"/>
        <v>0</v>
      </c>
      <c r="O370" s="296">
        <f t="shared" si="17"/>
        <v>0</v>
      </c>
      <c r="P370" s="296">
        <f t="shared" si="18"/>
        <v>0</v>
      </c>
      <c r="Q370" s="296">
        <f t="shared" si="19"/>
        <v>0</v>
      </c>
      <c r="R370" s="296">
        <f t="shared" si="20"/>
        <v>0</v>
      </c>
      <c r="S370" s="296">
        <f t="shared" si="21"/>
        <v>0</v>
      </c>
    </row>
    <row r="371" spans="11:19" x14ac:dyDescent="0.15">
      <c r="K371" s="296">
        <f t="shared" si="22"/>
        <v>0</v>
      </c>
      <c r="L371" s="296">
        <f t="shared" si="14"/>
        <v>0</v>
      </c>
      <c r="M371" s="296">
        <f t="shared" si="15"/>
        <v>0</v>
      </c>
      <c r="N371" s="296">
        <f t="shared" si="16"/>
        <v>1</v>
      </c>
      <c r="O371" s="296">
        <f t="shared" si="17"/>
        <v>0</v>
      </c>
      <c r="P371" s="296">
        <f t="shared" si="18"/>
        <v>0</v>
      </c>
      <c r="Q371" s="296">
        <f t="shared" si="19"/>
        <v>0</v>
      </c>
      <c r="R371" s="296">
        <f t="shared" si="20"/>
        <v>0</v>
      </c>
      <c r="S371" s="296">
        <f t="shared" si="21"/>
        <v>0</v>
      </c>
    </row>
    <row r="372" spans="11:19" x14ac:dyDescent="0.15">
      <c r="K372" s="296">
        <f t="shared" si="22"/>
        <v>0</v>
      </c>
      <c r="L372" s="296">
        <f t="shared" si="14"/>
        <v>0</v>
      </c>
      <c r="M372" s="296">
        <f t="shared" si="15"/>
        <v>0</v>
      </c>
      <c r="N372" s="296">
        <f t="shared" si="16"/>
        <v>0</v>
      </c>
      <c r="O372" s="296">
        <f t="shared" si="17"/>
        <v>0</v>
      </c>
      <c r="P372" s="296">
        <f t="shared" si="18"/>
        <v>0</v>
      </c>
      <c r="Q372" s="296">
        <f t="shared" si="19"/>
        <v>0</v>
      </c>
      <c r="R372" s="296">
        <f t="shared" si="20"/>
        <v>0</v>
      </c>
      <c r="S372" s="296">
        <f t="shared" si="21"/>
        <v>0</v>
      </c>
    </row>
    <row r="373" spans="11:19" x14ac:dyDescent="0.15">
      <c r="K373" s="296">
        <f t="shared" si="22"/>
        <v>0</v>
      </c>
      <c r="L373" s="296">
        <f t="shared" si="14"/>
        <v>0</v>
      </c>
      <c r="M373" s="296">
        <f t="shared" si="15"/>
        <v>0</v>
      </c>
      <c r="N373" s="296">
        <f t="shared" si="16"/>
        <v>0</v>
      </c>
      <c r="O373" s="296">
        <f t="shared" si="17"/>
        <v>0</v>
      </c>
      <c r="P373" s="296">
        <f t="shared" si="18"/>
        <v>0</v>
      </c>
      <c r="Q373" s="296">
        <f t="shared" si="19"/>
        <v>0</v>
      </c>
      <c r="R373" s="296">
        <f t="shared" si="20"/>
        <v>0</v>
      </c>
      <c r="S373" s="296">
        <f t="shared" si="21"/>
        <v>0</v>
      </c>
    </row>
    <row r="374" spans="11:19" x14ac:dyDescent="0.15">
      <c r="K374" s="296">
        <f t="shared" si="22"/>
        <v>0</v>
      </c>
      <c r="L374" s="296">
        <f t="shared" si="14"/>
        <v>0</v>
      </c>
      <c r="M374" s="296">
        <f t="shared" si="15"/>
        <v>0</v>
      </c>
      <c r="N374" s="296">
        <f t="shared" si="16"/>
        <v>0</v>
      </c>
      <c r="O374" s="296">
        <f t="shared" si="17"/>
        <v>0</v>
      </c>
      <c r="P374" s="296">
        <f t="shared" si="18"/>
        <v>0</v>
      </c>
      <c r="Q374" s="296">
        <f t="shared" si="19"/>
        <v>0</v>
      </c>
      <c r="R374" s="296">
        <f t="shared" si="20"/>
        <v>0</v>
      </c>
      <c r="S374" s="296">
        <f t="shared" si="21"/>
        <v>0</v>
      </c>
    </row>
    <row r="375" spans="11:19" x14ac:dyDescent="0.15">
      <c r="K375" s="296">
        <f t="shared" si="22"/>
        <v>0</v>
      </c>
      <c r="L375" s="296">
        <f t="shared" si="14"/>
        <v>0</v>
      </c>
      <c r="M375" s="296">
        <f t="shared" si="15"/>
        <v>0</v>
      </c>
      <c r="N375" s="296">
        <f t="shared" si="16"/>
        <v>0</v>
      </c>
      <c r="O375" s="296">
        <f t="shared" si="17"/>
        <v>0</v>
      </c>
      <c r="P375" s="296">
        <f t="shared" si="18"/>
        <v>0</v>
      </c>
      <c r="Q375" s="296">
        <f t="shared" si="19"/>
        <v>0</v>
      </c>
      <c r="R375" s="296">
        <f t="shared" si="20"/>
        <v>0</v>
      </c>
      <c r="S375" s="296">
        <f t="shared" si="21"/>
        <v>0</v>
      </c>
    </row>
    <row r="376" spans="11:19" x14ac:dyDescent="0.15">
      <c r="K376" s="296">
        <f t="shared" si="22"/>
        <v>0</v>
      </c>
      <c r="L376" s="296">
        <f t="shared" si="14"/>
        <v>0</v>
      </c>
      <c r="M376" s="296">
        <f t="shared" si="15"/>
        <v>0</v>
      </c>
      <c r="N376" s="296">
        <f t="shared" si="16"/>
        <v>0</v>
      </c>
      <c r="O376" s="296">
        <f t="shared" si="17"/>
        <v>1</v>
      </c>
      <c r="P376" s="296">
        <f t="shared" si="18"/>
        <v>0</v>
      </c>
      <c r="Q376" s="296">
        <f t="shared" si="19"/>
        <v>0</v>
      </c>
      <c r="R376" s="296">
        <f t="shared" si="20"/>
        <v>0</v>
      </c>
      <c r="S376" s="296">
        <f t="shared" si="21"/>
        <v>0</v>
      </c>
    </row>
    <row r="377" spans="11:19" x14ac:dyDescent="0.15">
      <c r="K377" s="296">
        <f t="shared" si="22"/>
        <v>0</v>
      </c>
      <c r="L377" s="296">
        <f t="shared" si="14"/>
        <v>0</v>
      </c>
      <c r="M377" s="296">
        <f t="shared" si="15"/>
        <v>0</v>
      </c>
      <c r="N377" s="296">
        <f t="shared" si="16"/>
        <v>0</v>
      </c>
      <c r="O377" s="296">
        <f t="shared" si="17"/>
        <v>0</v>
      </c>
      <c r="P377" s="296">
        <f t="shared" si="18"/>
        <v>0</v>
      </c>
      <c r="Q377" s="296">
        <f t="shared" si="19"/>
        <v>0</v>
      </c>
      <c r="R377" s="296">
        <f t="shared" si="20"/>
        <v>0</v>
      </c>
      <c r="S377" s="296">
        <f t="shared" si="21"/>
        <v>0</v>
      </c>
    </row>
    <row r="378" spans="11:19" x14ac:dyDescent="0.15">
      <c r="K378" s="296">
        <f t="shared" si="22"/>
        <v>0</v>
      </c>
      <c r="L378" s="296">
        <f t="shared" si="14"/>
        <v>0</v>
      </c>
      <c r="M378" s="296">
        <f t="shared" si="15"/>
        <v>0</v>
      </c>
      <c r="N378" s="296">
        <f t="shared" si="16"/>
        <v>0</v>
      </c>
      <c r="O378" s="296">
        <f t="shared" si="17"/>
        <v>0</v>
      </c>
      <c r="P378" s="296">
        <f t="shared" si="18"/>
        <v>0</v>
      </c>
      <c r="Q378" s="296">
        <f t="shared" si="19"/>
        <v>0</v>
      </c>
      <c r="R378" s="296">
        <f t="shared" si="20"/>
        <v>0</v>
      </c>
      <c r="S378" s="296">
        <f t="shared" si="21"/>
        <v>0</v>
      </c>
    </row>
    <row r="379" spans="11:19" x14ac:dyDescent="0.15">
      <c r="K379" s="296">
        <f t="shared" si="22"/>
        <v>0</v>
      </c>
      <c r="L379" s="296">
        <f t="shared" si="14"/>
        <v>0</v>
      </c>
      <c r="M379" s="296">
        <f t="shared" si="15"/>
        <v>0</v>
      </c>
      <c r="N379" s="296">
        <f t="shared" si="16"/>
        <v>0</v>
      </c>
      <c r="O379" s="296">
        <f t="shared" si="17"/>
        <v>0</v>
      </c>
      <c r="P379" s="296">
        <f t="shared" si="18"/>
        <v>0</v>
      </c>
      <c r="Q379" s="296">
        <f t="shared" si="19"/>
        <v>0</v>
      </c>
      <c r="R379" s="296">
        <f t="shared" si="20"/>
        <v>0</v>
      </c>
      <c r="S379" s="296">
        <f t="shared" si="21"/>
        <v>0</v>
      </c>
    </row>
    <row r="380" spans="11:19" x14ac:dyDescent="0.15">
      <c r="K380" s="296">
        <f t="shared" si="22"/>
        <v>0</v>
      </c>
      <c r="L380" s="296">
        <f t="shared" si="14"/>
        <v>0</v>
      </c>
      <c r="M380" s="296">
        <f t="shared" si="15"/>
        <v>0</v>
      </c>
      <c r="N380" s="296">
        <f t="shared" si="16"/>
        <v>0</v>
      </c>
      <c r="O380" s="296">
        <f t="shared" si="17"/>
        <v>0</v>
      </c>
      <c r="P380" s="296">
        <f t="shared" si="18"/>
        <v>0</v>
      </c>
      <c r="Q380" s="296">
        <f t="shared" si="19"/>
        <v>0</v>
      </c>
      <c r="R380" s="296">
        <f t="shared" si="20"/>
        <v>0</v>
      </c>
      <c r="S380" s="296">
        <f t="shared" si="21"/>
        <v>0</v>
      </c>
    </row>
    <row r="381" spans="11:19" x14ac:dyDescent="0.15">
      <c r="K381" s="296">
        <f t="shared" si="22"/>
        <v>0</v>
      </c>
      <c r="L381" s="296">
        <f t="shared" si="14"/>
        <v>0</v>
      </c>
      <c r="M381" s="296">
        <f t="shared" si="15"/>
        <v>0</v>
      </c>
      <c r="N381" s="296">
        <f t="shared" si="16"/>
        <v>0</v>
      </c>
      <c r="O381" s="296">
        <f t="shared" si="17"/>
        <v>0</v>
      </c>
      <c r="P381" s="296">
        <f t="shared" si="18"/>
        <v>0</v>
      </c>
      <c r="Q381" s="296">
        <f t="shared" si="19"/>
        <v>0</v>
      </c>
      <c r="R381" s="296">
        <f t="shared" si="20"/>
        <v>0</v>
      </c>
      <c r="S381" s="296">
        <f t="shared" si="21"/>
        <v>0</v>
      </c>
    </row>
    <row r="382" spans="11:19" x14ac:dyDescent="0.15">
      <c r="K382" s="296">
        <f t="shared" si="22"/>
        <v>0</v>
      </c>
      <c r="L382" s="296">
        <f t="shared" si="14"/>
        <v>0</v>
      </c>
      <c r="M382" s="296">
        <f t="shared" si="15"/>
        <v>0</v>
      </c>
      <c r="N382" s="296">
        <f t="shared" si="16"/>
        <v>0</v>
      </c>
      <c r="O382" s="296">
        <f t="shared" si="17"/>
        <v>1</v>
      </c>
      <c r="P382" s="296">
        <f t="shared" si="18"/>
        <v>0</v>
      </c>
      <c r="Q382" s="296">
        <f t="shared" si="19"/>
        <v>0</v>
      </c>
      <c r="R382" s="296">
        <f t="shared" si="20"/>
        <v>0</v>
      </c>
      <c r="S382" s="296">
        <f t="shared" si="21"/>
        <v>0</v>
      </c>
    </row>
    <row r="383" spans="11:19" x14ac:dyDescent="0.15">
      <c r="K383" s="296">
        <f t="shared" si="22"/>
        <v>0</v>
      </c>
      <c r="L383" s="296">
        <f t="shared" si="14"/>
        <v>0</v>
      </c>
      <c r="M383" s="296">
        <f t="shared" si="15"/>
        <v>0</v>
      </c>
      <c r="N383" s="296">
        <f t="shared" si="16"/>
        <v>0</v>
      </c>
      <c r="O383" s="296">
        <f t="shared" si="17"/>
        <v>0</v>
      </c>
      <c r="P383" s="296">
        <f t="shared" si="18"/>
        <v>0</v>
      </c>
      <c r="Q383" s="296">
        <f t="shared" si="19"/>
        <v>1</v>
      </c>
      <c r="R383" s="296">
        <f t="shared" si="20"/>
        <v>0</v>
      </c>
      <c r="S383" s="296">
        <f t="shared" si="21"/>
        <v>0</v>
      </c>
    </row>
    <row r="384" spans="11:19" x14ac:dyDescent="0.15">
      <c r="K384" s="296">
        <f t="shared" si="22"/>
        <v>0</v>
      </c>
      <c r="L384" s="296">
        <f t="shared" si="14"/>
        <v>0</v>
      </c>
      <c r="M384" s="296">
        <f t="shared" si="15"/>
        <v>0</v>
      </c>
      <c r="N384" s="296">
        <f t="shared" si="16"/>
        <v>0</v>
      </c>
      <c r="O384" s="296">
        <f t="shared" si="17"/>
        <v>0</v>
      </c>
      <c r="P384" s="296">
        <f t="shared" si="18"/>
        <v>0</v>
      </c>
      <c r="Q384" s="296">
        <f t="shared" si="19"/>
        <v>0</v>
      </c>
      <c r="R384" s="296">
        <f t="shared" si="20"/>
        <v>0</v>
      </c>
      <c r="S384" s="296">
        <f t="shared" si="21"/>
        <v>0</v>
      </c>
    </row>
    <row r="385" spans="11:19" x14ac:dyDescent="0.15">
      <c r="K385" s="296">
        <f t="shared" si="22"/>
        <v>0</v>
      </c>
      <c r="L385" s="296">
        <f t="shared" si="14"/>
        <v>0</v>
      </c>
      <c r="M385" s="296">
        <f t="shared" si="15"/>
        <v>0</v>
      </c>
      <c r="N385" s="296">
        <f t="shared" si="16"/>
        <v>0</v>
      </c>
      <c r="O385" s="296">
        <f t="shared" si="17"/>
        <v>0</v>
      </c>
      <c r="P385" s="296">
        <f t="shared" si="18"/>
        <v>1</v>
      </c>
      <c r="Q385" s="296">
        <f t="shared" si="19"/>
        <v>0</v>
      </c>
      <c r="R385" s="296">
        <f t="shared" si="20"/>
        <v>0</v>
      </c>
      <c r="S385" s="296">
        <f t="shared" si="21"/>
        <v>0</v>
      </c>
    </row>
    <row r="386" spans="11:19" x14ac:dyDescent="0.15">
      <c r="K386" s="296">
        <f t="shared" si="22"/>
        <v>0</v>
      </c>
      <c r="L386" s="296">
        <f t="shared" si="14"/>
        <v>0</v>
      </c>
      <c r="M386" s="296">
        <f t="shared" si="15"/>
        <v>0</v>
      </c>
      <c r="N386" s="296">
        <f t="shared" si="16"/>
        <v>0</v>
      </c>
      <c r="O386" s="296">
        <f t="shared" si="17"/>
        <v>0</v>
      </c>
      <c r="P386" s="296">
        <f t="shared" si="18"/>
        <v>0</v>
      </c>
      <c r="Q386" s="296">
        <f t="shared" si="19"/>
        <v>0</v>
      </c>
      <c r="R386" s="296">
        <f t="shared" si="20"/>
        <v>0</v>
      </c>
      <c r="S386" s="296">
        <f t="shared" si="21"/>
        <v>1</v>
      </c>
    </row>
    <row r="387" spans="11:19" x14ac:dyDescent="0.15">
      <c r="K387" s="296">
        <f t="shared" si="22"/>
        <v>0</v>
      </c>
      <c r="L387" s="296">
        <f t="shared" si="14"/>
        <v>0</v>
      </c>
      <c r="M387" s="296">
        <f t="shared" si="15"/>
        <v>0</v>
      </c>
      <c r="N387" s="296">
        <f t="shared" si="16"/>
        <v>0</v>
      </c>
      <c r="O387" s="296">
        <f t="shared" si="17"/>
        <v>0</v>
      </c>
      <c r="P387" s="296">
        <f t="shared" si="18"/>
        <v>0</v>
      </c>
      <c r="Q387" s="296">
        <f t="shared" si="19"/>
        <v>0</v>
      </c>
      <c r="R387" s="296">
        <f t="shared" si="20"/>
        <v>0</v>
      </c>
      <c r="S387" s="296">
        <f t="shared" si="21"/>
        <v>0</v>
      </c>
    </row>
    <row r="388" spans="11:19" x14ac:dyDescent="0.15">
      <c r="K388" s="296">
        <f t="shared" si="22"/>
        <v>0</v>
      </c>
      <c r="L388" s="296">
        <f t="shared" si="14"/>
        <v>0</v>
      </c>
      <c r="M388" s="296">
        <f t="shared" si="15"/>
        <v>0</v>
      </c>
      <c r="N388" s="296">
        <f t="shared" si="16"/>
        <v>0</v>
      </c>
      <c r="O388" s="296">
        <f t="shared" si="17"/>
        <v>0</v>
      </c>
      <c r="P388" s="296">
        <f t="shared" si="18"/>
        <v>0</v>
      </c>
      <c r="Q388" s="296">
        <f t="shared" si="19"/>
        <v>0</v>
      </c>
      <c r="R388" s="296">
        <f t="shared" si="20"/>
        <v>0</v>
      </c>
      <c r="S388" s="296">
        <f t="shared" si="21"/>
        <v>0</v>
      </c>
    </row>
    <row r="389" spans="11:19" x14ac:dyDescent="0.15">
      <c r="K389" s="296">
        <f t="shared" si="22"/>
        <v>0</v>
      </c>
      <c r="L389" s="296">
        <f t="shared" si="14"/>
        <v>0</v>
      </c>
      <c r="M389" s="296">
        <f t="shared" si="15"/>
        <v>0</v>
      </c>
      <c r="N389" s="296">
        <f t="shared" si="16"/>
        <v>0</v>
      </c>
      <c r="O389" s="296">
        <f t="shared" si="17"/>
        <v>1</v>
      </c>
      <c r="P389" s="296">
        <f t="shared" si="18"/>
        <v>0</v>
      </c>
      <c r="Q389" s="296">
        <f t="shared" si="19"/>
        <v>0</v>
      </c>
      <c r="R389" s="296">
        <f t="shared" si="20"/>
        <v>0</v>
      </c>
      <c r="S389" s="296">
        <f t="shared" si="21"/>
        <v>0</v>
      </c>
    </row>
    <row r="390" spans="11:19" x14ac:dyDescent="0.15">
      <c r="K390" s="297">
        <f>SUM(K276:K389)</f>
        <v>0</v>
      </c>
      <c r="L390" s="297">
        <f t="shared" ref="L390:S390" si="23">SUM(L276:L389)</f>
        <v>0</v>
      </c>
      <c r="M390" s="297">
        <f t="shared" si="23"/>
        <v>0</v>
      </c>
      <c r="N390" s="297">
        <f t="shared" si="23"/>
        <v>1</v>
      </c>
      <c r="O390" s="297">
        <f t="shared" si="23"/>
        <v>9</v>
      </c>
      <c r="P390" s="297">
        <f t="shared" si="23"/>
        <v>13</v>
      </c>
      <c r="Q390" s="297">
        <f t="shared" si="23"/>
        <v>11</v>
      </c>
      <c r="R390" s="297">
        <f t="shared" si="23"/>
        <v>5</v>
      </c>
      <c r="S390" s="297">
        <f t="shared" si="23"/>
        <v>7</v>
      </c>
    </row>
  </sheetData>
  <printOptions horizontalCentered="1" verticalCentered="1"/>
  <pageMargins left="0.19685039370078741" right="0" top="0" bottom="0.19685039370078741" header="0" footer="0.19685039370078741"/>
  <pageSetup paperSize="9" scale="87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76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1" ht="14.1" customHeight="1" x14ac:dyDescent="0.2">
      <c r="A2" s="1" t="s">
        <v>364</v>
      </c>
      <c r="T2" s="3" t="s">
        <v>403</v>
      </c>
    </row>
    <row r="3" spans="1:21" ht="11.1" customHeight="1" x14ac:dyDescent="0.15">
      <c r="A3" s="6" t="s">
        <v>2</v>
      </c>
    </row>
    <row r="4" spans="1:21" ht="11.1" customHeight="1" x14ac:dyDescent="0.15">
      <c r="A4" s="7"/>
      <c r="B4" s="8"/>
      <c r="C4" s="177"/>
      <c r="D4" s="9"/>
      <c r="E4" s="9"/>
      <c r="F4" s="9"/>
      <c r="G4" s="9"/>
      <c r="H4" s="9"/>
      <c r="I4" s="9"/>
      <c r="J4" s="1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1" ht="11.1" customHeight="1" x14ac:dyDescent="0.15">
      <c r="A5" s="13"/>
      <c r="B5" s="14"/>
      <c r="C5" s="125"/>
      <c r="D5" s="15" t="s">
        <v>4</v>
      </c>
      <c r="E5" s="16"/>
      <c r="F5" s="16"/>
      <c r="G5" s="16"/>
      <c r="H5" s="16"/>
      <c r="I5" s="16"/>
      <c r="J5" s="17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1" ht="11.1" customHeight="1" x14ac:dyDescent="0.15">
      <c r="A6" s="13" t="s">
        <v>428</v>
      </c>
      <c r="B6" s="14">
        <v>2013</v>
      </c>
      <c r="C6" s="220" t="s">
        <v>361</v>
      </c>
      <c r="D6" s="19"/>
      <c r="E6" s="19"/>
      <c r="F6" s="19"/>
      <c r="G6" s="19"/>
      <c r="H6" s="19"/>
      <c r="I6" s="19"/>
      <c r="J6" s="17" t="s">
        <v>13</v>
      </c>
      <c r="K6" s="14"/>
      <c r="L6" s="6" t="s">
        <v>371</v>
      </c>
      <c r="M6" s="18"/>
      <c r="N6" s="13" t="s">
        <v>367</v>
      </c>
      <c r="O6" s="239">
        <v>77777</v>
      </c>
      <c r="P6" s="239">
        <v>7777</v>
      </c>
      <c r="Q6" s="239">
        <v>777</v>
      </c>
      <c r="R6" s="239">
        <v>77</v>
      </c>
      <c r="S6" s="239">
        <v>17</v>
      </c>
      <c r="T6" s="239">
        <v>5</v>
      </c>
    </row>
    <row r="7" spans="1:21" ht="11.1" customHeight="1" x14ac:dyDescent="0.15">
      <c r="A7" s="39"/>
      <c r="B7" s="21"/>
      <c r="C7" s="220"/>
      <c r="D7" s="19"/>
      <c r="E7" s="19"/>
      <c r="F7" s="19"/>
      <c r="G7" s="19"/>
      <c r="H7" s="19"/>
      <c r="I7" s="19"/>
      <c r="J7" s="1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1" x14ac:dyDescent="0.15">
      <c r="A8" s="172">
        <v>1</v>
      </c>
      <c r="B8" s="284" t="s">
        <v>382</v>
      </c>
      <c r="C8" s="174" t="s">
        <v>362</v>
      </c>
      <c r="D8" s="27">
        <v>2</v>
      </c>
      <c r="E8" s="27">
        <v>8</v>
      </c>
      <c r="F8" s="27">
        <v>9</v>
      </c>
      <c r="G8" s="27">
        <v>4</v>
      </c>
      <c r="H8" s="27">
        <v>2</v>
      </c>
      <c r="I8" s="27">
        <v>3</v>
      </c>
      <c r="J8" s="7">
        <v>1</v>
      </c>
      <c r="K8" s="222">
        <v>6274330</v>
      </c>
      <c r="L8" s="223" t="s">
        <v>23</v>
      </c>
      <c r="M8" s="224" t="s">
        <v>368</v>
      </c>
      <c r="N8" s="224">
        <v>541210.19999999995</v>
      </c>
      <c r="O8" s="226">
        <v>1</v>
      </c>
      <c r="P8" s="227">
        <v>21</v>
      </c>
      <c r="Q8" s="226">
        <v>187</v>
      </c>
      <c r="R8" s="227">
        <v>1987</v>
      </c>
      <c r="S8" s="226">
        <v>19724</v>
      </c>
      <c r="T8" s="227">
        <v>191795</v>
      </c>
    </row>
    <row r="9" spans="1:21" x14ac:dyDescent="0.15">
      <c r="A9" s="178"/>
      <c r="B9" s="179" t="s">
        <v>383</v>
      </c>
      <c r="C9" s="180" t="s">
        <v>363</v>
      </c>
      <c r="D9" s="19">
        <v>1</v>
      </c>
      <c r="E9" s="19">
        <v>0</v>
      </c>
      <c r="F9" s="19">
        <v>4</v>
      </c>
      <c r="G9" s="19">
        <v>1</v>
      </c>
      <c r="H9" s="19">
        <v>5</v>
      </c>
      <c r="I9" s="19">
        <v>6</v>
      </c>
      <c r="J9" s="13">
        <v>3</v>
      </c>
      <c r="K9" s="229">
        <v>14728562.5</v>
      </c>
      <c r="L9" s="237" t="s">
        <v>23</v>
      </c>
      <c r="M9" s="229" t="s">
        <v>368</v>
      </c>
      <c r="N9" s="231">
        <v>1588411</v>
      </c>
      <c r="O9" s="232">
        <v>4</v>
      </c>
      <c r="P9" s="233">
        <v>41</v>
      </c>
      <c r="Q9" s="232">
        <v>574</v>
      </c>
      <c r="R9" s="233">
        <v>5626</v>
      </c>
      <c r="S9" s="232">
        <v>55391</v>
      </c>
      <c r="T9" s="233">
        <v>544776</v>
      </c>
      <c r="U9">
        <v>737224</v>
      </c>
    </row>
    <row r="10" spans="1:21" x14ac:dyDescent="0.15">
      <c r="A10" s="172">
        <v>2</v>
      </c>
      <c r="B10" s="173" t="s">
        <v>384</v>
      </c>
      <c r="C10" s="174" t="s">
        <v>362</v>
      </c>
      <c r="D10" s="238">
        <v>8</v>
      </c>
      <c r="E10" s="27">
        <v>3</v>
      </c>
      <c r="F10" s="27">
        <v>0</v>
      </c>
      <c r="G10" s="27">
        <v>9</v>
      </c>
      <c r="H10" s="27">
        <v>5</v>
      </c>
      <c r="I10" s="27">
        <v>5</v>
      </c>
      <c r="J10" s="7">
        <v>3</v>
      </c>
      <c r="K10" s="222">
        <v>6192432.5</v>
      </c>
      <c r="L10" s="234" t="s">
        <v>23</v>
      </c>
      <c r="M10" s="224" t="s">
        <v>368</v>
      </c>
      <c r="N10" s="225">
        <v>2028693</v>
      </c>
      <c r="O10" s="226">
        <v>5</v>
      </c>
      <c r="P10" s="227">
        <v>27</v>
      </c>
      <c r="Q10" s="226">
        <v>229</v>
      </c>
      <c r="R10" s="227">
        <v>2520</v>
      </c>
      <c r="S10" s="226">
        <v>25482</v>
      </c>
      <c r="T10" s="227">
        <v>243383</v>
      </c>
    </row>
    <row r="11" spans="1:21" x14ac:dyDescent="0.15">
      <c r="A11" s="178"/>
      <c r="B11" s="179" t="s">
        <v>385</v>
      </c>
      <c r="C11" s="180" t="s">
        <v>363</v>
      </c>
      <c r="D11" s="76">
        <v>4</v>
      </c>
      <c r="E11" s="76">
        <v>2</v>
      </c>
      <c r="F11" s="76">
        <v>7</v>
      </c>
      <c r="G11" s="76">
        <v>6</v>
      </c>
      <c r="H11" s="76">
        <v>7</v>
      </c>
      <c r="I11" s="76">
        <v>2</v>
      </c>
      <c r="J11" s="13">
        <v>4</v>
      </c>
      <c r="K11" s="229">
        <v>14857587.5</v>
      </c>
      <c r="L11" s="237">
        <v>3</v>
      </c>
      <c r="M11" s="229">
        <v>977777</v>
      </c>
      <c r="N11" s="229">
        <v>151736.5</v>
      </c>
      <c r="O11" s="232">
        <v>5</v>
      </c>
      <c r="P11" s="233">
        <v>51</v>
      </c>
      <c r="Q11" s="232">
        <v>507</v>
      </c>
      <c r="R11" s="233">
        <v>5173</v>
      </c>
      <c r="S11" s="232">
        <v>51769</v>
      </c>
      <c r="T11" s="233">
        <v>501250</v>
      </c>
    </row>
    <row r="12" spans="1:21" x14ac:dyDescent="0.15">
      <c r="A12" s="172">
        <v>3</v>
      </c>
      <c r="B12" s="173" t="s">
        <v>60</v>
      </c>
      <c r="C12" s="174" t="s">
        <v>362</v>
      </c>
      <c r="D12" s="27">
        <v>2</v>
      </c>
      <c r="E12" s="27">
        <v>5</v>
      </c>
      <c r="F12" s="27">
        <v>0</v>
      </c>
      <c r="G12" s="27">
        <v>8</v>
      </c>
      <c r="H12" s="27">
        <v>9</v>
      </c>
      <c r="I12" s="27">
        <v>7</v>
      </c>
      <c r="J12" s="7">
        <v>4</v>
      </c>
      <c r="K12" s="222">
        <v>6255130</v>
      </c>
      <c r="L12" s="234">
        <v>1</v>
      </c>
      <c r="M12" s="224">
        <v>577777</v>
      </c>
      <c r="N12" s="225">
        <v>18699.2</v>
      </c>
      <c r="O12" s="226">
        <v>1</v>
      </c>
      <c r="P12" s="227">
        <v>21</v>
      </c>
      <c r="Q12" s="226">
        <v>211</v>
      </c>
      <c r="R12" s="227">
        <v>2179</v>
      </c>
      <c r="S12" s="226">
        <v>20908</v>
      </c>
      <c r="T12" s="227">
        <v>215587</v>
      </c>
    </row>
    <row r="13" spans="1:21" x14ac:dyDescent="0.15">
      <c r="A13" s="178"/>
      <c r="B13" s="179" t="s">
        <v>386</v>
      </c>
      <c r="C13" s="180" t="s">
        <v>363</v>
      </c>
      <c r="D13" s="19">
        <v>3</v>
      </c>
      <c r="E13" s="19">
        <v>6</v>
      </c>
      <c r="F13" s="19">
        <v>8</v>
      </c>
      <c r="G13" s="19">
        <v>2</v>
      </c>
      <c r="H13" s="19">
        <v>2</v>
      </c>
      <c r="I13" s="19">
        <v>3</v>
      </c>
      <c r="J13" s="13">
        <v>8</v>
      </c>
      <c r="K13" s="229">
        <v>15005817.5</v>
      </c>
      <c r="L13" s="230">
        <v>3</v>
      </c>
      <c r="M13" s="229">
        <v>277777</v>
      </c>
      <c r="N13" s="231">
        <v>252281.8</v>
      </c>
      <c r="O13" s="232">
        <v>7</v>
      </c>
      <c r="P13" s="233">
        <v>68</v>
      </c>
      <c r="Q13" s="232">
        <v>525</v>
      </c>
      <c r="R13" s="233">
        <v>5872</v>
      </c>
      <c r="S13" s="232">
        <v>59173</v>
      </c>
      <c r="T13" s="233">
        <v>584509</v>
      </c>
    </row>
    <row r="14" spans="1:21" x14ac:dyDescent="0.15">
      <c r="A14" s="172">
        <v>4</v>
      </c>
      <c r="B14" s="173" t="s">
        <v>61</v>
      </c>
      <c r="C14" s="174" t="s">
        <v>362</v>
      </c>
      <c r="D14" s="27">
        <v>8</v>
      </c>
      <c r="E14" s="27">
        <v>9</v>
      </c>
      <c r="F14" s="27">
        <v>5</v>
      </c>
      <c r="G14" s="27">
        <v>7</v>
      </c>
      <c r="H14" s="27">
        <v>2</v>
      </c>
      <c r="I14" s="27">
        <v>1</v>
      </c>
      <c r="J14" s="7">
        <v>7</v>
      </c>
      <c r="K14" s="222">
        <v>6699510</v>
      </c>
      <c r="L14" s="234" t="s">
        <v>23</v>
      </c>
      <c r="M14" s="224" t="s">
        <v>368</v>
      </c>
      <c r="N14" s="225">
        <v>728617</v>
      </c>
      <c r="O14" s="226">
        <v>4</v>
      </c>
      <c r="P14" s="227">
        <v>35</v>
      </c>
      <c r="Q14" s="226">
        <v>274</v>
      </c>
      <c r="R14" s="227">
        <v>2881</v>
      </c>
      <c r="S14" s="226">
        <v>29267</v>
      </c>
      <c r="T14" s="227">
        <v>292050</v>
      </c>
    </row>
    <row r="15" spans="1:21" x14ac:dyDescent="0.15">
      <c r="A15" s="178"/>
      <c r="B15" s="179" t="s">
        <v>387</v>
      </c>
      <c r="C15" s="180" t="s">
        <v>363</v>
      </c>
      <c r="D15" s="19">
        <v>7</v>
      </c>
      <c r="E15" s="19">
        <v>8</v>
      </c>
      <c r="F15" s="19">
        <v>0</v>
      </c>
      <c r="G15" s="19">
        <v>0</v>
      </c>
      <c r="H15" s="19">
        <v>4</v>
      </c>
      <c r="I15" s="19">
        <v>0</v>
      </c>
      <c r="J15" s="13">
        <v>7</v>
      </c>
      <c r="K15" s="229">
        <v>14465985</v>
      </c>
      <c r="L15" s="230" t="s">
        <v>23</v>
      </c>
      <c r="M15" s="229" t="s">
        <v>368</v>
      </c>
      <c r="N15" s="231">
        <v>1757148.5</v>
      </c>
      <c r="O15" s="232">
        <v>3</v>
      </c>
      <c r="P15" s="233">
        <v>56</v>
      </c>
      <c r="Q15" s="232">
        <v>519</v>
      </c>
      <c r="R15" s="233">
        <v>5411</v>
      </c>
      <c r="S15" s="232">
        <v>54684</v>
      </c>
      <c r="T15" s="233">
        <v>649732</v>
      </c>
    </row>
    <row r="16" spans="1:21" x14ac:dyDescent="0.15">
      <c r="A16" s="172">
        <v>5</v>
      </c>
      <c r="B16" s="173" t="s">
        <v>62</v>
      </c>
      <c r="C16" s="174" t="s">
        <v>362</v>
      </c>
      <c r="D16" s="27">
        <v>6</v>
      </c>
      <c r="E16" s="27">
        <v>4</v>
      </c>
      <c r="F16" s="27">
        <v>4</v>
      </c>
      <c r="G16" s="27">
        <v>2</v>
      </c>
      <c r="H16" s="27">
        <v>0</v>
      </c>
      <c r="I16" s="27">
        <v>4</v>
      </c>
      <c r="J16" s="7">
        <v>7</v>
      </c>
      <c r="K16" s="222">
        <v>6154022.5</v>
      </c>
      <c r="L16" s="223" t="s">
        <v>23</v>
      </c>
      <c r="M16" s="224" t="s">
        <v>368</v>
      </c>
      <c r="N16" s="224">
        <v>2194699.5</v>
      </c>
      <c r="O16" s="226">
        <v>2</v>
      </c>
      <c r="P16" s="227">
        <v>31</v>
      </c>
      <c r="Q16" s="226">
        <v>257</v>
      </c>
      <c r="R16" s="227">
        <v>2611</v>
      </c>
      <c r="S16" s="226">
        <v>28492</v>
      </c>
      <c r="T16" s="227">
        <v>272046</v>
      </c>
    </row>
    <row r="17" spans="1:21" x14ac:dyDescent="0.15">
      <c r="A17" s="178"/>
      <c r="B17" s="179" t="s">
        <v>388</v>
      </c>
      <c r="C17" s="180" t="s">
        <v>363</v>
      </c>
      <c r="D17" s="19">
        <v>0</v>
      </c>
      <c r="E17" s="19">
        <v>3</v>
      </c>
      <c r="F17" s="19">
        <v>3</v>
      </c>
      <c r="G17" s="19">
        <v>1</v>
      </c>
      <c r="H17" s="19">
        <v>8</v>
      </c>
      <c r="I17" s="19">
        <v>0</v>
      </c>
      <c r="J17" s="13">
        <v>1</v>
      </c>
      <c r="K17" s="229">
        <v>14786575</v>
      </c>
      <c r="L17" s="230" t="s">
        <v>23</v>
      </c>
      <c r="M17" s="229" t="s">
        <v>368</v>
      </c>
      <c r="N17" s="229">
        <v>3246025</v>
      </c>
      <c r="O17" s="232">
        <v>5</v>
      </c>
      <c r="P17" s="233">
        <v>43</v>
      </c>
      <c r="Q17" s="232">
        <v>397</v>
      </c>
      <c r="R17" s="233">
        <v>4004</v>
      </c>
      <c r="S17" s="232">
        <v>40014</v>
      </c>
      <c r="T17" s="233">
        <v>447863</v>
      </c>
    </row>
    <row r="18" spans="1:21" x14ac:dyDescent="0.15">
      <c r="A18" s="172">
        <v>6</v>
      </c>
      <c r="B18" s="173" t="s">
        <v>63</v>
      </c>
      <c r="C18" s="174" t="s">
        <v>362</v>
      </c>
      <c r="D18" s="27">
        <v>9</v>
      </c>
      <c r="E18" s="27">
        <v>4</v>
      </c>
      <c r="F18" s="27">
        <v>0</v>
      </c>
      <c r="G18" s="27">
        <v>5</v>
      </c>
      <c r="H18" s="27">
        <v>2</v>
      </c>
      <c r="I18" s="27">
        <v>3</v>
      </c>
      <c r="J18" s="7">
        <v>1</v>
      </c>
      <c r="K18" s="222">
        <v>6178072.5</v>
      </c>
      <c r="L18" s="223" t="s">
        <v>23</v>
      </c>
      <c r="M18" s="224" t="s">
        <v>368</v>
      </c>
      <c r="N18" s="224">
        <v>3685286</v>
      </c>
      <c r="O18" s="226">
        <v>1</v>
      </c>
      <c r="P18" s="227">
        <v>20</v>
      </c>
      <c r="Q18" s="226">
        <v>188</v>
      </c>
      <c r="R18" s="227">
        <v>1934</v>
      </c>
      <c r="S18" s="226">
        <v>19683</v>
      </c>
      <c r="T18" s="227">
        <v>187452</v>
      </c>
    </row>
    <row r="19" spans="1:21" x14ac:dyDescent="0.15">
      <c r="A19" s="178"/>
      <c r="B19" s="179" t="s">
        <v>389</v>
      </c>
      <c r="C19" s="180" t="s">
        <v>363</v>
      </c>
      <c r="D19" s="19">
        <v>9</v>
      </c>
      <c r="E19" s="19">
        <v>5</v>
      </c>
      <c r="F19" s="19">
        <v>4</v>
      </c>
      <c r="G19" s="19">
        <v>0</v>
      </c>
      <c r="H19" s="19">
        <v>5</v>
      </c>
      <c r="I19" s="19">
        <v>6</v>
      </c>
      <c r="J19" s="13">
        <v>1</v>
      </c>
      <c r="K19" s="229">
        <v>14772152.5</v>
      </c>
      <c r="L19" s="230" t="s">
        <v>23</v>
      </c>
      <c r="M19" s="229" t="s">
        <v>368</v>
      </c>
      <c r="N19" s="231">
        <v>4735586</v>
      </c>
      <c r="O19" s="232">
        <v>7</v>
      </c>
      <c r="P19" s="233">
        <v>52</v>
      </c>
      <c r="Q19" s="232">
        <v>457</v>
      </c>
      <c r="R19" s="233">
        <v>4537</v>
      </c>
      <c r="S19" s="232">
        <v>45055</v>
      </c>
      <c r="T19" s="233">
        <v>445104</v>
      </c>
    </row>
    <row r="20" spans="1:21" x14ac:dyDescent="0.15">
      <c r="A20" s="172">
        <v>7</v>
      </c>
      <c r="B20" s="173" t="s">
        <v>64</v>
      </c>
      <c r="C20" s="174" t="s">
        <v>362</v>
      </c>
      <c r="D20" s="27">
        <v>7</v>
      </c>
      <c r="E20" s="27">
        <v>7</v>
      </c>
      <c r="F20" s="27">
        <v>2</v>
      </c>
      <c r="G20" s="27">
        <v>0</v>
      </c>
      <c r="H20" s="27">
        <v>6</v>
      </c>
      <c r="I20" s="27">
        <v>4</v>
      </c>
      <c r="J20" s="7">
        <v>0</v>
      </c>
      <c r="K20" s="222">
        <v>6410847.5</v>
      </c>
      <c r="L20" s="223" t="s">
        <v>23</v>
      </c>
      <c r="M20" s="224" t="s">
        <v>368</v>
      </c>
      <c r="N20" s="225">
        <v>5191397.3</v>
      </c>
      <c r="O20" s="226">
        <v>1</v>
      </c>
      <c r="P20" s="227">
        <v>15</v>
      </c>
      <c r="Q20" s="226">
        <v>159</v>
      </c>
      <c r="R20" s="227">
        <v>1645</v>
      </c>
      <c r="S20" s="226">
        <v>16873</v>
      </c>
      <c r="T20" s="227">
        <v>175413</v>
      </c>
    </row>
    <row r="21" spans="1:21" x14ac:dyDescent="0.15">
      <c r="A21" s="178"/>
      <c r="B21" s="179" t="s">
        <v>390</v>
      </c>
      <c r="C21" s="180" t="s">
        <v>363</v>
      </c>
      <c r="D21" s="19">
        <v>1</v>
      </c>
      <c r="E21" s="19">
        <v>7</v>
      </c>
      <c r="F21" s="19">
        <v>2</v>
      </c>
      <c r="G21" s="19">
        <v>3</v>
      </c>
      <c r="H21" s="19">
        <v>4</v>
      </c>
      <c r="I21" s="19">
        <v>1</v>
      </c>
      <c r="J21" s="13">
        <v>7</v>
      </c>
      <c r="K21" s="229">
        <v>15333452.5</v>
      </c>
      <c r="L21" s="230">
        <v>1</v>
      </c>
      <c r="M21" s="229">
        <v>6277777</v>
      </c>
      <c r="N21" s="231">
        <v>3828.8</v>
      </c>
      <c r="O21" s="232">
        <v>7</v>
      </c>
      <c r="P21" s="233">
        <v>76</v>
      </c>
      <c r="Q21" s="232">
        <v>738</v>
      </c>
      <c r="R21" s="233">
        <v>6717</v>
      </c>
      <c r="S21" s="232">
        <v>66885</v>
      </c>
      <c r="T21" s="233">
        <v>680942</v>
      </c>
      <c r="U21" s="240"/>
    </row>
    <row r="22" spans="1:21" x14ac:dyDescent="0.15">
      <c r="A22" s="172">
        <v>8</v>
      </c>
      <c r="B22" s="173" t="s">
        <v>65</v>
      </c>
      <c r="C22" s="174" t="s">
        <v>362</v>
      </c>
      <c r="D22" s="27">
        <v>5</v>
      </c>
      <c r="E22" s="27">
        <v>0</v>
      </c>
      <c r="F22" s="27">
        <v>2</v>
      </c>
      <c r="G22" s="27">
        <v>1</v>
      </c>
      <c r="H22" s="27">
        <v>1</v>
      </c>
      <c r="I22" s="27">
        <v>5</v>
      </c>
      <c r="J22" s="7">
        <v>7</v>
      </c>
      <c r="K22" s="222">
        <v>6938312.5</v>
      </c>
      <c r="L22" s="223">
        <v>1</v>
      </c>
      <c r="M22" s="224">
        <v>477777</v>
      </c>
      <c r="N22" s="225">
        <v>19365.8</v>
      </c>
      <c r="O22" s="226">
        <v>3</v>
      </c>
      <c r="P22" s="227">
        <v>31</v>
      </c>
      <c r="Q22" s="226">
        <v>294</v>
      </c>
      <c r="R22" s="227">
        <v>2933</v>
      </c>
      <c r="S22" s="226">
        <v>31326</v>
      </c>
      <c r="T22" s="227">
        <v>311266</v>
      </c>
    </row>
    <row r="23" spans="1:21" x14ac:dyDescent="0.15">
      <c r="A23" s="178"/>
      <c r="B23" s="179" t="s">
        <v>391</v>
      </c>
      <c r="C23" s="180" t="s">
        <v>363</v>
      </c>
      <c r="D23" s="19">
        <v>2</v>
      </c>
      <c r="E23" s="19">
        <v>1</v>
      </c>
      <c r="F23" s="19">
        <v>6</v>
      </c>
      <c r="G23" s="19">
        <v>9</v>
      </c>
      <c r="H23" s="19">
        <v>9</v>
      </c>
      <c r="I23" s="19">
        <v>0</v>
      </c>
      <c r="J23" s="13">
        <v>7</v>
      </c>
      <c r="K23" s="229">
        <v>15683432.5</v>
      </c>
      <c r="L23" s="230">
        <v>2</v>
      </c>
      <c r="M23" s="229">
        <v>477777</v>
      </c>
      <c r="N23" s="231">
        <v>178903.9</v>
      </c>
      <c r="O23" s="232">
        <v>4</v>
      </c>
      <c r="P23" s="233">
        <v>58</v>
      </c>
      <c r="Q23" s="232">
        <v>594</v>
      </c>
      <c r="R23" s="233">
        <v>6139</v>
      </c>
      <c r="S23" s="232">
        <v>60711</v>
      </c>
      <c r="T23" s="233">
        <v>712130</v>
      </c>
    </row>
    <row r="24" spans="1:21" x14ac:dyDescent="0.15">
      <c r="A24" s="172">
        <v>9</v>
      </c>
      <c r="B24" s="173" t="s">
        <v>66</v>
      </c>
      <c r="C24" s="174" t="s">
        <v>362</v>
      </c>
      <c r="D24" s="27">
        <v>8</v>
      </c>
      <c r="E24" s="27">
        <v>6</v>
      </c>
      <c r="F24" s="27">
        <v>9</v>
      </c>
      <c r="G24" s="27">
        <v>6</v>
      </c>
      <c r="H24" s="27">
        <v>8</v>
      </c>
      <c r="I24" s="27">
        <v>6</v>
      </c>
      <c r="J24" s="7">
        <v>5</v>
      </c>
      <c r="K24" s="222">
        <v>7428730</v>
      </c>
      <c r="L24" s="223" t="s">
        <v>23</v>
      </c>
      <c r="M24" s="224" t="s">
        <v>368</v>
      </c>
      <c r="N24" s="225">
        <v>707086.6</v>
      </c>
      <c r="O24" s="226">
        <v>3</v>
      </c>
      <c r="P24" s="227">
        <v>40</v>
      </c>
      <c r="Q24" s="226">
        <v>318</v>
      </c>
      <c r="R24" s="227">
        <v>3250</v>
      </c>
      <c r="S24" s="226">
        <v>31951</v>
      </c>
      <c r="T24" s="227">
        <v>304425</v>
      </c>
    </row>
    <row r="25" spans="1:21" x14ac:dyDescent="0.15">
      <c r="A25" s="178"/>
      <c r="B25" s="179" t="s">
        <v>225</v>
      </c>
      <c r="C25" s="180" t="s">
        <v>363</v>
      </c>
      <c r="D25" s="19">
        <v>6</v>
      </c>
      <c r="E25" s="19">
        <v>9</v>
      </c>
      <c r="F25" s="19">
        <v>1</v>
      </c>
      <c r="G25" s="19">
        <v>1</v>
      </c>
      <c r="H25" s="19">
        <v>7</v>
      </c>
      <c r="I25" s="19">
        <v>7</v>
      </c>
      <c r="J25" s="13">
        <v>3</v>
      </c>
      <c r="K25" s="229">
        <v>16758485</v>
      </c>
      <c r="L25" s="230" t="s">
        <v>23</v>
      </c>
      <c r="M25" s="229" t="s">
        <v>368</v>
      </c>
      <c r="N25" s="231">
        <v>1898614.9</v>
      </c>
      <c r="O25" s="232">
        <v>3</v>
      </c>
      <c r="P25" s="233">
        <v>57</v>
      </c>
      <c r="Q25" s="232">
        <v>600</v>
      </c>
      <c r="R25" s="233">
        <v>6060</v>
      </c>
      <c r="S25" s="232">
        <v>63515</v>
      </c>
      <c r="T25" s="233">
        <v>618309</v>
      </c>
    </row>
    <row r="26" spans="1:21" x14ac:dyDescent="0.15">
      <c r="A26" s="172">
        <v>10</v>
      </c>
      <c r="B26" s="173" t="s">
        <v>67</v>
      </c>
      <c r="C26" s="174" t="s">
        <v>362</v>
      </c>
      <c r="D26" s="27">
        <v>8</v>
      </c>
      <c r="E26" s="27">
        <v>1</v>
      </c>
      <c r="F26" s="27">
        <v>4</v>
      </c>
      <c r="G26" s="27">
        <v>2</v>
      </c>
      <c r="H26" s="27">
        <v>7</v>
      </c>
      <c r="I26" s="27">
        <v>9</v>
      </c>
      <c r="J26" s="7">
        <v>1</v>
      </c>
      <c r="K26" s="222">
        <v>8405397.5</v>
      </c>
      <c r="L26" s="223" t="s">
        <v>23</v>
      </c>
      <c r="M26" s="224" t="s">
        <v>368</v>
      </c>
      <c r="N26" s="225">
        <v>2496238.7000000002</v>
      </c>
      <c r="O26" s="226" t="s">
        <v>17</v>
      </c>
      <c r="P26" s="227">
        <v>25</v>
      </c>
      <c r="Q26" s="226">
        <v>266</v>
      </c>
      <c r="R26" s="227">
        <v>2541</v>
      </c>
      <c r="S26" s="226">
        <v>24679</v>
      </c>
      <c r="T26" s="227">
        <v>264358</v>
      </c>
    </row>
    <row r="27" spans="1:21" x14ac:dyDescent="0.15">
      <c r="A27" s="178"/>
      <c r="B27" s="179" t="s">
        <v>226</v>
      </c>
      <c r="C27" s="180" t="s">
        <v>363</v>
      </c>
      <c r="D27" s="19">
        <v>5</v>
      </c>
      <c r="E27" s="19">
        <v>2</v>
      </c>
      <c r="F27" s="19">
        <v>6</v>
      </c>
      <c r="G27" s="19">
        <v>0</v>
      </c>
      <c r="H27" s="19">
        <v>1</v>
      </c>
      <c r="I27" s="19">
        <v>2</v>
      </c>
      <c r="J27" s="13">
        <v>2</v>
      </c>
      <c r="K27" s="229">
        <v>18031535</v>
      </c>
      <c r="L27" s="230" t="s">
        <v>23</v>
      </c>
      <c r="M27" s="229" t="s">
        <v>368</v>
      </c>
      <c r="N27" s="231">
        <v>3778280.8</v>
      </c>
      <c r="O27" s="232">
        <v>2</v>
      </c>
      <c r="P27" s="233">
        <v>64</v>
      </c>
      <c r="Q27" s="232">
        <v>578</v>
      </c>
      <c r="R27" s="233">
        <v>5865</v>
      </c>
      <c r="S27" s="232">
        <v>59885</v>
      </c>
      <c r="T27" s="233">
        <v>589975</v>
      </c>
    </row>
    <row r="28" spans="1:21" x14ac:dyDescent="0.15">
      <c r="A28" s="172">
        <v>11</v>
      </c>
      <c r="B28" s="173" t="s">
        <v>68</v>
      </c>
      <c r="C28" s="174" t="s">
        <v>362</v>
      </c>
      <c r="D28" s="27">
        <v>5</v>
      </c>
      <c r="E28" s="27">
        <v>1</v>
      </c>
      <c r="F28" s="27">
        <v>8</v>
      </c>
      <c r="G28" s="27">
        <v>7</v>
      </c>
      <c r="H28" s="27">
        <v>5</v>
      </c>
      <c r="I28" s="27">
        <v>3</v>
      </c>
      <c r="J28" s="7">
        <v>0</v>
      </c>
      <c r="K28" s="222">
        <v>6519385</v>
      </c>
      <c r="L28" s="223" t="s">
        <v>23</v>
      </c>
      <c r="M28" s="224" t="s">
        <v>368</v>
      </c>
      <c r="N28" s="225">
        <v>4241809.0999999996</v>
      </c>
      <c r="O28" s="226">
        <v>1</v>
      </c>
      <c r="P28" s="227">
        <v>18</v>
      </c>
      <c r="Q28" s="226">
        <v>197</v>
      </c>
      <c r="R28" s="227">
        <v>1772</v>
      </c>
      <c r="S28" s="226">
        <v>17928</v>
      </c>
      <c r="T28" s="227">
        <v>179096</v>
      </c>
    </row>
    <row r="29" spans="1:21" x14ac:dyDescent="0.15">
      <c r="A29" s="178"/>
      <c r="B29" s="179" t="s">
        <v>227</v>
      </c>
      <c r="C29" s="180" t="s">
        <v>363</v>
      </c>
      <c r="D29" s="19">
        <v>6</v>
      </c>
      <c r="E29" s="19">
        <v>3</v>
      </c>
      <c r="F29" s="19">
        <v>8</v>
      </c>
      <c r="G29" s="19">
        <v>3</v>
      </c>
      <c r="H29" s="19">
        <v>1</v>
      </c>
      <c r="I29" s="19">
        <v>7</v>
      </c>
      <c r="J29" s="13">
        <v>7</v>
      </c>
      <c r="K29" s="229">
        <v>14973335</v>
      </c>
      <c r="L29" s="230" t="s">
        <v>23</v>
      </c>
      <c r="M29" s="229" t="s">
        <v>368</v>
      </c>
      <c r="N29" s="231">
        <v>5306413.2</v>
      </c>
      <c r="O29" s="232">
        <v>4</v>
      </c>
      <c r="P29" s="233">
        <v>71</v>
      </c>
      <c r="Q29" s="232">
        <v>762</v>
      </c>
      <c r="R29" s="233">
        <v>7586</v>
      </c>
      <c r="S29" s="232">
        <v>79881</v>
      </c>
      <c r="T29" s="233">
        <v>669410</v>
      </c>
    </row>
    <row r="30" spans="1:21" x14ac:dyDescent="0.15">
      <c r="A30" s="172">
        <v>12</v>
      </c>
      <c r="B30" s="173" t="s">
        <v>69</v>
      </c>
      <c r="C30" s="174" t="s">
        <v>362</v>
      </c>
      <c r="D30" s="27">
        <v>0</v>
      </c>
      <c r="E30" s="27">
        <v>6</v>
      </c>
      <c r="F30" s="27">
        <v>2</v>
      </c>
      <c r="G30" s="27">
        <v>8</v>
      </c>
      <c r="H30" s="27">
        <v>6</v>
      </c>
      <c r="I30" s="27">
        <v>1</v>
      </c>
      <c r="J30" s="7">
        <v>4</v>
      </c>
      <c r="K30" s="222">
        <v>6477075</v>
      </c>
      <c r="L30" s="223" t="s">
        <v>23</v>
      </c>
      <c r="M30" s="224" t="s">
        <v>368</v>
      </c>
      <c r="N30" s="225">
        <v>5766933.2000000002</v>
      </c>
      <c r="O30" s="226">
        <v>2</v>
      </c>
      <c r="P30" s="227">
        <v>17</v>
      </c>
      <c r="Q30" s="226">
        <v>206</v>
      </c>
      <c r="R30" s="227">
        <v>2294</v>
      </c>
      <c r="S30" s="226">
        <v>22031</v>
      </c>
      <c r="T30" s="227">
        <v>219931</v>
      </c>
    </row>
    <row r="31" spans="1:21" x14ac:dyDescent="0.15">
      <c r="A31" s="178"/>
      <c r="B31" s="179" t="s">
        <v>228</v>
      </c>
      <c r="C31" s="180" t="s">
        <v>363</v>
      </c>
      <c r="D31" s="19">
        <v>1</v>
      </c>
      <c r="E31" s="19">
        <v>0</v>
      </c>
      <c r="F31" s="19">
        <v>5</v>
      </c>
      <c r="G31" s="19">
        <v>3</v>
      </c>
      <c r="H31" s="19">
        <v>2</v>
      </c>
      <c r="I31" s="19">
        <v>1</v>
      </c>
      <c r="J31" s="13">
        <v>2</v>
      </c>
      <c r="K31" s="229">
        <v>15168880</v>
      </c>
      <c r="L31" s="230">
        <v>2</v>
      </c>
      <c r="M31" s="229">
        <v>3377777</v>
      </c>
      <c r="N31" s="231">
        <v>89886.6</v>
      </c>
      <c r="O31" s="232">
        <v>4</v>
      </c>
      <c r="P31" s="233">
        <v>40</v>
      </c>
      <c r="Q31" s="232">
        <v>488</v>
      </c>
      <c r="R31" s="233">
        <v>5083</v>
      </c>
      <c r="S31" s="232">
        <v>50069</v>
      </c>
      <c r="T31" s="233">
        <v>492073</v>
      </c>
    </row>
    <row r="32" spans="1:21" x14ac:dyDescent="0.15">
      <c r="A32" s="172">
        <v>13</v>
      </c>
      <c r="B32" s="173" t="s">
        <v>70</v>
      </c>
      <c r="C32" s="174" t="s">
        <v>362</v>
      </c>
      <c r="D32" s="27">
        <v>2</v>
      </c>
      <c r="E32" s="27">
        <v>4</v>
      </c>
      <c r="F32" s="27">
        <v>4</v>
      </c>
      <c r="G32" s="27">
        <v>2</v>
      </c>
      <c r="H32" s="27">
        <v>2</v>
      </c>
      <c r="I32" s="27">
        <v>1</v>
      </c>
      <c r="J32" s="7">
        <v>2</v>
      </c>
      <c r="K32" s="222">
        <v>6711620</v>
      </c>
      <c r="L32" s="223" t="s">
        <v>23</v>
      </c>
      <c r="M32" s="224" t="s">
        <v>368</v>
      </c>
      <c r="N32" s="225">
        <v>567082.80000000005</v>
      </c>
      <c r="O32" s="226">
        <v>4</v>
      </c>
      <c r="P32" s="227">
        <v>22</v>
      </c>
      <c r="Q32" s="226">
        <v>223</v>
      </c>
      <c r="R32" s="227">
        <v>2334</v>
      </c>
      <c r="S32" s="226">
        <v>22277</v>
      </c>
      <c r="T32" s="227">
        <v>215401</v>
      </c>
    </row>
    <row r="33" spans="1:21" x14ac:dyDescent="0.15">
      <c r="A33" s="178"/>
      <c r="B33" s="179" t="s">
        <v>229</v>
      </c>
      <c r="C33" s="180" t="s">
        <v>363</v>
      </c>
      <c r="D33" s="19">
        <v>9</v>
      </c>
      <c r="E33" s="19">
        <v>8</v>
      </c>
      <c r="F33" s="19">
        <v>2</v>
      </c>
      <c r="G33" s="19">
        <v>7</v>
      </c>
      <c r="H33" s="19">
        <v>6</v>
      </c>
      <c r="I33" s="19">
        <v>0</v>
      </c>
      <c r="J33" s="13">
        <v>8</v>
      </c>
      <c r="K33" s="229">
        <v>15908287.5</v>
      </c>
      <c r="L33" s="230" t="s">
        <v>23</v>
      </c>
      <c r="M33" s="229" t="s">
        <v>368</v>
      </c>
      <c r="N33" s="231">
        <v>1698162</v>
      </c>
      <c r="O33" s="232">
        <v>11</v>
      </c>
      <c r="P33" s="233">
        <v>64</v>
      </c>
      <c r="Q33" s="232">
        <v>524</v>
      </c>
      <c r="R33" s="233">
        <v>5121</v>
      </c>
      <c r="S33" s="232">
        <v>51022</v>
      </c>
      <c r="T33" s="233">
        <v>635113</v>
      </c>
      <c r="U33" s="240"/>
    </row>
    <row r="34" spans="1:21" x14ac:dyDescent="0.15">
      <c r="A34" s="172">
        <v>14</v>
      </c>
      <c r="B34" s="173" t="s">
        <v>71</v>
      </c>
      <c r="C34" s="174" t="s">
        <v>362</v>
      </c>
      <c r="D34" s="27">
        <v>0</v>
      </c>
      <c r="E34" s="27">
        <v>3</v>
      </c>
      <c r="F34" s="27">
        <v>4</v>
      </c>
      <c r="G34" s="27">
        <v>6</v>
      </c>
      <c r="H34" s="27">
        <v>3</v>
      </c>
      <c r="I34" s="27">
        <v>5</v>
      </c>
      <c r="J34" s="7">
        <v>3</v>
      </c>
      <c r="K34" s="222">
        <v>6837860</v>
      </c>
      <c r="L34" s="223" t="s">
        <v>23</v>
      </c>
      <c r="M34" s="224" t="s">
        <v>368</v>
      </c>
      <c r="N34" s="225">
        <v>2184333.7999999998</v>
      </c>
      <c r="O34" s="226">
        <v>5</v>
      </c>
      <c r="P34" s="227">
        <v>17</v>
      </c>
      <c r="Q34" s="226">
        <v>269</v>
      </c>
      <c r="R34" s="227">
        <v>2850</v>
      </c>
      <c r="S34" s="226">
        <v>27763</v>
      </c>
      <c r="T34" s="227">
        <v>263402</v>
      </c>
    </row>
    <row r="35" spans="1:21" x14ac:dyDescent="0.15">
      <c r="A35" s="178"/>
      <c r="B35" s="179" t="s">
        <v>230</v>
      </c>
      <c r="C35" s="180" t="s">
        <v>363</v>
      </c>
      <c r="D35" s="19">
        <v>2</v>
      </c>
      <c r="E35" s="19">
        <v>0</v>
      </c>
      <c r="F35" s="19">
        <v>1</v>
      </c>
      <c r="G35" s="19">
        <v>3</v>
      </c>
      <c r="H35" s="19">
        <v>5</v>
      </c>
      <c r="I35" s="19">
        <v>6</v>
      </c>
      <c r="J35" s="13">
        <v>5</v>
      </c>
      <c r="K35" s="229">
        <v>16000465</v>
      </c>
      <c r="L35" s="230">
        <v>4</v>
      </c>
      <c r="M35" s="229">
        <v>777777</v>
      </c>
      <c r="N35" s="231">
        <v>210858.9</v>
      </c>
      <c r="O35" s="232">
        <v>6</v>
      </c>
      <c r="P35" s="233">
        <v>77</v>
      </c>
      <c r="Q35" s="232">
        <v>694</v>
      </c>
      <c r="R35" s="233">
        <v>7243</v>
      </c>
      <c r="S35" s="232">
        <v>71443</v>
      </c>
      <c r="T35" s="233">
        <v>671929</v>
      </c>
    </row>
    <row r="36" spans="1:21" x14ac:dyDescent="0.15">
      <c r="A36" s="172">
        <v>15</v>
      </c>
      <c r="B36" s="173" t="s">
        <v>72</v>
      </c>
      <c r="C36" s="174" t="s">
        <v>362</v>
      </c>
      <c r="D36" s="27">
        <v>8</v>
      </c>
      <c r="E36" s="27">
        <v>2</v>
      </c>
      <c r="F36" s="27">
        <v>0</v>
      </c>
      <c r="G36" s="27">
        <v>1</v>
      </c>
      <c r="H36" s="27">
        <v>9</v>
      </c>
      <c r="I36" s="27">
        <v>5</v>
      </c>
      <c r="J36" s="7">
        <v>9</v>
      </c>
      <c r="K36" s="222">
        <v>6163465</v>
      </c>
      <c r="L36" s="234">
        <v>1</v>
      </c>
      <c r="M36" s="224">
        <v>577777</v>
      </c>
      <c r="N36" s="225">
        <v>71304.3</v>
      </c>
      <c r="O36" s="226">
        <v>6</v>
      </c>
      <c r="P36" s="227">
        <v>19</v>
      </c>
      <c r="Q36" s="226">
        <v>279</v>
      </c>
      <c r="R36" s="227">
        <v>2023</v>
      </c>
      <c r="S36" s="226">
        <v>19453</v>
      </c>
      <c r="T36" s="227">
        <v>191348</v>
      </c>
    </row>
    <row r="37" spans="1:21" x14ac:dyDescent="0.15">
      <c r="A37" s="178"/>
      <c r="B37" s="179" t="s">
        <v>231</v>
      </c>
      <c r="C37" s="180" t="s">
        <v>363</v>
      </c>
      <c r="D37" s="19">
        <v>9</v>
      </c>
      <c r="E37" s="19">
        <v>3</v>
      </c>
      <c r="F37" s="19">
        <v>4</v>
      </c>
      <c r="G37" s="19">
        <v>4</v>
      </c>
      <c r="H37" s="19">
        <v>4</v>
      </c>
      <c r="I37" s="19">
        <v>5</v>
      </c>
      <c r="J37" s="13">
        <v>0</v>
      </c>
      <c r="K37" s="229">
        <v>14542037.5</v>
      </c>
      <c r="L37" s="230" t="s">
        <v>23</v>
      </c>
      <c r="M37" s="229" t="s">
        <v>368</v>
      </c>
      <c r="N37" s="231">
        <v>1105243.2</v>
      </c>
      <c r="O37" s="232">
        <v>5</v>
      </c>
      <c r="P37" s="233">
        <v>43</v>
      </c>
      <c r="Q37" s="232">
        <v>401</v>
      </c>
      <c r="R37" s="233">
        <v>4185</v>
      </c>
      <c r="S37" s="232">
        <v>40383</v>
      </c>
      <c r="T37" s="233">
        <v>383334</v>
      </c>
    </row>
    <row r="38" spans="1:21" x14ac:dyDescent="0.15">
      <c r="A38" s="172">
        <v>16</v>
      </c>
      <c r="B38" s="173" t="s">
        <v>73</v>
      </c>
      <c r="C38" s="174" t="s">
        <v>362</v>
      </c>
      <c r="D38" s="27">
        <v>2</v>
      </c>
      <c r="E38" s="27">
        <v>1</v>
      </c>
      <c r="F38" s="27">
        <v>8</v>
      </c>
      <c r="G38" s="27">
        <v>7</v>
      </c>
      <c r="H38" s="27">
        <v>0</v>
      </c>
      <c r="I38" s="27">
        <v>0</v>
      </c>
      <c r="J38" s="7">
        <v>2</v>
      </c>
      <c r="K38" s="222">
        <v>6017712.5</v>
      </c>
      <c r="L38" s="234" t="s">
        <v>23</v>
      </c>
      <c r="M38" s="224" t="s">
        <v>368</v>
      </c>
      <c r="N38" s="225">
        <v>1533102.6</v>
      </c>
      <c r="O38" s="226">
        <v>2</v>
      </c>
      <c r="P38" s="227">
        <v>19</v>
      </c>
      <c r="Q38" s="226">
        <v>150</v>
      </c>
      <c r="R38" s="227">
        <v>1506</v>
      </c>
      <c r="S38" s="226">
        <v>16930</v>
      </c>
      <c r="T38" s="227">
        <v>197031</v>
      </c>
    </row>
    <row r="39" spans="1:21" x14ac:dyDescent="0.15">
      <c r="A39" s="178"/>
      <c r="B39" s="179" t="s">
        <v>232</v>
      </c>
      <c r="C39" s="180" t="s">
        <v>363</v>
      </c>
      <c r="D39" s="19">
        <v>3</v>
      </c>
      <c r="E39" s="19">
        <v>0</v>
      </c>
      <c r="F39" s="19">
        <v>6</v>
      </c>
      <c r="G39" s="19">
        <v>9</v>
      </c>
      <c r="H39" s="19">
        <v>9</v>
      </c>
      <c r="I39" s="19">
        <v>5</v>
      </c>
      <c r="J39" s="13">
        <v>0</v>
      </c>
      <c r="K39" s="229">
        <v>14426152.5</v>
      </c>
      <c r="L39" s="230" t="s">
        <v>23</v>
      </c>
      <c r="M39" s="229" t="s">
        <v>368</v>
      </c>
      <c r="N39" s="231">
        <v>2558802</v>
      </c>
      <c r="O39" s="232">
        <v>2</v>
      </c>
      <c r="P39" s="233">
        <v>50</v>
      </c>
      <c r="Q39" s="232">
        <v>394</v>
      </c>
      <c r="R39" s="233">
        <v>4017</v>
      </c>
      <c r="S39" s="232">
        <v>40683</v>
      </c>
      <c r="T39" s="233">
        <v>382020</v>
      </c>
    </row>
    <row r="40" spans="1:21" x14ac:dyDescent="0.15">
      <c r="A40" s="172">
        <v>17</v>
      </c>
      <c r="B40" s="173" t="s">
        <v>74</v>
      </c>
      <c r="C40" s="174" t="s">
        <v>362</v>
      </c>
      <c r="D40" s="27">
        <v>5</v>
      </c>
      <c r="E40" s="27">
        <v>3</v>
      </c>
      <c r="F40" s="27">
        <v>0</v>
      </c>
      <c r="G40" s="27">
        <v>6</v>
      </c>
      <c r="H40" s="27">
        <v>6</v>
      </c>
      <c r="I40" s="27">
        <v>1</v>
      </c>
      <c r="J40" s="7">
        <v>3</v>
      </c>
      <c r="K40" s="222">
        <v>6129410</v>
      </c>
      <c r="L40" s="223" t="s">
        <v>23</v>
      </c>
      <c r="M40" s="224" t="s">
        <v>368</v>
      </c>
      <c r="N40" s="225">
        <v>2994603.1</v>
      </c>
      <c r="O40" s="226">
        <v>1</v>
      </c>
      <c r="P40" s="227">
        <v>36</v>
      </c>
      <c r="Q40" s="226">
        <v>281</v>
      </c>
      <c r="R40" s="227">
        <v>2820</v>
      </c>
      <c r="S40" s="226">
        <v>28249</v>
      </c>
      <c r="T40" s="227">
        <v>232698</v>
      </c>
    </row>
    <row r="41" spans="1:21" x14ac:dyDescent="0.15">
      <c r="A41" s="178"/>
      <c r="B41" s="179" t="s">
        <v>233</v>
      </c>
      <c r="C41" s="180" t="s">
        <v>363</v>
      </c>
      <c r="D41" s="19">
        <v>5</v>
      </c>
      <c r="E41" s="19">
        <v>4</v>
      </c>
      <c r="F41" s="19">
        <v>8</v>
      </c>
      <c r="G41" s="19">
        <v>5</v>
      </c>
      <c r="H41" s="19">
        <v>3</v>
      </c>
      <c r="I41" s="19">
        <v>8</v>
      </c>
      <c r="J41" s="13">
        <v>3</v>
      </c>
      <c r="K41" s="229">
        <v>14708550</v>
      </c>
      <c r="L41" s="230">
        <v>3</v>
      </c>
      <c r="M41" s="229">
        <v>1277777</v>
      </c>
      <c r="N41" s="231">
        <v>207050</v>
      </c>
      <c r="O41" s="232">
        <v>4</v>
      </c>
      <c r="P41" s="233">
        <v>47</v>
      </c>
      <c r="Q41" s="232">
        <v>565</v>
      </c>
      <c r="R41" s="233">
        <v>5279</v>
      </c>
      <c r="S41" s="232">
        <v>51923</v>
      </c>
      <c r="T41" s="233">
        <v>545379</v>
      </c>
    </row>
    <row r="42" spans="1:21" x14ac:dyDescent="0.15">
      <c r="A42" s="172">
        <v>18</v>
      </c>
      <c r="B42" s="173" t="s">
        <v>75</v>
      </c>
      <c r="C42" s="174" t="s">
        <v>362</v>
      </c>
      <c r="D42" s="27">
        <v>7</v>
      </c>
      <c r="E42" s="27">
        <v>8</v>
      </c>
      <c r="F42" s="27">
        <v>4</v>
      </c>
      <c r="G42" s="27">
        <v>9</v>
      </c>
      <c r="H42" s="27">
        <v>3</v>
      </c>
      <c r="I42" s="27">
        <v>5</v>
      </c>
      <c r="J42" s="7">
        <v>9</v>
      </c>
      <c r="K42" s="222">
        <v>6424780</v>
      </c>
      <c r="L42" s="234" t="s">
        <v>23</v>
      </c>
      <c r="M42" s="224" t="s">
        <v>368</v>
      </c>
      <c r="N42" s="225">
        <v>663851.9</v>
      </c>
      <c r="O42" s="226" t="s">
        <v>17</v>
      </c>
      <c r="P42" s="227">
        <v>20</v>
      </c>
      <c r="Q42" s="226">
        <v>199</v>
      </c>
      <c r="R42" s="227">
        <v>2063</v>
      </c>
      <c r="S42" s="226">
        <v>20728</v>
      </c>
      <c r="T42" s="227">
        <v>199443</v>
      </c>
    </row>
    <row r="43" spans="1:21" x14ac:dyDescent="0.15">
      <c r="A43" s="178"/>
      <c r="B43" s="179" t="s">
        <v>234</v>
      </c>
      <c r="C43" s="180" t="s">
        <v>363</v>
      </c>
      <c r="D43" s="19">
        <v>2</v>
      </c>
      <c r="E43" s="19">
        <v>2</v>
      </c>
      <c r="F43" s="19">
        <v>1</v>
      </c>
      <c r="G43" s="19">
        <v>7</v>
      </c>
      <c r="H43" s="19">
        <v>3</v>
      </c>
      <c r="I43" s="19">
        <v>9</v>
      </c>
      <c r="J43" s="13">
        <v>8</v>
      </c>
      <c r="K43" s="229">
        <v>15642870</v>
      </c>
      <c r="L43" s="237">
        <v>3</v>
      </c>
      <c r="M43" s="229">
        <v>577777</v>
      </c>
      <c r="N43" s="231">
        <v>42729</v>
      </c>
      <c r="O43" s="232">
        <v>10</v>
      </c>
      <c r="P43" s="233">
        <v>89</v>
      </c>
      <c r="Q43" s="232">
        <v>668</v>
      </c>
      <c r="R43" s="233">
        <v>5831</v>
      </c>
      <c r="S43" s="232">
        <v>59406</v>
      </c>
      <c r="T43" s="233">
        <v>620030</v>
      </c>
    </row>
    <row r="44" spans="1:21" x14ac:dyDescent="0.15">
      <c r="A44" s="172">
        <v>19</v>
      </c>
      <c r="B44" s="173" t="s">
        <v>76</v>
      </c>
      <c r="C44" s="174" t="s">
        <v>362</v>
      </c>
      <c r="D44" s="27">
        <v>2</v>
      </c>
      <c r="E44" s="27">
        <v>7</v>
      </c>
      <c r="F44" s="27">
        <v>9</v>
      </c>
      <c r="G44" s="27">
        <v>2</v>
      </c>
      <c r="H44" s="27">
        <v>0</v>
      </c>
      <c r="I44" s="27">
        <v>6</v>
      </c>
      <c r="J44" s="7">
        <v>9</v>
      </c>
      <c r="K44" s="222">
        <v>6182037.5</v>
      </c>
      <c r="L44" s="234" t="s">
        <v>23</v>
      </c>
      <c r="M44" s="224" t="s">
        <v>368</v>
      </c>
      <c r="N44" s="225">
        <v>482271.9</v>
      </c>
      <c r="O44" s="226">
        <v>1</v>
      </c>
      <c r="P44" s="227">
        <v>19</v>
      </c>
      <c r="Q44" s="226">
        <v>205</v>
      </c>
      <c r="R44" s="227">
        <v>1962</v>
      </c>
      <c r="S44" s="226">
        <v>20726</v>
      </c>
      <c r="T44" s="227">
        <v>192341</v>
      </c>
    </row>
    <row r="45" spans="1:21" x14ac:dyDescent="0.15">
      <c r="A45" s="178"/>
      <c r="B45" s="179" t="s">
        <v>235</v>
      </c>
      <c r="C45" s="180" t="s">
        <v>363</v>
      </c>
      <c r="D45" s="19">
        <v>5</v>
      </c>
      <c r="E45" s="19">
        <v>8</v>
      </c>
      <c r="F45" s="19">
        <v>5</v>
      </c>
      <c r="G45" s="19">
        <v>2</v>
      </c>
      <c r="H45" s="19">
        <v>0</v>
      </c>
      <c r="I45" s="19">
        <v>5</v>
      </c>
      <c r="J45" s="13">
        <v>4</v>
      </c>
      <c r="K45" s="229">
        <v>14272245</v>
      </c>
      <c r="L45" s="237" t="s">
        <v>23</v>
      </c>
      <c r="M45" s="229" t="s">
        <v>368</v>
      </c>
      <c r="N45" s="285">
        <v>1497028.5</v>
      </c>
      <c r="O45" s="232">
        <v>4</v>
      </c>
      <c r="P45" s="233">
        <v>41</v>
      </c>
      <c r="Q45" s="232">
        <v>492</v>
      </c>
      <c r="R45" s="233">
        <v>4648</v>
      </c>
      <c r="S45" s="232">
        <v>50796</v>
      </c>
      <c r="T45" s="233">
        <v>478624</v>
      </c>
    </row>
    <row r="46" spans="1:21" x14ac:dyDescent="0.15">
      <c r="A46" s="172">
        <v>20</v>
      </c>
      <c r="B46" s="173" t="s">
        <v>77</v>
      </c>
      <c r="C46" s="174" t="s">
        <v>362</v>
      </c>
      <c r="D46" s="27">
        <v>1</v>
      </c>
      <c r="E46" s="27">
        <v>4</v>
      </c>
      <c r="F46" s="27">
        <v>4</v>
      </c>
      <c r="G46" s="27">
        <v>5</v>
      </c>
      <c r="H46" s="27">
        <v>9</v>
      </c>
      <c r="I46" s="27">
        <v>0</v>
      </c>
      <c r="J46" s="7">
        <v>8</v>
      </c>
      <c r="K46" s="222">
        <v>5839942.5</v>
      </c>
      <c r="L46" s="234">
        <v>1</v>
      </c>
      <c r="M46" s="222">
        <v>1877777</v>
      </c>
      <c r="N46" s="225">
        <v>34471.4</v>
      </c>
      <c r="O46" s="226" t="s">
        <v>17</v>
      </c>
      <c r="P46" s="227">
        <v>18</v>
      </c>
      <c r="Q46" s="226">
        <v>205</v>
      </c>
      <c r="R46" s="227">
        <v>1924</v>
      </c>
      <c r="S46" s="226">
        <v>18760</v>
      </c>
      <c r="T46" s="227">
        <v>233273</v>
      </c>
    </row>
    <row r="47" spans="1:21" x14ac:dyDescent="0.15">
      <c r="A47" s="178"/>
      <c r="B47" s="179" t="s">
        <v>236</v>
      </c>
      <c r="C47" s="180" t="s">
        <v>363</v>
      </c>
      <c r="D47" s="19">
        <v>0</v>
      </c>
      <c r="E47" s="19">
        <v>4</v>
      </c>
      <c r="F47" s="19">
        <v>4</v>
      </c>
      <c r="G47" s="19">
        <v>2</v>
      </c>
      <c r="H47" s="19">
        <v>4</v>
      </c>
      <c r="I47" s="19">
        <v>6</v>
      </c>
      <c r="J47" s="13">
        <v>1</v>
      </c>
      <c r="K47" s="229">
        <v>14299642.5</v>
      </c>
      <c r="L47" s="230" t="s">
        <v>23</v>
      </c>
      <c r="M47" s="286" t="s">
        <v>368</v>
      </c>
      <c r="N47" s="231">
        <v>1051176</v>
      </c>
      <c r="O47" s="232">
        <v>4</v>
      </c>
      <c r="P47" s="233">
        <v>46</v>
      </c>
      <c r="Q47" s="232">
        <v>464</v>
      </c>
      <c r="R47" s="233">
        <v>4552</v>
      </c>
      <c r="S47" s="232">
        <v>43942</v>
      </c>
      <c r="T47" s="233">
        <v>425459</v>
      </c>
    </row>
    <row r="48" spans="1:21" x14ac:dyDescent="0.15">
      <c r="A48" s="172">
        <v>21</v>
      </c>
      <c r="B48" s="173" t="s">
        <v>78</v>
      </c>
      <c r="C48" s="174" t="s">
        <v>362</v>
      </c>
      <c r="D48" s="27">
        <v>3</v>
      </c>
      <c r="E48" s="27">
        <v>9</v>
      </c>
      <c r="F48" s="27">
        <v>8</v>
      </c>
      <c r="G48" s="27">
        <v>7</v>
      </c>
      <c r="H48" s="27">
        <v>3</v>
      </c>
      <c r="I48" s="27">
        <v>2</v>
      </c>
      <c r="J48" s="7">
        <v>6</v>
      </c>
      <c r="K48" s="222">
        <v>5745465</v>
      </c>
      <c r="L48" s="234" t="s">
        <v>23</v>
      </c>
      <c r="M48" s="224" t="s">
        <v>368</v>
      </c>
      <c r="N48" s="285">
        <v>1459678.6</v>
      </c>
      <c r="O48" s="226">
        <v>1</v>
      </c>
      <c r="P48" s="227">
        <v>27</v>
      </c>
      <c r="Q48" s="226">
        <v>246</v>
      </c>
      <c r="R48" s="227">
        <v>2232</v>
      </c>
      <c r="S48" s="226">
        <v>22396</v>
      </c>
      <c r="T48" s="227">
        <v>221844</v>
      </c>
    </row>
    <row r="49" spans="1:21" x14ac:dyDescent="0.15">
      <c r="A49" s="178"/>
      <c r="B49" s="179" t="s">
        <v>237</v>
      </c>
      <c r="C49" s="180" t="s">
        <v>363</v>
      </c>
      <c r="D49" s="19">
        <v>6</v>
      </c>
      <c r="E49" s="19">
        <v>5</v>
      </c>
      <c r="F49" s="19">
        <v>5</v>
      </c>
      <c r="G49" s="19">
        <v>6</v>
      </c>
      <c r="H49" s="19">
        <v>8</v>
      </c>
      <c r="I49" s="19">
        <v>0</v>
      </c>
      <c r="J49" s="13">
        <v>2</v>
      </c>
      <c r="K49" s="229">
        <v>14377050</v>
      </c>
      <c r="L49" s="237" t="s">
        <v>23</v>
      </c>
      <c r="M49" s="229" t="s">
        <v>368</v>
      </c>
      <c r="N49" s="231">
        <v>2481886.9</v>
      </c>
      <c r="O49" s="232">
        <v>3</v>
      </c>
      <c r="P49" s="233">
        <v>47</v>
      </c>
      <c r="Q49" s="232">
        <v>443</v>
      </c>
      <c r="R49" s="233">
        <v>4162</v>
      </c>
      <c r="S49" s="232">
        <v>41092</v>
      </c>
      <c r="T49" s="233">
        <v>481948</v>
      </c>
    </row>
    <row r="50" spans="1:21" x14ac:dyDescent="0.15">
      <c r="A50" s="172">
        <v>22</v>
      </c>
      <c r="B50" s="173" t="s">
        <v>79</v>
      </c>
      <c r="C50" s="174" t="s">
        <v>362</v>
      </c>
      <c r="D50" s="27">
        <v>1</v>
      </c>
      <c r="E50" s="27">
        <v>0</v>
      </c>
      <c r="F50" s="27">
        <v>0</v>
      </c>
      <c r="G50" s="27">
        <v>7</v>
      </c>
      <c r="H50" s="27">
        <v>5</v>
      </c>
      <c r="I50" s="27">
        <v>2</v>
      </c>
      <c r="J50" s="7">
        <v>5</v>
      </c>
      <c r="K50" s="222">
        <v>6521462.5</v>
      </c>
      <c r="L50" s="234" t="s">
        <v>23</v>
      </c>
      <c r="M50" s="224" t="s">
        <v>368</v>
      </c>
      <c r="N50" s="225">
        <v>2945562.9</v>
      </c>
      <c r="O50" s="226">
        <v>2</v>
      </c>
      <c r="P50" s="227">
        <v>25</v>
      </c>
      <c r="Q50" s="226">
        <v>249</v>
      </c>
      <c r="R50" s="227">
        <v>2741</v>
      </c>
      <c r="S50" s="226">
        <v>27500</v>
      </c>
      <c r="T50" s="227">
        <v>269213</v>
      </c>
    </row>
    <row r="51" spans="1:21" x14ac:dyDescent="0.15">
      <c r="A51" s="178"/>
      <c r="B51" s="179" t="s">
        <v>238</v>
      </c>
      <c r="C51" s="180" t="s">
        <v>363</v>
      </c>
      <c r="D51" s="19">
        <v>1</v>
      </c>
      <c r="E51" s="19">
        <v>7</v>
      </c>
      <c r="F51" s="19">
        <v>2</v>
      </c>
      <c r="G51" s="19">
        <v>8</v>
      </c>
      <c r="H51" s="19">
        <v>8</v>
      </c>
      <c r="I51" s="19">
        <v>6</v>
      </c>
      <c r="J51" s="13">
        <v>9</v>
      </c>
      <c r="K51" s="229">
        <v>14948480</v>
      </c>
      <c r="L51" s="237" t="s">
        <v>23</v>
      </c>
      <c r="M51" s="229" t="s">
        <v>368</v>
      </c>
      <c r="N51" s="231">
        <v>4008399.8</v>
      </c>
      <c r="O51" s="232">
        <v>3</v>
      </c>
      <c r="P51" s="233">
        <v>55</v>
      </c>
      <c r="Q51" s="232">
        <v>511</v>
      </c>
      <c r="R51" s="233">
        <v>5355</v>
      </c>
      <c r="S51" s="232">
        <v>52995</v>
      </c>
      <c r="T51" s="233">
        <v>485510</v>
      </c>
    </row>
    <row r="52" spans="1:21" x14ac:dyDescent="0.15">
      <c r="A52" s="172">
        <v>23</v>
      </c>
      <c r="B52" s="173" t="s">
        <v>80</v>
      </c>
      <c r="C52" s="174" t="s">
        <v>362</v>
      </c>
      <c r="D52" s="27">
        <v>2</v>
      </c>
      <c r="E52" s="27">
        <v>4</v>
      </c>
      <c r="F52" s="27">
        <v>6</v>
      </c>
      <c r="G52" s="27">
        <v>0</v>
      </c>
      <c r="H52" s="27">
        <v>5</v>
      </c>
      <c r="I52" s="27">
        <v>8</v>
      </c>
      <c r="J52" s="7">
        <v>1</v>
      </c>
      <c r="K52" s="222">
        <v>7055527.5</v>
      </c>
      <c r="L52" s="234" t="s">
        <v>23</v>
      </c>
      <c r="M52" s="224" t="s">
        <v>368</v>
      </c>
      <c r="N52" s="225">
        <v>4510047.8</v>
      </c>
      <c r="O52" s="226">
        <v>2</v>
      </c>
      <c r="P52" s="227">
        <v>22</v>
      </c>
      <c r="Q52" s="226">
        <v>185</v>
      </c>
      <c r="R52" s="227">
        <v>2167</v>
      </c>
      <c r="S52" s="226">
        <v>21406</v>
      </c>
      <c r="T52" s="227">
        <v>218115</v>
      </c>
    </row>
    <row r="53" spans="1:21" x14ac:dyDescent="0.15">
      <c r="A53" s="178"/>
      <c r="B53" s="179" t="s">
        <v>239</v>
      </c>
      <c r="C53" s="180" t="s">
        <v>363</v>
      </c>
      <c r="D53" s="19">
        <v>2</v>
      </c>
      <c r="E53" s="19">
        <v>9</v>
      </c>
      <c r="F53" s="19">
        <v>1</v>
      </c>
      <c r="G53" s="19">
        <v>6</v>
      </c>
      <c r="H53" s="19">
        <v>9</v>
      </c>
      <c r="I53" s="19">
        <v>7</v>
      </c>
      <c r="J53" s="13">
        <v>7</v>
      </c>
      <c r="K53" s="229">
        <v>15616950</v>
      </c>
      <c r="L53" s="237" t="s">
        <v>23</v>
      </c>
      <c r="M53" s="229" t="s">
        <v>368</v>
      </c>
      <c r="N53" s="231">
        <v>5620412.9000000004</v>
      </c>
      <c r="O53" s="232">
        <v>7</v>
      </c>
      <c r="P53" s="233">
        <v>82</v>
      </c>
      <c r="Q53" s="232">
        <v>732</v>
      </c>
      <c r="R53" s="233">
        <v>7615</v>
      </c>
      <c r="S53" s="232">
        <v>81098</v>
      </c>
      <c r="T53" s="233">
        <v>682297</v>
      </c>
    </row>
    <row r="54" spans="1:21" x14ac:dyDescent="0.15">
      <c r="A54" s="172">
        <v>24</v>
      </c>
      <c r="B54" s="173" t="s">
        <v>81</v>
      </c>
      <c r="C54" s="174" t="s">
        <v>362</v>
      </c>
      <c r="D54" s="27">
        <v>5</v>
      </c>
      <c r="E54" s="27">
        <v>5</v>
      </c>
      <c r="F54" s="27">
        <v>7</v>
      </c>
      <c r="G54" s="27">
        <v>6</v>
      </c>
      <c r="H54" s="27">
        <v>3</v>
      </c>
      <c r="I54" s="27">
        <v>1</v>
      </c>
      <c r="J54" s="7">
        <v>5</v>
      </c>
      <c r="K54" s="222">
        <v>5931487.5</v>
      </c>
      <c r="L54" s="223" t="s">
        <v>23</v>
      </c>
      <c r="M54" s="224" t="s">
        <v>368</v>
      </c>
      <c r="N54" s="225">
        <v>6042141.7000000002</v>
      </c>
      <c r="O54" s="226">
        <v>2</v>
      </c>
      <c r="P54" s="227">
        <v>12</v>
      </c>
      <c r="Q54" s="226">
        <v>248</v>
      </c>
      <c r="R54" s="227">
        <v>2380</v>
      </c>
      <c r="S54" s="226">
        <v>23779</v>
      </c>
      <c r="T54" s="227">
        <v>245789</v>
      </c>
    </row>
    <row r="55" spans="1:21" x14ac:dyDescent="0.15">
      <c r="A55" s="178"/>
      <c r="B55" s="179" t="s">
        <v>240</v>
      </c>
      <c r="C55" s="180" t="s">
        <v>363</v>
      </c>
      <c r="D55" s="19">
        <v>9</v>
      </c>
      <c r="E55" s="19">
        <v>6</v>
      </c>
      <c r="F55" s="19">
        <v>5</v>
      </c>
      <c r="G55" s="19">
        <v>6</v>
      </c>
      <c r="H55" s="19">
        <v>1</v>
      </c>
      <c r="I55" s="19">
        <v>2</v>
      </c>
      <c r="J55" s="13">
        <v>9</v>
      </c>
      <c r="K55" s="229">
        <v>13804720</v>
      </c>
      <c r="L55" s="230">
        <v>2</v>
      </c>
      <c r="M55" s="229">
        <v>3477777</v>
      </c>
      <c r="N55" s="231">
        <v>68103.3</v>
      </c>
      <c r="O55" s="232">
        <v>5</v>
      </c>
      <c r="P55" s="233">
        <v>37</v>
      </c>
      <c r="Q55" s="232">
        <v>456</v>
      </c>
      <c r="R55" s="233">
        <v>4443</v>
      </c>
      <c r="S55" s="232">
        <v>44750</v>
      </c>
      <c r="T55" s="233">
        <v>451439</v>
      </c>
    </row>
    <row r="56" spans="1:21" x14ac:dyDescent="0.15">
      <c r="A56" s="172">
        <v>25</v>
      </c>
      <c r="B56" s="173" t="s">
        <v>82</v>
      </c>
      <c r="C56" s="174" t="s">
        <v>362</v>
      </c>
      <c r="D56" s="27">
        <v>2</v>
      </c>
      <c r="E56" s="27">
        <v>1</v>
      </c>
      <c r="F56" s="27">
        <v>0</v>
      </c>
      <c r="G56" s="27">
        <v>7</v>
      </c>
      <c r="H56" s="27">
        <v>6</v>
      </c>
      <c r="I56" s="27">
        <v>1</v>
      </c>
      <c r="J56" s="7">
        <v>7</v>
      </c>
      <c r="K56" s="222">
        <v>5631535</v>
      </c>
      <c r="L56" s="234" t="s">
        <v>23</v>
      </c>
      <c r="M56" s="224" t="s">
        <v>368</v>
      </c>
      <c r="N56" s="225">
        <v>468505.4</v>
      </c>
      <c r="O56" s="226">
        <v>3</v>
      </c>
      <c r="P56" s="227">
        <v>30</v>
      </c>
      <c r="Q56" s="226">
        <v>252</v>
      </c>
      <c r="R56" s="227">
        <v>2635</v>
      </c>
      <c r="S56" s="226">
        <v>25417</v>
      </c>
      <c r="T56" s="227">
        <v>253064</v>
      </c>
      <c r="U56" s="240"/>
    </row>
    <row r="57" spans="1:21" x14ac:dyDescent="0.15">
      <c r="A57" s="178"/>
      <c r="B57" s="179" t="s">
        <v>241</v>
      </c>
      <c r="C57" s="180" t="s">
        <v>363</v>
      </c>
      <c r="D57" s="19">
        <v>6</v>
      </c>
      <c r="E57" s="19">
        <v>4</v>
      </c>
      <c r="F57" s="19">
        <v>9</v>
      </c>
      <c r="G57" s="19">
        <v>0</v>
      </c>
      <c r="H57" s="19">
        <v>1</v>
      </c>
      <c r="I57" s="19">
        <v>8</v>
      </c>
      <c r="J57" s="13">
        <v>4</v>
      </c>
      <c r="K57" s="229">
        <v>13685342.5</v>
      </c>
      <c r="L57" s="230">
        <v>2</v>
      </c>
      <c r="M57" s="229">
        <v>677777</v>
      </c>
      <c r="N57" s="231">
        <v>85979.3</v>
      </c>
      <c r="O57" s="232">
        <v>3</v>
      </c>
      <c r="P57" s="233">
        <v>55</v>
      </c>
      <c r="Q57" s="232">
        <v>448</v>
      </c>
      <c r="R57" s="233">
        <v>4745</v>
      </c>
      <c r="S57" s="232">
        <v>46186</v>
      </c>
      <c r="T57" s="233">
        <v>463249</v>
      </c>
    </row>
    <row r="58" spans="1:21" x14ac:dyDescent="0.15">
      <c r="A58" s="172">
        <v>26</v>
      </c>
      <c r="B58" s="173" t="s">
        <v>83</v>
      </c>
      <c r="C58" s="174" t="s">
        <v>362</v>
      </c>
      <c r="D58" s="27">
        <v>6</v>
      </c>
      <c r="E58" s="27">
        <v>9</v>
      </c>
      <c r="F58" s="27">
        <v>4</v>
      </c>
      <c r="G58" s="27">
        <v>4</v>
      </c>
      <c r="H58" s="27">
        <v>3</v>
      </c>
      <c r="I58" s="27">
        <v>2</v>
      </c>
      <c r="J58" s="7">
        <v>1</v>
      </c>
      <c r="K58" s="222">
        <v>5479927.5</v>
      </c>
      <c r="L58" s="223" t="s">
        <v>23</v>
      </c>
      <c r="M58" s="224" t="s">
        <v>368</v>
      </c>
      <c r="N58" s="225">
        <v>475602.1</v>
      </c>
      <c r="O58" s="226">
        <v>2</v>
      </c>
      <c r="P58" s="227">
        <v>25</v>
      </c>
      <c r="Q58" s="226">
        <v>224</v>
      </c>
      <c r="R58" s="227">
        <v>1826</v>
      </c>
      <c r="S58" s="226">
        <v>17446</v>
      </c>
      <c r="T58" s="227">
        <v>169490</v>
      </c>
    </row>
    <row r="59" spans="1:21" x14ac:dyDescent="0.15">
      <c r="A59" s="178"/>
      <c r="B59" s="179" t="s">
        <v>242</v>
      </c>
      <c r="C59" s="180" t="s">
        <v>363</v>
      </c>
      <c r="D59" s="38">
        <v>5</v>
      </c>
      <c r="E59" s="38">
        <v>7</v>
      </c>
      <c r="F59" s="38">
        <v>2</v>
      </c>
      <c r="G59" s="38">
        <v>6</v>
      </c>
      <c r="H59" s="38">
        <v>5</v>
      </c>
      <c r="I59" s="38">
        <v>1</v>
      </c>
      <c r="J59" s="39">
        <v>7</v>
      </c>
      <c r="K59" s="229">
        <v>13834310</v>
      </c>
      <c r="L59" s="230">
        <v>1</v>
      </c>
      <c r="M59" s="229">
        <v>1377777</v>
      </c>
      <c r="N59" s="231">
        <v>81444.5</v>
      </c>
      <c r="O59" s="232">
        <v>17</v>
      </c>
      <c r="P59" s="233">
        <v>54</v>
      </c>
      <c r="Q59" s="232">
        <v>626</v>
      </c>
      <c r="R59" s="233">
        <v>6076</v>
      </c>
      <c r="S59" s="232">
        <v>62029</v>
      </c>
      <c r="T59" s="233">
        <v>623159</v>
      </c>
      <c r="U59">
        <v>1931</v>
      </c>
    </row>
    <row r="60" spans="1:21" x14ac:dyDescent="0.15">
      <c r="A60" s="45"/>
      <c r="B60" s="46"/>
      <c r="C60" s="46"/>
      <c r="D60" s="276"/>
      <c r="E60" s="276"/>
      <c r="F60" s="276"/>
      <c r="G60" s="276"/>
      <c r="H60" s="276"/>
      <c r="I60" s="276" t="s">
        <v>24</v>
      </c>
      <c r="J60" s="276"/>
      <c r="K60" s="277"/>
      <c r="L60" s="278">
        <f>SUM(L8:L59)</f>
        <v>30</v>
      </c>
      <c r="M60" s="229"/>
      <c r="N60" s="278"/>
      <c r="O60" s="278">
        <f t="shared" ref="O60:T60" si="0">SUM(O8:O59)</f>
        <v>194</v>
      </c>
      <c r="P60" s="278">
        <f t="shared" si="0"/>
        <v>2076</v>
      </c>
      <c r="Q60" s="278">
        <f t="shared" si="0"/>
        <v>20158</v>
      </c>
      <c r="R60" s="278">
        <f t="shared" si="0"/>
        <v>201355</v>
      </c>
      <c r="S60" s="278">
        <f t="shared" si="0"/>
        <v>2025954</v>
      </c>
      <c r="T60" s="272">
        <f t="shared" si="0"/>
        <v>20224817</v>
      </c>
    </row>
    <row r="63" spans="1:21" x14ac:dyDescent="0.15">
      <c r="K63" s="254"/>
    </row>
    <row r="64" spans="1:21" ht="12.75" x14ac:dyDescent="0.2">
      <c r="A64" s="1" t="s">
        <v>364</v>
      </c>
      <c r="T64" s="3" t="s">
        <v>402</v>
      </c>
    </row>
    <row r="65" spans="1:21" ht="11.1" customHeight="1" x14ac:dyDescent="0.15">
      <c r="A65" s="6" t="s">
        <v>2</v>
      </c>
    </row>
    <row r="66" spans="1:21" ht="11.1" customHeight="1" x14ac:dyDescent="0.15">
      <c r="A66" s="7"/>
      <c r="B66" s="8"/>
      <c r="C66" s="177"/>
      <c r="D66" s="9"/>
      <c r="E66" s="9"/>
      <c r="F66" s="9"/>
      <c r="G66" s="9"/>
      <c r="H66" s="9"/>
      <c r="I66" s="9"/>
      <c r="J66" s="1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1" ht="11.1" customHeight="1" x14ac:dyDescent="0.15">
      <c r="A67" s="13"/>
      <c r="B67" s="14"/>
      <c r="C67" s="125"/>
      <c r="D67" s="15" t="s">
        <v>4</v>
      </c>
      <c r="E67" s="16"/>
      <c r="F67" s="16"/>
      <c r="G67" s="16"/>
      <c r="H67" s="16"/>
      <c r="I67" s="16"/>
      <c r="J67" s="17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1" ht="11.1" customHeight="1" x14ac:dyDescent="0.15">
      <c r="A68" s="13" t="s">
        <v>428</v>
      </c>
      <c r="B68" s="14">
        <v>2013</v>
      </c>
      <c r="C68" s="220" t="s">
        <v>361</v>
      </c>
      <c r="D68" s="19"/>
      <c r="E68" s="19"/>
      <c r="F68" s="19"/>
      <c r="G68" s="19"/>
      <c r="H68" s="19"/>
      <c r="I68" s="19"/>
      <c r="J68" s="17" t="s">
        <v>13</v>
      </c>
      <c r="K68" s="14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1" ht="11.1" customHeight="1" x14ac:dyDescent="0.15">
      <c r="A69" s="39"/>
      <c r="B69" s="21"/>
      <c r="C69" s="220"/>
      <c r="D69" s="19"/>
      <c r="E69" s="19"/>
      <c r="F69" s="19"/>
      <c r="G69" s="19"/>
      <c r="H69" s="19"/>
      <c r="I69" s="19"/>
      <c r="J69" s="1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</row>
    <row r="70" spans="1:21" x14ac:dyDescent="0.15">
      <c r="A70" s="172">
        <v>27</v>
      </c>
      <c r="B70" s="173" t="s">
        <v>84</v>
      </c>
      <c r="C70" s="174" t="s">
        <v>362</v>
      </c>
      <c r="D70" s="27">
        <v>0</v>
      </c>
      <c r="E70" s="27">
        <v>5</v>
      </c>
      <c r="F70" s="27">
        <v>2</v>
      </c>
      <c r="G70" s="27">
        <v>6</v>
      </c>
      <c r="H70" s="27">
        <v>7</v>
      </c>
      <c r="I70" s="27">
        <v>4</v>
      </c>
      <c r="J70" s="7">
        <v>7</v>
      </c>
      <c r="K70" s="222">
        <v>5490365</v>
      </c>
      <c r="L70" s="223" t="s">
        <v>23</v>
      </c>
      <c r="M70" s="224" t="s">
        <v>368</v>
      </c>
      <c r="N70" s="225">
        <v>471809.5</v>
      </c>
      <c r="O70" s="226">
        <v>2</v>
      </c>
      <c r="P70" s="227">
        <v>32</v>
      </c>
      <c r="Q70" s="226">
        <v>272</v>
      </c>
      <c r="R70" s="227">
        <v>2874</v>
      </c>
      <c r="S70" s="226">
        <v>25368</v>
      </c>
      <c r="T70" s="227">
        <v>249396</v>
      </c>
      <c r="U70" s="240"/>
    </row>
    <row r="71" spans="1:21" x14ac:dyDescent="0.15">
      <c r="A71" s="178"/>
      <c r="B71" s="179" t="s">
        <v>243</v>
      </c>
      <c r="C71" s="180" t="s">
        <v>363</v>
      </c>
      <c r="D71" s="19">
        <v>6</v>
      </c>
      <c r="E71" s="19">
        <v>2</v>
      </c>
      <c r="F71" s="19">
        <v>4</v>
      </c>
      <c r="G71" s="19">
        <v>5</v>
      </c>
      <c r="H71" s="19">
        <v>6</v>
      </c>
      <c r="I71" s="19">
        <v>3</v>
      </c>
      <c r="J71" s="13">
        <v>4</v>
      </c>
      <c r="K71" s="229">
        <v>13302647.5</v>
      </c>
      <c r="L71" s="230">
        <v>1</v>
      </c>
      <c r="M71" s="229">
        <v>1377777</v>
      </c>
      <c r="N71" s="231">
        <v>39850.699999999997</v>
      </c>
      <c r="O71" s="232">
        <v>4</v>
      </c>
      <c r="P71" s="233">
        <v>54</v>
      </c>
      <c r="Q71" s="232">
        <v>433</v>
      </c>
      <c r="R71" s="233">
        <v>4787</v>
      </c>
      <c r="S71" s="232">
        <v>46062</v>
      </c>
      <c r="T71" s="233">
        <v>449522</v>
      </c>
    </row>
    <row r="72" spans="1:21" x14ac:dyDescent="0.15">
      <c r="A72" s="172">
        <v>28</v>
      </c>
      <c r="B72" s="173" t="s">
        <v>85</v>
      </c>
      <c r="C72" s="174" t="s">
        <v>362</v>
      </c>
      <c r="D72" s="27">
        <v>8</v>
      </c>
      <c r="E72" s="27">
        <v>8</v>
      </c>
      <c r="F72" s="27">
        <v>9</v>
      </c>
      <c r="G72" s="27">
        <v>0</v>
      </c>
      <c r="H72" s="27">
        <v>2</v>
      </c>
      <c r="I72" s="27">
        <v>6</v>
      </c>
      <c r="J72" s="7">
        <v>0</v>
      </c>
      <c r="K72" s="222">
        <v>5336102.5</v>
      </c>
      <c r="L72" s="223" t="s">
        <v>23</v>
      </c>
      <c r="M72" s="224" t="s">
        <v>368</v>
      </c>
      <c r="N72" s="225">
        <v>419247.6</v>
      </c>
      <c r="O72" s="226">
        <v>5</v>
      </c>
      <c r="P72" s="227">
        <v>16</v>
      </c>
      <c r="Q72" s="226">
        <v>130</v>
      </c>
      <c r="R72" s="227">
        <v>1400</v>
      </c>
      <c r="S72" s="226">
        <v>14403</v>
      </c>
      <c r="T72" s="227">
        <v>143857</v>
      </c>
    </row>
    <row r="73" spans="1:21" x14ac:dyDescent="0.15">
      <c r="A73" s="178"/>
      <c r="B73" s="179" t="s">
        <v>244</v>
      </c>
      <c r="C73" s="180" t="s">
        <v>363</v>
      </c>
      <c r="D73" s="19">
        <v>5</v>
      </c>
      <c r="E73" s="19">
        <v>1</v>
      </c>
      <c r="F73" s="19">
        <v>7</v>
      </c>
      <c r="G73" s="19">
        <v>0</v>
      </c>
      <c r="H73" s="19">
        <v>7</v>
      </c>
      <c r="I73" s="19">
        <v>5</v>
      </c>
      <c r="J73" s="13">
        <v>8</v>
      </c>
      <c r="K73" s="229">
        <v>13242652.5</v>
      </c>
      <c r="L73" s="237">
        <v>1</v>
      </c>
      <c r="M73" s="229">
        <v>1277777</v>
      </c>
      <c r="N73" s="231">
        <v>83023.199999999997</v>
      </c>
      <c r="O73" s="232">
        <v>5</v>
      </c>
      <c r="P73" s="233">
        <v>47</v>
      </c>
      <c r="Q73" s="232">
        <v>569</v>
      </c>
      <c r="R73" s="233">
        <v>5951</v>
      </c>
      <c r="S73" s="232">
        <v>56537</v>
      </c>
      <c r="T73" s="233">
        <v>529935</v>
      </c>
    </row>
    <row r="74" spans="1:21" x14ac:dyDescent="0.15">
      <c r="A74" s="172">
        <v>29</v>
      </c>
      <c r="B74" s="173" t="s">
        <v>86</v>
      </c>
      <c r="C74" s="174" t="s">
        <v>362</v>
      </c>
      <c r="D74" s="27">
        <v>3</v>
      </c>
      <c r="E74" s="27">
        <v>1</v>
      </c>
      <c r="F74" s="27">
        <v>2</v>
      </c>
      <c r="G74" s="27">
        <v>1</v>
      </c>
      <c r="H74" s="27">
        <v>1</v>
      </c>
      <c r="I74" s="27">
        <v>7</v>
      </c>
      <c r="J74" s="7">
        <v>3</v>
      </c>
      <c r="K74" s="222">
        <v>5273997.5</v>
      </c>
      <c r="L74" s="223">
        <v>1</v>
      </c>
      <c r="M74" s="224">
        <v>377777</v>
      </c>
      <c r="N74" s="225">
        <v>80227.399999999994</v>
      </c>
      <c r="O74" s="236">
        <v>3</v>
      </c>
      <c r="P74" s="227">
        <v>23</v>
      </c>
      <c r="Q74" s="226">
        <v>198</v>
      </c>
      <c r="R74" s="227">
        <v>2135</v>
      </c>
      <c r="S74" s="226">
        <v>20977</v>
      </c>
      <c r="T74" s="227">
        <v>203059</v>
      </c>
    </row>
    <row r="75" spans="1:21" x14ac:dyDescent="0.15">
      <c r="A75" s="178"/>
      <c r="B75" s="179" t="s">
        <v>245</v>
      </c>
      <c r="C75" s="180" t="s">
        <v>363</v>
      </c>
      <c r="D75" s="19">
        <v>3</v>
      </c>
      <c r="E75" s="19">
        <v>3</v>
      </c>
      <c r="F75" s="19">
        <v>0</v>
      </c>
      <c r="G75" s="19">
        <v>4</v>
      </c>
      <c r="H75" s="19">
        <v>7</v>
      </c>
      <c r="I75" s="19">
        <v>8</v>
      </c>
      <c r="J75" s="13">
        <v>8</v>
      </c>
      <c r="K75" s="229">
        <v>12977810</v>
      </c>
      <c r="L75" s="230" t="s">
        <v>23</v>
      </c>
      <c r="M75" s="229" t="s">
        <v>368</v>
      </c>
      <c r="N75" s="231">
        <v>1002949.7</v>
      </c>
      <c r="O75" s="232">
        <v>7</v>
      </c>
      <c r="P75" s="233">
        <v>51</v>
      </c>
      <c r="Q75" s="232">
        <v>529</v>
      </c>
      <c r="R75" s="233">
        <v>5247</v>
      </c>
      <c r="S75" s="232">
        <v>55636</v>
      </c>
      <c r="T75" s="233">
        <v>522701</v>
      </c>
    </row>
    <row r="76" spans="1:21" x14ac:dyDescent="0.15">
      <c r="A76" s="172">
        <v>30</v>
      </c>
      <c r="B76" s="173" t="s">
        <v>87</v>
      </c>
      <c r="C76" s="174" t="s">
        <v>362</v>
      </c>
      <c r="D76" s="27">
        <v>2</v>
      </c>
      <c r="E76" s="27">
        <v>4</v>
      </c>
      <c r="F76" s="27">
        <v>3</v>
      </c>
      <c r="G76" s="27">
        <v>4</v>
      </c>
      <c r="H76" s="27">
        <v>0</v>
      </c>
      <c r="I76" s="27">
        <v>1</v>
      </c>
      <c r="J76" s="7">
        <v>1</v>
      </c>
      <c r="K76" s="222">
        <v>5180762.5</v>
      </c>
      <c r="L76" s="223" t="s">
        <v>23</v>
      </c>
      <c r="M76" s="224" t="s">
        <v>368</v>
      </c>
      <c r="N76" s="225">
        <v>1371301.9</v>
      </c>
      <c r="O76" s="226">
        <v>2</v>
      </c>
      <c r="P76" s="227">
        <v>21</v>
      </c>
      <c r="Q76" s="226">
        <v>139</v>
      </c>
      <c r="R76" s="227">
        <v>1558</v>
      </c>
      <c r="S76" s="226">
        <v>17723</v>
      </c>
      <c r="T76" s="227">
        <v>159346</v>
      </c>
    </row>
    <row r="77" spans="1:21" x14ac:dyDescent="0.15">
      <c r="A77" s="178"/>
      <c r="B77" s="179" t="s">
        <v>246</v>
      </c>
      <c r="C77" s="180" t="s">
        <v>363</v>
      </c>
      <c r="D77" s="19">
        <v>4</v>
      </c>
      <c r="E77" s="19">
        <v>2</v>
      </c>
      <c r="F77" s="19">
        <v>6</v>
      </c>
      <c r="G77" s="19">
        <v>2</v>
      </c>
      <c r="H77" s="19">
        <v>5</v>
      </c>
      <c r="I77" s="19">
        <v>1</v>
      </c>
      <c r="J77" s="13">
        <v>5</v>
      </c>
      <c r="K77" s="229">
        <v>12792952.5</v>
      </c>
      <c r="L77" s="230" t="s">
        <v>23</v>
      </c>
      <c r="M77" s="229" t="s">
        <v>368</v>
      </c>
      <c r="N77" s="231">
        <v>2280880.7999999998</v>
      </c>
      <c r="O77" s="232">
        <v>2</v>
      </c>
      <c r="P77" s="233">
        <v>60</v>
      </c>
      <c r="Q77" s="232">
        <v>513</v>
      </c>
      <c r="R77" s="233">
        <v>5410</v>
      </c>
      <c r="S77" s="232">
        <v>52191</v>
      </c>
      <c r="T77" s="233">
        <v>537653</v>
      </c>
    </row>
    <row r="78" spans="1:21" x14ac:dyDescent="0.15">
      <c r="A78" s="172">
        <v>31</v>
      </c>
      <c r="B78" s="173" t="s">
        <v>88</v>
      </c>
      <c r="C78" s="174" t="s">
        <v>362</v>
      </c>
      <c r="D78" s="27">
        <v>3</v>
      </c>
      <c r="E78" s="27">
        <v>9</v>
      </c>
      <c r="F78" s="27">
        <v>6</v>
      </c>
      <c r="G78" s="27">
        <v>0</v>
      </c>
      <c r="H78" s="27">
        <v>4</v>
      </c>
      <c r="I78" s="27">
        <v>4</v>
      </c>
      <c r="J78" s="7">
        <v>5</v>
      </c>
      <c r="K78" s="222">
        <v>5564870</v>
      </c>
      <c r="L78" s="223" t="s">
        <v>23</v>
      </c>
      <c r="M78" s="224" t="s">
        <v>368</v>
      </c>
      <c r="N78" s="225">
        <v>2676543.1</v>
      </c>
      <c r="O78" s="226">
        <v>6</v>
      </c>
      <c r="P78" s="227">
        <v>32</v>
      </c>
      <c r="Q78" s="226">
        <v>224</v>
      </c>
      <c r="R78" s="227">
        <v>2212</v>
      </c>
      <c r="S78" s="226">
        <v>24118</v>
      </c>
      <c r="T78" s="227">
        <v>230607</v>
      </c>
    </row>
    <row r="79" spans="1:21" x14ac:dyDescent="0.15">
      <c r="A79" s="178"/>
      <c r="B79" s="179" t="s">
        <v>247</v>
      </c>
      <c r="C79" s="180" t="s">
        <v>363</v>
      </c>
      <c r="D79" s="19">
        <v>8</v>
      </c>
      <c r="E79" s="19">
        <v>2</v>
      </c>
      <c r="F79" s="19">
        <v>0</v>
      </c>
      <c r="G79" s="19">
        <v>4</v>
      </c>
      <c r="H79" s="19">
        <v>0</v>
      </c>
      <c r="I79" s="19">
        <v>6</v>
      </c>
      <c r="J79" s="13">
        <v>5</v>
      </c>
      <c r="K79" s="229">
        <v>13489730</v>
      </c>
      <c r="L79" s="230" t="s">
        <v>23</v>
      </c>
      <c r="M79" s="229" t="s">
        <v>368</v>
      </c>
      <c r="N79" s="231">
        <v>3635662.9</v>
      </c>
      <c r="O79" s="232">
        <v>5</v>
      </c>
      <c r="P79" s="233">
        <v>63</v>
      </c>
      <c r="Q79" s="232">
        <v>556</v>
      </c>
      <c r="R79" s="233">
        <v>5443</v>
      </c>
      <c r="S79" s="232">
        <v>61190</v>
      </c>
      <c r="T79" s="233">
        <v>560002</v>
      </c>
    </row>
    <row r="80" spans="1:21" x14ac:dyDescent="0.15">
      <c r="A80" s="172">
        <v>32</v>
      </c>
      <c r="B80" s="173" t="s">
        <v>89</v>
      </c>
      <c r="C80" s="174" t="s">
        <v>362</v>
      </c>
      <c r="D80" s="27">
        <v>3</v>
      </c>
      <c r="E80" s="27">
        <v>1</v>
      </c>
      <c r="F80" s="27">
        <v>5</v>
      </c>
      <c r="G80" s="27">
        <v>8</v>
      </c>
      <c r="H80" s="27">
        <v>0</v>
      </c>
      <c r="I80" s="27">
        <v>1</v>
      </c>
      <c r="J80" s="7">
        <v>4</v>
      </c>
      <c r="K80" s="222">
        <v>5368632.5</v>
      </c>
      <c r="L80" s="234" t="s">
        <v>23</v>
      </c>
      <c r="M80" s="224" t="s">
        <v>368</v>
      </c>
      <c r="N80" s="225">
        <v>4017372.7</v>
      </c>
      <c r="O80" s="236">
        <v>2</v>
      </c>
      <c r="P80" s="227">
        <v>24</v>
      </c>
      <c r="Q80" s="226">
        <v>182</v>
      </c>
      <c r="R80" s="227">
        <v>1723</v>
      </c>
      <c r="S80" s="226">
        <v>18422</v>
      </c>
      <c r="T80" s="227">
        <v>180744</v>
      </c>
    </row>
    <row r="81" spans="1:20" x14ac:dyDescent="0.15">
      <c r="A81" s="178"/>
      <c r="B81" s="179" t="s">
        <v>248</v>
      </c>
      <c r="C81" s="180" t="s">
        <v>363</v>
      </c>
      <c r="D81" s="19">
        <v>4</v>
      </c>
      <c r="E81" s="19">
        <v>5</v>
      </c>
      <c r="F81" s="19">
        <v>0</v>
      </c>
      <c r="G81" s="19">
        <v>4</v>
      </c>
      <c r="H81" s="19">
        <v>3</v>
      </c>
      <c r="I81" s="19">
        <v>7</v>
      </c>
      <c r="J81" s="13">
        <v>1</v>
      </c>
      <c r="K81" s="229">
        <v>13178467.5</v>
      </c>
      <c r="L81" s="230" t="s">
        <v>23</v>
      </c>
      <c r="M81" s="229" t="s">
        <v>368</v>
      </c>
      <c r="N81" s="231">
        <v>4954361.7</v>
      </c>
      <c r="O81" s="232">
        <v>4</v>
      </c>
      <c r="P81" s="233">
        <v>36</v>
      </c>
      <c r="Q81" s="232">
        <v>415</v>
      </c>
      <c r="R81" s="233">
        <v>4015</v>
      </c>
      <c r="S81" s="232">
        <v>38745</v>
      </c>
      <c r="T81" s="233">
        <v>402624</v>
      </c>
    </row>
    <row r="82" spans="1:20" x14ac:dyDescent="0.15">
      <c r="A82" s="172">
        <v>33</v>
      </c>
      <c r="B82" s="173" t="s">
        <v>90</v>
      </c>
      <c r="C82" s="174" t="s">
        <v>362</v>
      </c>
      <c r="D82" s="27">
        <v>8</v>
      </c>
      <c r="E82" s="27">
        <v>5</v>
      </c>
      <c r="F82" s="27">
        <v>4</v>
      </c>
      <c r="G82" s="27">
        <v>5</v>
      </c>
      <c r="H82" s="27">
        <v>9</v>
      </c>
      <c r="I82" s="27">
        <v>6</v>
      </c>
      <c r="J82" s="7">
        <v>4</v>
      </c>
      <c r="K82" s="222">
        <v>5616662.5</v>
      </c>
      <c r="L82" s="223" t="s">
        <v>23</v>
      </c>
      <c r="M82" s="279" t="s">
        <v>368</v>
      </c>
      <c r="N82" s="225">
        <v>5353706.4000000004</v>
      </c>
      <c r="O82" s="226">
        <v>1</v>
      </c>
      <c r="P82" s="227">
        <v>21</v>
      </c>
      <c r="Q82" s="226">
        <v>180</v>
      </c>
      <c r="R82" s="227">
        <v>2127</v>
      </c>
      <c r="S82" s="226">
        <v>19675</v>
      </c>
      <c r="T82" s="227">
        <v>189230</v>
      </c>
    </row>
    <row r="83" spans="1:20" x14ac:dyDescent="0.15">
      <c r="A83" s="178"/>
      <c r="B83" s="179" t="s">
        <v>249</v>
      </c>
      <c r="C83" s="180" t="s">
        <v>363</v>
      </c>
      <c r="D83" s="19">
        <v>7</v>
      </c>
      <c r="E83" s="19">
        <v>4</v>
      </c>
      <c r="F83" s="19">
        <v>7</v>
      </c>
      <c r="G83" s="19">
        <v>6</v>
      </c>
      <c r="H83" s="19">
        <v>3</v>
      </c>
      <c r="I83" s="19">
        <v>8</v>
      </c>
      <c r="J83" s="13">
        <v>4</v>
      </c>
      <c r="K83" s="229">
        <v>13504852.5</v>
      </c>
      <c r="L83" s="230" t="s">
        <v>23</v>
      </c>
      <c r="M83" s="229" t="s">
        <v>368</v>
      </c>
      <c r="N83" s="231">
        <v>6313901.4000000004</v>
      </c>
      <c r="O83" s="232">
        <v>4</v>
      </c>
      <c r="P83" s="233">
        <v>52</v>
      </c>
      <c r="Q83" s="232">
        <v>473</v>
      </c>
      <c r="R83" s="233">
        <v>4739</v>
      </c>
      <c r="S83" s="232">
        <v>46428</v>
      </c>
      <c r="T83" s="233">
        <v>459624</v>
      </c>
    </row>
    <row r="84" spans="1:20" x14ac:dyDescent="0.15">
      <c r="A84" s="172">
        <v>34</v>
      </c>
      <c r="B84" s="173" t="s">
        <v>91</v>
      </c>
      <c r="C84" s="174" t="s">
        <v>362</v>
      </c>
      <c r="D84" s="27">
        <v>1</v>
      </c>
      <c r="E84" s="27">
        <v>3</v>
      </c>
      <c r="F84" s="27">
        <v>4</v>
      </c>
      <c r="G84" s="27">
        <v>5</v>
      </c>
      <c r="H84" s="27">
        <v>2</v>
      </c>
      <c r="I84" s="27">
        <v>0</v>
      </c>
      <c r="J84" s="7">
        <v>8</v>
      </c>
      <c r="K84" s="222">
        <v>6209600</v>
      </c>
      <c r="L84" s="223" t="s">
        <v>23</v>
      </c>
      <c r="M84" s="224" t="s">
        <v>368</v>
      </c>
      <c r="N84" s="225">
        <v>6755404</v>
      </c>
      <c r="O84" s="226">
        <v>1</v>
      </c>
      <c r="P84" s="227">
        <v>25</v>
      </c>
      <c r="Q84" s="226">
        <v>196</v>
      </c>
      <c r="R84" s="227">
        <v>2014</v>
      </c>
      <c r="S84" s="226">
        <v>20070</v>
      </c>
      <c r="T84" s="227">
        <v>243910</v>
      </c>
    </row>
    <row r="85" spans="1:20" x14ac:dyDescent="0.15">
      <c r="A85" s="178"/>
      <c r="B85" s="179" t="s">
        <v>250</v>
      </c>
      <c r="C85" s="180" t="s">
        <v>363</v>
      </c>
      <c r="D85" s="19">
        <v>5</v>
      </c>
      <c r="E85" s="19">
        <v>6</v>
      </c>
      <c r="F85" s="19">
        <v>6</v>
      </c>
      <c r="G85" s="19">
        <v>6</v>
      </c>
      <c r="H85" s="19">
        <v>2</v>
      </c>
      <c r="I85" s="19">
        <v>6</v>
      </c>
      <c r="J85" s="13">
        <v>6</v>
      </c>
      <c r="K85" s="229">
        <v>14300930</v>
      </c>
      <c r="L85" s="230">
        <v>1</v>
      </c>
      <c r="M85" s="229">
        <v>7677777</v>
      </c>
      <c r="N85" s="231">
        <v>94423.1</v>
      </c>
      <c r="O85" s="232">
        <v>3</v>
      </c>
      <c r="P85" s="233">
        <v>51</v>
      </c>
      <c r="Q85" s="232">
        <v>565</v>
      </c>
      <c r="R85" s="233">
        <v>5790</v>
      </c>
      <c r="S85" s="232">
        <v>57515</v>
      </c>
      <c r="T85" s="233">
        <v>532158</v>
      </c>
    </row>
    <row r="86" spans="1:20" x14ac:dyDescent="0.15">
      <c r="A86" s="172">
        <v>35</v>
      </c>
      <c r="B86" s="173" t="s">
        <v>92</v>
      </c>
      <c r="C86" s="174" t="s">
        <v>362</v>
      </c>
      <c r="D86" s="27">
        <v>3</v>
      </c>
      <c r="E86" s="27">
        <v>2</v>
      </c>
      <c r="F86" s="27">
        <v>8</v>
      </c>
      <c r="G86" s="27">
        <v>8</v>
      </c>
      <c r="H86" s="27">
        <v>4</v>
      </c>
      <c r="I86" s="27">
        <v>0</v>
      </c>
      <c r="J86" s="7">
        <v>4</v>
      </c>
      <c r="K86" s="222">
        <v>6540002.5</v>
      </c>
      <c r="L86" s="223" t="s">
        <v>23</v>
      </c>
      <c r="M86" s="224" t="s">
        <v>368</v>
      </c>
      <c r="N86" s="225">
        <v>559417.30000000005</v>
      </c>
      <c r="O86" s="226" t="s">
        <v>17</v>
      </c>
      <c r="P86" s="227">
        <v>24</v>
      </c>
      <c r="Q86" s="226">
        <v>208</v>
      </c>
      <c r="R86" s="227">
        <v>2274</v>
      </c>
      <c r="S86" s="226">
        <v>20014</v>
      </c>
      <c r="T86" s="227">
        <v>228690</v>
      </c>
    </row>
    <row r="87" spans="1:20" x14ac:dyDescent="0.15">
      <c r="A87" s="178"/>
      <c r="B87" s="179" t="s">
        <v>251</v>
      </c>
      <c r="C87" s="180" t="s">
        <v>363</v>
      </c>
      <c r="D87" s="19">
        <v>7</v>
      </c>
      <c r="E87" s="19">
        <v>2</v>
      </c>
      <c r="F87" s="19">
        <v>9</v>
      </c>
      <c r="G87" s="19">
        <v>2</v>
      </c>
      <c r="H87" s="19">
        <v>8</v>
      </c>
      <c r="I87" s="19">
        <v>2</v>
      </c>
      <c r="J87" s="13">
        <v>5</v>
      </c>
      <c r="K87" s="229">
        <v>15308295</v>
      </c>
      <c r="L87" s="230">
        <v>2</v>
      </c>
      <c r="M87" s="229">
        <v>777777</v>
      </c>
      <c r="N87" s="231">
        <v>92283.1</v>
      </c>
      <c r="O87" s="232">
        <v>7</v>
      </c>
      <c r="P87" s="233">
        <v>60</v>
      </c>
      <c r="Q87" s="232">
        <v>613</v>
      </c>
      <c r="R87" s="233">
        <v>6628</v>
      </c>
      <c r="S87" s="232">
        <v>66057</v>
      </c>
      <c r="T87" s="233">
        <v>638440</v>
      </c>
    </row>
    <row r="88" spans="1:20" x14ac:dyDescent="0.15">
      <c r="A88" s="172">
        <v>36</v>
      </c>
      <c r="B88" s="173" t="s">
        <v>93</v>
      </c>
      <c r="C88" s="174" t="s">
        <v>362</v>
      </c>
      <c r="D88" s="27">
        <v>9</v>
      </c>
      <c r="E88" s="27">
        <v>2</v>
      </c>
      <c r="F88" s="27">
        <v>0</v>
      </c>
      <c r="G88" s="27">
        <v>6</v>
      </c>
      <c r="H88" s="27">
        <v>5</v>
      </c>
      <c r="I88" s="27">
        <v>1</v>
      </c>
      <c r="J88" s="7">
        <v>2</v>
      </c>
      <c r="K88" s="222">
        <v>7529200</v>
      </c>
      <c r="L88" s="234">
        <v>1</v>
      </c>
      <c r="M88" s="224">
        <v>577777</v>
      </c>
      <c r="N88" s="225">
        <v>49832.2</v>
      </c>
      <c r="O88" s="226">
        <v>5</v>
      </c>
      <c r="P88" s="227">
        <v>33</v>
      </c>
      <c r="Q88" s="226">
        <v>263</v>
      </c>
      <c r="R88" s="227">
        <v>2584</v>
      </c>
      <c r="S88" s="226">
        <v>25736</v>
      </c>
      <c r="T88" s="227">
        <v>247611</v>
      </c>
    </row>
    <row r="89" spans="1:20" x14ac:dyDescent="0.15">
      <c r="A89" s="178"/>
      <c r="B89" s="179" t="s">
        <v>252</v>
      </c>
      <c r="C89" s="180" t="s">
        <v>363</v>
      </c>
      <c r="D89" s="19">
        <v>7</v>
      </c>
      <c r="E89" s="19">
        <v>9</v>
      </c>
      <c r="F89" s="19">
        <v>7</v>
      </c>
      <c r="G89" s="19">
        <v>2</v>
      </c>
      <c r="H89" s="19">
        <v>3</v>
      </c>
      <c r="I89" s="19">
        <v>6</v>
      </c>
      <c r="J89" s="13">
        <v>6</v>
      </c>
      <c r="K89" s="229">
        <v>16109142.5</v>
      </c>
      <c r="L89" s="237">
        <v>2</v>
      </c>
      <c r="M89" s="229">
        <v>577777</v>
      </c>
      <c r="N89" s="231">
        <v>39638.199999999997</v>
      </c>
      <c r="O89" s="232">
        <v>4</v>
      </c>
      <c r="P89" s="233">
        <v>68</v>
      </c>
      <c r="Q89" s="232">
        <v>614</v>
      </c>
      <c r="R89" s="233">
        <v>6353</v>
      </c>
      <c r="S89" s="232">
        <v>64411</v>
      </c>
      <c r="T89" s="233">
        <v>597693</v>
      </c>
    </row>
    <row r="90" spans="1:20" x14ac:dyDescent="0.15">
      <c r="A90" s="172">
        <v>37</v>
      </c>
      <c r="B90" s="173" t="s">
        <v>94</v>
      </c>
      <c r="C90" s="174" t="s">
        <v>362</v>
      </c>
      <c r="D90" s="27">
        <v>6</v>
      </c>
      <c r="E90" s="27">
        <v>8</v>
      </c>
      <c r="F90" s="27">
        <v>0</v>
      </c>
      <c r="G90" s="27">
        <v>2</v>
      </c>
      <c r="H90" s="27">
        <v>4</v>
      </c>
      <c r="I90" s="27">
        <v>8</v>
      </c>
      <c r="J90" s="7">
        <v>3</v>
      </c>
      <c r="K90" s="222">
        <v>5723705</v>
      </c>
      <c r="L90" s="234" t="s">
        <v>23</v>
      </c>
      <c r="M90" s="224" t="s">
        <v>368</v>
      </c>
      <c r="N90" s="225">
        <v>446593.6</v>
      </c>
      <c r="O90" s="226">
        <v>1</v>
      </c>
      <c r="P90" s="227">
        <v>20</v>
      </c>
      <c r="Q90" s="226">
        <v>204</v>
      </c>
      <c r="R90" s="227">
        <v>2096</v>
      </c>
      <c r="S90" s="226">
        <v>21383</v>
      </c>
      <c r="T90" s="227">
        <v>220799</v>
      </c>
    </row>
    <row r="91" spans="1:20" x14ac:dyDescent="0.15">
      <c r="A91" s="178"/>
      <c r="B91" s="179" t="s">
        <v>253</v>
      </c>
      <c r="C91" s="180" t="s">
        <v>363</v>
      </c>
      <c r="D91" s="19">
        <v>8</v>
      </c>
      <c r="E91" s="19">
        <v>8</v>
      </c>
      <c r="F91" s="19">
        <v>7</v>
      </c>
      <c r="G91" s="19">
        <v>2</v>
      </c>
      <c r="H91" s="19">
        <v>7</v>
      </c>
      <c r="I91" s="19">
        <v>5</v>
      </c>
      <c r="J91" s="13">
        <v>9</v>
      </c>
      <c r="K91" s="229">
        <v>13805810</v>
      </c>
      <c r="L91" s="230">
        <v>1</v>
      </c>
      <c r="M91" s="229">
        <v>1377777</v>
      </c>
      <c r="N91" s="231">
        <v>50409.7</v>
      </c>
      <c r="O91" s="232">
        <v>13</v>
      </c>
      <c r="P91" s="233">
        <v>50</v>
      </c>
      <c r="Q91" s="232">
        <v>497</v>
      </c>
      <c r="R91" s="233">
        <v>5010</v>
      </c>
      <c r="S91" s="232">
        <v>47890</v>
      </c>
      <c r="T91" s="233">
        <v>459464</v>
      </c>
    </row>
    <row r="92" spans="1:20" x14ac:dyDescent="0.15">
      <c r="A92" s="172">
        <v>38</v>
      </c>
      <c r="B92" s="173" t="s">
        <v>95</v>
      </c>
      <c r="C92" s="174" t="s">
        <v>362</v>
      </c>
      <c r="D92" s="27">
        <v>6</v>
      </c>
      <c r="E92" s="27">
        <v>2</v>
      </c>
      <c r="F92" s="27">
        <v>1</v>
      </c>
      <c r="G92" s="27">
        <v>2</v>
      </c>
      <c r="H92" s="27">
        <v>9</v>
      </c>
      <c r="I92" s="27">
        <v>0</v>
      </c>
      <c r="J92" s="7">
        <v>8</v>
      </c>
      <c r="K92" s="222">
        <v>5448575</v>
      </c>
      <c r="L92" s="223">
        <v>1</v>
      </c>
      <c r="M92" s="224">
        <v>377777</v>
      </c>
      <c r="N92" s="225">
        <v>60026.400000000001</v>
      </c>
      <c r="O92" s="226">
        <v>1</v>
      </c>
      <c r="P92" s="226">
        <v>17</v>
      </c>
      <c r="Q92" s="227">
        <v>187</v>
      </c>
      <c r="R92" s="226">
        <v>1820</v>
      </c>
      <c r="S92" s="227">
        <v>17760</v>
      </c>
      <c r="T92" s="226">
        <v>217017</v>
      </c>
    </row>
    <row r="93" spans="1:20" x14ac:dyDescent="0.15">
      <c r="A93" s="178"/>
      <c r="B93" s="179" t="s">
        <v>254</v>
      </c>
      <c r="C93" s="180" t="s">
        <v>363</v>
      </c>
      <c r="D93" s="19">
        <v>7</v>
      </c>
      <c r="E93" s="19">
        <v>0</v>
      </c>
      <c r="F93" s="19">
        <v>9</v>
      </c>
      <c r="G93" s="19">
        <v>3</v>
      </c>
      <c r="H93" s="19">
        <v>7</v>
      </c>
      <c r="I93" s="19">
        <v>7</v>
      </c>
      <c r="J93" s="13">
        <v>9</v>
      </c>
      <c r="K93" s="229">
        <v>13321472.5</v>
      </c>
      <c r="L93" s="237" t="s">
        <v>23</v>
      </c>
      <c r="M93" s="229" t="s">
        <v>368</v>
      </c>
      <c r="N93" s="231">
        <v>1007183.1</v>
      </c>
      <c r="O93" s="232">
        <v>6</v>
      </c>
      <c r="P93" s="232">
        <v>32</v>
      </c>
      <c r="Q93" s="233">
        <v>433</v>
      </c>
      <c r="R93" s="232">
        <v>4400</v>
      </c>
      <c r="S93" s="233">
        <v>45944</v>
      </c>
      <c r="T93" s="232">
        <v>450988</v>
      </c>
    </row>
    <row r="94" spans="1:20" x14ac:dyDescent="0.15">
      <c r="A94" s="172">
        <v>39</v>
      </c>
      <c r="B94" s="173" t="s">
        <v>96</v>
      </c>
      <c r="C94" s="174" t="s">
        <v>362</v>
      </c>
      <c r="D94" s="27">
        <v>1</v>
      </c>
      <c r="E94" s="27">
        <v>6</v>
      </c>
      <c r="F94" s="27">
        <v>2</v>
      </c>
      <c r="G94" s="27">
        <v>5</v>
      </c>
      <c r="H94" s="27">
        <v>9</v>
      </c>
      <c r="I94" s="27">
        <v>4</v>
      </c>
      <c r="J94" s="7">
        <v>7</v>
      </c>
      <c r="K94" s="222">
        <v>5668952.5</v>
      </c>
      <c r="L94" s="234" t="s">
        <v>23</v>
      </c>
      <c r="M94" s="224" t="s">
        <v>368</v>
      </c>
      <c r="N94" s="225">
        <v>1410245.6</v>
      </c>
      <c r="O94" s="226">
        <v>3</v>
      </c>
      <c r="P94" s="226">
        <v>35</v>
      </c>
      <c r="Q94" s="227">
        <v>230</v>
      </c>
      <c r="R94" s="226">
        <v>2645</v>
      </c>
      <c r="S94" s="227">
        <v>26283</v>
      </c>
      <c r="T94" s="226">
        <v>252301</v>
      </c>
    </row>
    <row r="95" spans="1:20" x14ac:dyDescent="0.15">
      <c r="A95" s="178"/>
      <c r="B95" s="179" t="s">
        <v>255</v>
      </c>
      <c r="C95" s="180" t="s">
        <v>363</v>
      </c>
      <c r="D95" s="19">
        <v>6</v>
      </c>
      <c r="E95" s="19">
        <v>9</v>
      </c>
      <c r="F95" s="19">
        <v>7</v>
      </c>
      <c r="G95" s="19">
        <v>0</v>
      </c>
      <c r="H95" s="19">
        <v>9</v>
      </c>
      <c r="I95" s="19">
        <v>0</v>
      </c>
      <c r="J95" s="13">
        <v>5</v>
      </c>
      <c r="K95" s="229">
        <v>13797467.5</v>
      </c>
      <c r="L95" s="230" t="s">
        <v>23</v>
      </c>
      <c r="M95" s="229" t="s">
        <v>368</v>
      </c>
      <c r="N95" s="231">
        <v>2391245.5</v>
      </c>
      <c r="O95" s="232">
        <v>4</v>
      </c>
      <c r="P95" s="233">
        <v>54</v>
      </c>
      <c r="Q95" s="232">
        <v>519</v>
      </c>
      <c r="R95" s="233">
        <v>4947</v>
      </c>
      <c r="S95" s="232">
        <v>48089</v>
      </c>
      <c r="T95" s="233">
        <v>592738</v>
      </c>
    </row>
    <row r="96" spans="1:20" x14ac:dyDescent="0.15">
      <c r="A96" s="172">
        <v>40</v>
      </c>
      <c r="B96" s="173" t="s">
        <v>97</v>
      </c>
      <c r="C96" s="174" t="s">
        <v>362</v>
      </c>
      <c r="D96" s="27">
        <v>1</v>
      </c>
      <c r="E96" s="27">
        <v>4</v>
      </c>
      <c r="F96" s="27">
        <v>7</v>
      </c>
      <c r="G96" s="27">
        <v>4</v>
      </c>
      <c r="H96" s="27">
        <v>1</v>
      </c>
      <c r="I96" s="27">
        <v>9</v>
      </c>
      <c r="J96" s="7">
        <v>3</v>
      </c>
      <c r="K96" s="222">
        <v>6424932.5</v>
      </c>
      <c r="L96" s="234" t="s">
        <v>23</v>
      </c>
      <c r="M96" s="224" t="s">
        <v>368</v>
      </c>
      <c r="N96" s="224">
        <v>2848058.2</v>
      </c>
      <c r="O96" s="226" t="s">
        <v>17</v>
      </c>
      <c r="P96" s="226">
        <v>21</v>
      </c>
      <c r="Q96" s="227">
        <v>223</v>
      </c>
      <c r="R96" s="226">
        <v>2193</v>
      </c>
      <c r="S96" s="227">
        <v>22042</v>
      </c>
      <c r="T96" s="226">
        <v>251000</v>
      </c>
    </row>
    <row r="97" spans="1:21" x14ac:dyDescent="0.15">
      <c r="A97" s="178"/>
      <c r="B97" s="179" t="s">
        <v>256</v>
      </c>
      <c r="C97" s="180" t="s">
        <v>363</v>
      </c>
      <c r="D97" s="19">
        <v>1</v>
      </c>
      <c r="E97" s="19">
        <v>9</v>
      </c>
      <c r="F97" s="19">
        <v>0</v>
      </c>
      <c r="G97" s="19">
        <v>6</v>
      </c>
      <c r="H97" s="19">
        <v>7</v>
      </c>
      <c r="I97" s="19">
        <v>7</v>
      </c>
      <c r="J97" s="13">
        <v>5</v>
      </c>
      <c r="K97" s="229">
        <v>14120515</v>
      </c>
      <c r="L97" s="237">
        <v>1</v>
      </c>
      <c r="M97" s="229">
        <v>3777777</v>
      </c>
      <c r="N97" s="231">
        <v>74249.8</v>
      </c>
      <c r="O97" s="232">
        <v>7</v>
      </c>
      <c r="P97" s="233">
        <v>48</v>
      </c>
      <c r="Q97" s="232">
        <v>605</v>
      </c>
      <c r="R97" s="233">
        <v>5907</v>
      </c>
      <c r="S97" s="232">
        <v>63104</v>
      </c>
      <c r="T97" s="233">
        <v>593348</v>
      </c>
    </row>
    <row r="98" spans="1:21" x14ac:dyDescent="0.15">
      <c r="A98" s="172">
        <v>41</v>
      </c>
      <c r="B98" s="173" t="s">
        <v>98</v>
      </c>
      <c r="C98" s="174" t="s">
        <v>362</v>
      </c>
      <c r="D98" s="27">
        <v>6</v>
      </c>
      <c r="E98" s="27">
        <v>9</v>
      </c>
      <c r="F98" s="27">
        <v>8</v>
      </c>
      <c r="G98" s="27">
        <v>5</v>
      </c>
      <c r="H98" s="27">
        <v>8</v>
      </c>
      <c r="I98" s="27">
        <v>2</v>
      </c>
      <c r="J98" s="7">
        <v>7</v>
      </c>
      <c r="K98" s="222">
        <v>6725417.5</v>
      </c>
      <c r="L98" s="223">
        <v>2</v>
      </c>
      <c r="M98" s="224">
        <v>177777</v>
      </c>
      <c r="N98" s="225">
        <v>196873</v>
      </c>
      <c r="O98" s="226">
        <v>3</v>
      </c>
      <c r="P98" s="227">
        <v>22</v>
      </c>
      <c r="Q98" s="226">
        <v>305</v>
      </c>
      <c r="R98" s="227">
        <v>3030</v>
      </c>
      <c r="S98" s="226">
        <v>29876</v>
      </c>
      <c r="T98" s="227">
        <v>297542</v>
      </c>
    </row>
    <row r="99" spans="1:21" x14ac:dyDescent="0.15">
      <c r="A99" s="178"/>
      <c r="B99" s="179" t="s">
        <v>257</v>
      </c>
      <c r="C99" s="180" t="s">
        <v>363</v>
      </c>
      <c r="D99" s="19">
        <v>1</v>
      </c>
      <c r="E99" s="19">
        <v>1</v>
      </c>
      <c r="F99" s="19">
        <v>4</v>
      </c>
      <c r="G99" s="19">
        <v>0</v>
      </c>
      <c r="H99" s="19">
        <v>3</v>
      </c>
      <c r="I99" s="19">
        <v>1</v>
      </c>
      <c r="J99" s="13">
        <v>8</v>
      </c>
      <c r="K99" s="229">
        <v>15066667.5</v>
      </c>
      <c r="L99" s="230" t="s">
        <v>23</v>
      </c>
      <c r="M99" s="229" t="s">
        <v>368</v>
      </c>
      <c r="N99" s="231">
        <v>1268113.1000000001</v>
      </c>
      <c r="O99" s="232">
        <v>5</v>
      </c>
      <c r="P99" s="233">
        <v>64</v>
      </c>
      <c r="Q99" s="232">
        <v>628</v>
      </c>
      <c r="R99" s="233">
        <v>6005</v>
      </c>
      <c r="S99" s="232">
        <v>58094</v>
      </c>
      <c r="T99" s="233">
        <v>612760</v>
      </c>
    </row>
    <row r="100" spans="1:21" x14ac:dyDescent="0.15">
      <c r="A100" s="172">
        <v>42</v>
      </c>
      <c r="B100" s="173" t="s">
        <v>99</v>
      </c>
      <c r="C100" s="174" t="s">
        <v>362</v>
      </c>
      <c r="D100" s="27">
        <v>2</v>
      </c>
      <c r="E100" s="27">
        <v>1</v>
      </c>
      <c r="F100" s="27">
        <v>1</v>
      </c>
      <c r="G100" s="27">
        <v>2</v>
      </c>
      <c r="H100" s="27">
        <v>0</v>
      </c>
      <c r="I100" s="27">
        <v>0</v>
      </c>
      <c r="J100" s="7">
        <v>9</v>
      </c>
      <c r="K100" s="222">
        <v>5595485</v>
      </c>
      <c r="L100" s="234" t="s">
        <v>23</v>
      </c>
      <c r="M100" s="224" t="s">
        <v>368</v>
      </c>
      <c r="N100" s="225">
        <v>1665952.1</v>
      </c>
      <c r="O100" s="226">
        <v>4</v>
      </c>
      <c r="P100" s="227">
        <v>21</v>
      </c>
      <c r="Q100" s="226">
        <v>191</v>
      </c>
      <c r="R100" s="227">
        <v>1460</v>
      </c>
      <c r="S100" s="226">
        <v>16409</v>
      </c>
      <c r="T100" s="227">
        <v>186514</v>
      </c>
    </row>
    <row r="101" spans="1:21" x14ac:dyDescent="0.15">
      <c r="A101" s="178"/>
      <c r="B101" s="179" t="s">
        <v>258</v>
      </c>
      <c r="C101" s="180" t="s">
        <v>363</v>
      </c>
      <c r="D101" s="19">
        <v>3</v>
      </c>
      <c r="E101" s="19">
        <v>9</v>
      </c>
      <c r="F101" s="19">
        <v>1</v>
      </c>
      <c r="G101" s="19">
        <v>4</v>
      </c>
      <c r="H101" s="19">
        <v>7</v>
      </c>
      <c r="I101" s="19">
        <v>1</v>
      </c>
      <c r="J101" s="13">
        <v>0</v>
      </c>
      <c r="K101" s="229">
        <v>13351180</v>
      </c>
      <c r="L101" s="237" t="s">
        <v>23</v>
      </c>
      <c r="M101" s="229" t="s">
        <v>368</v>
      </c>
      <c r="N101" s="231">
        <v>2615221</v>
      </c>
      <c r="O101" s="232">
        <v>2</v>
      </c>
      <c r="P101" s="233">
        <v>47</v>
      </c>
      <c r="Q101" s="232">
        <v>362</v>
      </c>
      <c r="R101" s="233">
        <v>3390</v>
      </c>
      <c r="S101" s="232">
        <v>34357</v>
      </c>
      <c r="T101" s="233">
        <v>348967</v>
      </c>
      <c r="U101" s="228"/>
    </row>
    <row r="102" spans="1:21" x14ac:dyDescent="0.15">
      <c r="A102" s="172">
        <v>43</v>
      </c>
      <c r="B102" s="173" t="s">
        <v>100</v>
      </c>
      <c r="C102" s="174" t="s">
        <v>362</v>
      </c>
      <c r="D102" s="27">
        <v>9</v>
      </c>
      <c r="E102" s="27">
        <v>2</v>
      </c>
      <c r="F102" s="27">
        <v>1</v>
      </c>
      <c r="G102" s="27">
        <v>8</v>
      </c>
      <c r="H102" s="27">
        <v>2</v>
      </c>
      <c r="I102" s="27">
        <v>7</v>
      </c>
      <c r="J102" s="7">
        <v>8</v>
      </c>
      <c r="K102" s="222">
        <v>5385542.5</v>
      </c>
      <c r="L102" s="223">
        <v>1</v>
      </c>
      <c r="M102" s="224">
        <v>2977777</v>
      </c>
      <c r="N102" s="225">
        <v>20356.099999999999</v>
      </c>
      <c r="O102" s="226">
        <v>5</v>
      </c>
      <c r="P102" s="227">
        <v>18</v>
      </c>
      <c r="Q102" s="226">
        <v>219</v>
      </c>
      <c r="R102" s="227">
        <v>2196</v>
      </c>
      <c r="S102" s="226">
        <v>21507</v>
      </c>
      <c r="T102" s="227">
        <v>212638</v>
      </c>
    </row>
    <row r="103" spans="1:21" x14ac:dyDescent="0.15">
      <c r="A103" s="178"/>
      <c r="B103" s="287" t="s">
        <v>259</v>
      </c>
      <c r="C103" s="180" t="s">
        <v>363</v>
      </c>
      <c r="D103" s="19">
        <v>0</v>
      </c>
      <c r="E103" s="19">
        <v>5</v>
      </c>
      <c r="F103" s="19">
        <v>3</v>
      </c>
      <c r="G103" s="19">
        <v>4</v>
      </c>
      <c r="H103" s="19">
        <v>6</v>
      </c>
      <c r="I103" s="19">
        <v>2</v>
      </c>
      <c r="J103" s="13">
        <v>8</v>
      </c>
      <c r="K103" s="229">
        <v>13124862.5</v>
      </c>
      <c r="L103" s="237">
        <v>1</v>
      </c>
      <c r="M103" s="229">
        <v>877777</v>
      </c>
      <c r="N103" s="231">
        <v>75756.800000000003</v>
      </c>
      <c r="O103" s="232">
        <v>5</v>
      </c>
      <c r="P103" s="233">
        <v>54</v>
      </c>
      <c r="Q103" s="232">
        <v>542</v>
      </c>
      <c r="R103" s="233">
        <v>5504</v>
      </c>
      <c r="S103" s="232">
        <v>53564</v>
      </c>
      <c r="T103" s="233">
        <v>541031</v>
      </c>
    </row>
    <row r="104" spans="1:21" x14ac:dyDescent="0.15">
      <c r="A104" s="172">
        <v>44</v>
      </c>
      <c r="B104" s="173" t="s">
        <v>101</v>
      </c>
      <c r="C104" s="174" t="s">
        <v>362</v>
      </c>
      <c r="D104" s="27">
        <v>6</v>
      </c>
      <c r="E104" s="27">
        <v>1</v>
      </c>
      <c r="F104" s="27">
        <v>6</v>
      </c>
      <c r="G104" s="27">
        <v>4</v>
      </c>
      <c r="H104" s="27">
        <v>6</v>
      </c>
      <c r="I104" s="27">
        <v>5</v>
      </c>
      <c r="J104" s="7">
        <v>9</v>
      </c>
      <c r="K104" s="222">
        <v>5626402.5</v>
      </c>
      <c r="L104" s="234" t="s">
        <v>23</v>
      </c>
      <c r="M104" s="224"/>
      <c r="N104" s="225">
        <v>475794</v>
      </c>
      <c r="O104" s="226">
        <v>1</v>
      </c>
      <c r="P104" s="227">
        <v>27</v>
      </c>
      <c r="Q104" s="226">
        <v>187</v>
      </c>
      <c r="R104" s="227">
        <v>1935</v>
      </c>
      <c r="S104" s="226">
        <v>19454</v>
      </c>
      <c r="T104" s="227">
        <v>184243</v>
      </c>
    </row>
    <row r="105" spans="1:21" x14ac:dyDescent="0.15">
      <c r="A105" s="178"/>
      <c r="B105" s="179" t="s">
        <v>260</v>
      </c>
      <c r="C105" s="180" t="s">
        <v>363</v>
      </c>
      <c r="D105" s="19">
        <v>9</v>
      </c>
      <c r="E105" s="19">
        <v>0</v>
      </c>
      <c r="F105" s="19">
        <v>1</v>
      </c>
      <c r="G105" s="19">
        <v>9</v>
      </c>
      <c r="H105" s="19">
        <v>3</v>
      </c>
      <c r="I105" s="19">
        <v>4</v>
      </c>
      <c r="J105" s="13">
        <v>0</v>
      </c>
      <c r="K105" s="229">
        <v>13660470</v>
      </c>
      <c r="L105" s="237" t="s">
        <v>23</v>
      </c>
      <c r="M105" s="229" t="s">
        <v>368</v>
      </c>
      <c r="N105" s="231">
        <v>1447053.4</v>
      </c>
      <c r="O105" s="232">
        <v>5</v>
      </c>
      <c r="P105" s="232">
        <v>35</v>
      </c>
      <c r="Q105" s="233">
        <v>341</v>
      </c>
      <c r="R105" s="232">
        <v>3501</v>
      </c>
      <c r="S105" s="233">
        <v>35286</v>
      </c>
      <c r="T105" s="232">
        <v>356586</v>
      </c>
    </row>
    <row r="106" spans="1:21" x14ac:dyDescent="0.15">
      <c r="A106" s="172">
        <v>45</v>
      </c>
      <c r="B106" s="173" t="s">
        <v>102</v>
      </c>
      <c r="C106" s="174" t="s">
        <v>362</v>
      </c>
      <c r="D106" s="27">
        <v>1</v>
      </c>
      <c r="E106" s="27">
        <v>1</v>
      </c>
      <c r="F106" s="27">
        <v>9</v>
      </c>
      <c r="G106" s="27">
        <v>3</v>
      </c>
      <c r="H106" s="27">
        <v>1</v>
      </c>
      <c r="I106" s="27">
        <v>2</v>
      </c>
      <c r="J106" s="7">
        <v>6</v>
      </c>
      <c r="K106" s="222">
        <v>6214192.5</v>
      </c>
      <c r="L106" s="223" t="s">
        <v>23</v>
      </c>
      <c r="M106" s="224" t="s">
        <v>368</v>
      </c>
      <c r="N106" s="225">
        <v>1888882.5</v>
      </c>
      <c r="O106" s="226" t="s">
        <v>17</v>
      </c>
      <c r="P106" s="227">
        <v>23</v>
      </c>
      <c r="Q106" s="226">
        <v>240</v>
      </c>
      <c r="R106" s="227">
        <v>2354</v>
      </c>
      <c r="S106" s="226">
        <v>23370</v>
      </c>
      <c r="T106" s="227">
        <v>229687</v>
      </c>
    </row>
    <row r="107" spans="1:21" x14ac:dyDescent="0.15">
      <c r="A107" s="178"/>
      <c r="B107" s="179" t="s">
        <v>261</v>
      </c>
      <c r="C107" s="180" t="s">
        <v>363</v>
      </c>
      <c r="D107" s="19">
        <v>9</v>
      </c>
      <c r="E107" s="19">
        <v>9</v>
      </c>
      <c r="F107" s="19">
        <v>2</v>
      </c>
      <c r="G107" s="19">
        <v>7</v>
      </c>
      <c r="H107" s="19">
        <v>7</v>
      </c>
      <c r="I107" s="19">
        <v>1</v>
      </c>
      <c r="J107" s="13">
        <v>4</v>
      </c>
      <c r="K107" s="229">
        <v>14834842.5</v>
      </c>
      <c r="L107" s="237" t="s">
        <v>23</v>
      </c>
      <c r="M107" s="229"/>
      <c r="N107" s="231">
        <v>2943639.8</v>
      </c>
      <c r="O107" s="232">
        <v>7</v>
      </c>
      <c r="P107" s="233">
        <v>48</v>
      </c>
      <c r="Q107" s="232">
        <v>507</v>
      </c>
      <c r="R107" s="233">
        <v>5134</v>
      </c>
      <c r="S107" s="232">
        <v>50634</v>
      </c>
      <c r="T107" s="233">
        <v>507362</v>
      </c>
    </row>
    <row r="108" spans="1:21" x14ac:dyDescent="0.15">
      <c r="A108" s="172">
        <v>46</v>
      </c>
      <c r="B108" s="173" t="s">
        <v>103</v>
      </c>
      <c r="C108" s="174" t="s">
        <v>362</v>
      </c>
      <c r="D108" s="291">
        <v>3</v>
      </c>
      <c r="E108" s="291">
        <v>7</v>
      </c>
      <c r="F108" s="291">
        <v>3</v>
      </c>
      <c r="G108" s="291">
        <v>7</v>
      </c>
      <c r="H108" s="291">
        <v>2</v>
      </c>
      <c r="I108" s="291">
        <v>8</v>
      </c>
      <c r="J108" s="292">
        <v>2</v>
      </c>
      <c r="K108" s="222">
        <v>7002855</v>
      </c>
      <c r="L108" s="234">
        <v>1</v>
      </c>
      <c r="M108" s="224">
        <v>3377777</v>
      </c>
      <c r="N108" s="225">
        <v>63765.8</v>
      </c>
      <c r="O108" s="226">
        <v>3</v>
      </c>
      <c r="P108" s="227">
        <v>30</v>
      </c>
      <c r="Q108" s="226">
        <v>217</v>
      </c>
      <c r="R108" s="227">
        <v>2259</v>
      </c>
      <c r="S108" s="226">
        <v>22119</v>
      </c>
      <c r="T108" s="227">
        <v>230953</v>
      </c>
    </row>
    <row r="109" spans="1:21" x14ac:dyDescent="0.15">
      <c r="A109" s="178"/>
      <c r="B109" s="179" t="s">
        <v>262</v>
      </c>
      <c r="C109" s="180" t="s">
        <v>363</v>
      </c>
      <c r="D109" s="19">
        <v>6</v>
      </c>
      <c r="E109" s="19">
        <v>9</v>
      </c>
      <c r="F109" s="19">
        <v>1</v>
      </c>
      <c r="G109" s="19">
        <v>8</v>
      </c>
      <c r="H109" s="19">
        <v>5</v>
      </c>
      <c r="I109" s="19">
        <v>8</v>
      </c>
      <c r="J109" s="13">
        <v>3</v>
      </c>
      <c r="K109" s="229">
        <v>15671845</v>
      </c>
      <c r="L109" s="237">
        <v>1</v>
      </c>
      <c r="M109" s="229">
        <v>1177777</v>
      </c>
      <c r="N109" s="231">
        <v>257</v>
      </c>
      <c r="O109" s="232">
        <v>3</v>
      </c>
      <c r="P109" s="233">
        <v>56</v>
      </c>
      <c r="Q109" s="232">
        <v>527</v>
      </c>
      <c r="R109" s="233">
        <v>5743</v>
      </c>
      <c r="S109" s="232">
        <v>55723</v>
      </c>
      <c r="T109" s="233">
        <v>577591</v>
      </c>
    </row>
    <row r="110" spans="1:21" x14ac:dyDescent="0.15">
      <c r="A110" s="172">
        <v>47</v>
      </c>
      <c r="B110" s="173" t="s">
        <v>104</v>
      </c>
      <c r="C110" s="174" t="s">
        <v>362</v>
      </c>
      <c r="D110" s="27">
        <v>6</v>
      </c>
      <c r="E110" s="27">
        <v>6</v>
      </c>
      <c r="F110" s="27">
        <v>5</v>
      </c>
      <c r="G110" s="27">
        <v>9</v>
      </c>
      <c r="H110" s="27">
        <v>8</v>
      </c>
      <c r="I110" s="27">
        <v>2</v>
      </c>
      <c r="J110" s="7">
        <v>6</v>
      </c>
      <c r="K110" s="222">
        <v>5632690</v>
      </c>
      <c r="L110" s="234" t="s">
        <v>23</v>
      </c>
      <c r="M110" s="224" t="s">
        <v>368</v>
      </c>
      <c r="N110" s="225">
        <v>400741.3</v>
      </c>
      <c r="O110" s="226">
        <v>4</v>
      </c>
      <c r="P110" s="227">
        <v>17</v>
      </c>
      <c r="Q110" s="226">
        <v>232</v>
      </c>
      <c r="R110" s="227">
        <v>2232</v>
      </c>
      <c r="S110" s="226">
        <v>21112</v>
      </c>
      <c r="T110" s="227">
        <v>206693</v>
      </c>
    </row>
    <row r="111" spans="1:21" x14ac:dyDescent="0.15">
      <c r="A111" s="178"/>
      <c r="B111" s="179" t="s">
        <v>263</v>
      </c>
      <c r="C111" s="180" t="s">
        <v>363</v>
      </c>
      <c r="D111" s="19">
        <v>4</v>
      </c>
      <c r="E111" s="19">
        <v>4</v>
      </c>
      <c r="F111" s="19">
        <v>9</v>
      </c>
      <c r="G111" s="19">
        <v>9</v>
      </c>
      <c r="H111" s="19">
        <v>7</v>
      </c>
      <c r="I111" s="19">
        <v>3</v>
      </c>
      <c r="J111" s="13">
        <v>2</v>
      </c>
      <c r="K111" s="229">
        <v>13463315</v>
      </c>
      <c r="L111" s="230" t="s">
        <v>23</v>
      </c>
      <c r="M111" s="229" t="s">
        <v>368</v>
      </c>
      <c r="N111" s="231">
        <v>1357983</v>
      </c>
      <c r="O111" s="232">
        <v>7</v>
      </c>
      <c r="P111" s="233">
        <v>51</v>
      </c>
      <c r="Q111" s="232">
        <v>495</v>
      </c>
      <c r="R111" s="233">
        <v>4694</v>
      </c>
      <c r="S111" s="232">
        <v>44388</v>
      </c>
      <c r="T111" s="233">
        <v>446014</v>
      </c>
    </row>
    <row r="112" spans="1:21" x14ac:dyDescent="0.15">
      <c r="A112" s="172">
        <v>48</v>
      </c>
      <c r="B112" s="173" t="s">
        <v>105</v>
      </c>
      <c r="C112" s="174" t="s">
        <v>362</v>
      </c>
      <c r="D112" s="27">
        <v>1</v>
      </c>
      <c r="E112" s="27">
        <v>0</v>
      </c>
      <c r="F112" s="27">
        <v>3</v>
      </c>
      <c r="G112" s="27">
        <v>8</v>
      </c>
      <c r="H112" s="27">
        <v>6</v>
      </c>
      <c r="I112" s="27">
        <v>3</v>
      </c>
      <c r="J112" s="7">
        <v>5</v>
      </c>
      <c r="K112" s="222">
        <v>5729935</v>
      </c>
      <c r="L112" s="234" t="s">
        <v>23</v>
      </c>
      <c r="M112" s="224" t="s">
        <v>368</v>
      </c>
      <c r="N112" s="225">
        <v>1765381.4</v>
      </c>
      <c r="O112" s="226">
        <v>3</v>
      </c>
      <c r="P112" s="227">
        <v>27</v>
      </c>
      <c r="Q112" s="226">
        <v>260</v>
      </c>
      <c r="R112" s="227">
        <v>2409</v>
      </c>
      <c r="S112" s="226">
        <v>23637</v>
      </c>
      <c r="T112" s="227">
        <v>240294</v>
      </c>
    </row>
    <row r="113" spans="1:20" x14ac:dyDescent="0.15">
      <c r="A113" s="178"/>
      <c r="B113" s="179" t="s">
        <v>264</v>
      </c>
      <c r="C113" s="180" t="s">
        <v>363</v>
      </c>
      <c r="D113" s="19">
        <v>5</v>
      </c>
      <c r="E113" s="19">
        <v>9</v>
      </c>
      <c r="F113" s="19">
        <v>8</v>
      </c>
      <c r="G113" s="19">
        <v>2</v>
      </c>
      <c r="H113" s="19">
        <v>7</v>
      </c>
      <c r="I113" s="19">
        <v>6</v>
      </c>
      <c r="J113" s="13">
        <v>4</v>
      </c>
      <c r="K113" s="229">
        <v>14082400</v>
      </c>
      <c r="L113" s="230" t="s">
        <v>23</v>
      </c>
      <c r="M113" s="229"/>
      <c r="N113" s="231">
        <v>2766640</v>
      </c>
      <c r="O113" s="232">
        <v>8</v>
      </c>
      <c r="P113" s="233">
        <v>46</v>
      </c>
      <c r="Q113" s="232">
        <v>522</v>
      </c>
      <c r="R113" s="233">
        <v>5207</v>
      </c>
      <c r="S113" s="232">
        <v>50245</v>
      </c>
      <c r="T113" s="233">
        <v>479351</v>
      </c>
    </row>
    <row r="114" spans="1:20" x14ac:dyDescent="0.15">
      <c r="A114" s="172">
        <v>49</v>
      </c>
      <c r="B114" s="173" t="s">
        <v>106</v>
      </c>
      <c r="C114" s="174" t="s">
        <v>362</v>
      </c>
      <c r="D114" s="27">
        <v>0</v>
      </c>
      <c r="E114" s="27">
        <v>6</v>
      </c>
      <c r="F114" s="27">
        <v>6</v>
      </c>
      <c r="G114" s="27">
        <v>3</v>
      </c>
      <c r="H114" s="27">
        <v>5</v>
      </c>
      <c r="I114" s="27">
        <v>0</v>
      </c>
      <c r="J114" s="7">
        <v>7</v>
      </c>
      <c r="K114" s="222">
        <v>7138920</v>
      </c>
      <c r="L114" s="234" t="s">
        <v>23</v>
      </c>
      <c r="M114" s="224"/>
      <c r="N114" s="225">
        <v>3274217.2</v>
      </c>
      <c r="O114" s="226">
        <v>3</v>
      </c>
      <c r="P114" s="227">
        <v>20</v>
      </c>
      <c r="Q114" s="226">
        <v>288</v>
      </c>
      <c r="R114" s="227">
        <v>2629</v>
      </c>
      <c r="S114" s="226">
        <v>27572</v>
      </c>
      <c r="T114" s="227">
        <v>319389</v>
      </c>
    </row>
    <row r="115" spans="1:20" x14ac:dyDescent="0.15">
      <c r="A115" s="178"/>
      <c r="B115" s="179" t="s">
        <v>265</v>
      </c>
      <c r="C115" s="180" t="s">
        <v>363</v>
      </c>
      <c r="D115" s="19">
        <v>6</v>
      </c>
      <c r="E115" s="19">
        <v>7</v>
      </c>
      <c r="F115" s="19">
        <v>9</v>
      </c>
      <c r="G115" s="19">
        <v>4</v>
      </c>
      <c r="H115" s="19">
        <v>0</v>
      </c>
      <c r="I115" s="19">
        <v>8</v>
      </c>
      <c r="J115" s="13">
        <v>1</v>
      </c>
      <c r="K115" s="229">
        <v>16064752.5</v>
      </c>
      <c r="L115" s="230">
        <v>1</v>
      </c>
      <c r="M115" s="229">
        <v>4377777</v>
      </c>
      <c r="N115" s="231">
        <v>38644.1</v>
      </c>
      <c r="O115" s="232">
        <v>3</v>
      </c>
      <c r="P115" s="233">
        <v>50</v>
      </c>
      <c r="Q115" s="232">
        <v>491</v>
      </c>
      <c r="R115" s="233">
        <v>4681</v>
      </c>
      <c r="S115" s="232">
        <v>49479</v>
      </c>
      <c r="T115" s="233">
        <v>490215</v>
      </c>
    </row>
    <row r="116" spans="1:20" x14ac:dyDescent="0.15">
      <c r="A116" s="172">
        <v>50</v>
      </c>
      <c r="B116" s="173" t="s">
        <v>107</v>
      </c>
      <c r="C116" s="174" t="s">
        <v>362</v>
      </c>
      <c r="D116" s="27">
        <v>6</v>
      </c>
      <c r="E116" s="27">
        <v>1</v>
      </c>
      <c r="F116" s="27">
        <v>2</v>
      </c>
      <c r="G116" s="27">
        <v>1</v>
      </c>
      <c r="H116" s="27">
        <v>3</v>
      </c>
      <c r="I116" s="27">
        <v>1</v>
      </c>
      <c r="J116" s="7">
        <v>0</v>
      </c>
      <c r="K116" s="222">
        <v>7101207.5</v>
      </c>
      <c r="L116" s="234">
        <v>1</v>
      </c>
      <c r="M116" s="224">
        <v>477777</v>
      </c>
      <c r="N116" s="225">
        <v>65763</v>
      </c>
      <c r="O116" s="226">
        <v>4</v>
      </c>
      <c r="P116" s="227">
        <v>14</v>
      </c>
      <c r="Q116" s="226">
        <v>182</v>
      </c>
      <c r="R116" s="227">
        <v>1870</v>
      </c>
      <c r="S116" s="226">
        <v>18958</v>
      </c>
      <c r="T116" s="227">
        <v>191706</v>
      </c>
    </row>
    <row r="117" spans="1:20" x14ac:dyDescent="0.15">
      <c r="A117" s="178"/>
      <c r="B117" s="179" t="s">
        <v>266</v>
      </c>
      <c r="C117" s="180" t="s">
        <v>363</v>
      </c>
      <c r="D117" s="19">
        <v>2</v>
      </c>
      <c r="E117" s="19">
        <v>7</v>
      </c>
      <c r="F117" s="19">
        <v>8</v>
      </c>
      <c r="G117" s="19">
        <v>8</v>
      </c>
      <c r="H117" s="19">
        <v>5</v>
      </c>
      <c r="I117" s="19">
        <v>5</v>
      </c>
      <c r="J117" s="13">
        <v>8</v>
      </c>
      <c r="K117" s="229">
        <v>15963362.5</v>
      </c>
      <c r="L117" s="230">
        <v>2</v>
      </c>
      <c r="M117" s="229">
        <v>577777</v>
      </c>
      <c r="N117" s="231">
        <v>45204.1</v>
      </c>
      <c r="O117" s="232">
        <v>12</v>
      </c>
      <c r="P117" s="233">
        <v>68</v>
      </c>
      <c r="Q117" s="232">
        <v>672</v>
      </c>
      <c r="R117" s="233">
        <v>6735</v>
      </c>
      <c r="S117" s="232">
        <v>69322</v>
      </c>
      <c r="T117" s="233">
        <v>640823</v>
      </c>
    </row>
    <row r="118" spans="1:20" x14ac:dyDescent="0.15">
      <c r="A118" s="172">
        <v>51</v>
      </c>
      <c r="B118" s="173" t="s">
        <v>108</v>
      </c>
      <c r="C118" s="174" t="s">
        <v>362</v>
      </c>
      <c r="D118" s="27">
        <v>3</v>
      </c>
      <c r="E118" s="27">
        <v>6</v>
      </c>
      <c r="F118" s="27">
        <v>8</v>
      </c>
      <c r="G118" s="27">
        <v>6</v>
      </c>
      <c r="H118" s="27">
        <v>1</v>
      </c>
      <c r="I118" s="27">
        <v>6</v>
      </c>
      <c r="J118" s="7">
        <v>3</v>
      </c>
      <c r="K118" s="222">
        <v>8034597.5</v>
      </c>
      <c r="L118" s="234" t="s">
        <v>23</v>
      </c>
      <c r="M118" s="224" t="s">
        <v>368</v>
      </c>
      <c r="N118" s="225">
        <v>616464</v>
      </c>
      <c r="O118" s="226">
        <v>8</v>
      </c>
      <c r="P118" s="227">
        <v>35</v>
      </c>
      <c r="Q118" s="226">
        <v>311</v>
      </c>
      <c r="R118" s="227">
        <v>3169</v>
      </c>
      <c r="S118" s="226">
        <v>31784</v>
      </c>
      <c r="T118" s="227">
        <v>308252</v>
      </c>
    </row>
    <row r="119" spans="1:20" x14ac:dyDescent="0.15">
      <c r="A119" s="178"/>
      <c r="B119" s="179" t="s">
        <v>267</v>
      </c>
      <c r="C119" s="180" t="s">
        <v>363</v>
      </c>
      <c r="D119" s="19">
        <v>5</v>
      </c>
      <c r="E119" s="19">
        <v>0</v>
      </c>
      <c r="F119" s="19">
        <v>9</v>
      </c>
      <c r="G119" s="19">
        <v>9</v>
      </c>
      <c r="H119" s="19">
        <v>5</v>
      </c>
      <c r="I119" s="19">
        <v>5</v>
      </c>
      <c r="J119" s="13">
        <v>5</v>
      </c>
      <c r="K119" s="229">
        <v>14626010</v>
      </c>
      <c r="L119" s="230" t="s">
        <v>23</v>
      </c>
      <c r="M119" s="229" t="s">
        <v>368</v>
      </c>
      <c r="N119" s="231">
        <v>1656373.3</v>
      </c>
      <c r="O119" s="232">
        <v>8</v>
      </c>
      <c r="P119" s="233">
        <v>71</v>
      </c>
      <c r="Q119" s="232">
        <v>716</v>
      </c>
      <c r="R119" s="233">
        <v>7653</v>
      </c>
      <c r="S119" s="232">
        <v>64089</v>
      </c>
      <c r="T119" s="233">
        <v>617248</v>
      </c>
    </row>
    <row r="120" spans="1:20" x14ac:dyDescent="0.15">
      <c r="A120" s="172">
        <v>52</v>
      </c>
      <c r="B120" s="173" t="s">
        <v>109</v>
      </c>
      <c r="C120" s="174" t="s">
        <v>362</v>
      </c>
      <c r="D120" s="27">
        <v>6</v>
      </c>
      <c r="E120" s="27">
        <v>1</v>
      </c>
      <c r="F120" s="27">
        <v>8</v>
      </c>
      <c r="G120" s="27">
        <v>1</v>
      </c>
      <c r="H120" s="27">
        <v>3</v>
      </c>
      <c r="I120" s="27">
        <v>5</v>
      </c>
      <c r="J120" s="7">
        <v>1</v>
      </c>
      <c r="K120" s="222">
        <v>6410232.5</v>
      </c>
      <c r="L120" s="223" t="s">
        <v>23</v>
      </c>
      <c r="M120" s="224" t="s">
        <v>368</v>
      </c>
      <c r="N120" s="225">
        <v>2112140.7999999998</v>
      </c>
      <c r="O120" s="226">
        <v>4</v>
      </c>
      <c r="P120" s="227">
        <v>14</v>
      </c>
      <c r="Q120" s="226">
        <v>197</v>
      </c>
      <c r="R120" s="227">
        <v>1982</v>
      </c>
      <c r="S120" s="226">
        <v>19921</v>
      </c>
      <c r="T120" s="227">
        <v>196643</v>
      </c>
    </row>
    <row r="121" spans="1:20" x14ac:dyDescent="0.15">
      <c r="A121" s="178"/>
      <c r="B121" s="179" t="s">
        <v>392</v>
      </c>
      <c r="C121" s="180" t="s">
        <v>363</v>
      </c>
      <c r="D121" s="38">
        <v>6</v>
      </c>
      <c r="E121" s="38">
        <v>4</v>
      </c>
      <c r="F121" s="38">
        <v>4</v>
      </c>
      <c r="G121" s="38">
        <v>9</v>
      </c>
      <c r="H121" s="38">
        <v>7</v>
      </c>
      <c r="I121" s="38">
        <v>4</v>
      </c>
      <c r="J121" s="39">
        <v>1</v>
      </c>
      <c r="K121" s="229">
        <v>14362840</v>
      </c>
      <c r="L121" s="237" t="s">
        <v>23</v>
      </c>
      <c r="M121" s="229" t="s">
        <v>368</v>
      </c>
      <c r="N121" s="231">
        <v>3133338.7</v>
      </c>
      <c r="O121" s="232">
        <v>6</v>
      </c>
      <c r="P121" s="233">
        <v>48</v>
      </c>
      <c r="Q121" s="232">
        <v>436</v>
      </c>
      <c r="R121" s="233">
        <v>4284</v>
      </c>
      <c r="S121" s="232">
        <v>42069</v>
      </c>
      <c r="T121" s="233">
        <v>435264</v>
      </c>
    </row>
    <row r="122" spans="1:20" x14ac:dyDescent="0.15">
      <c r="A122" s="45"/>
      <c r="B122" s="46"/>
      <c r="C122" s="46"/>
      <c r="D122" s="276"/>
      <c r="E122" s="276"/>
      <c r="F122" s="276"/>
      <c r="G122" s="276"/>
      <c r="H122" s="276"/>
      <c r="I122" s="276" t="s">
        <v>24</v>
      </c>
      <c r="J122" s="276"/>
      <c r="K122" s="277"/>
      <c r="L122" s="278">
        <f>SUM(L70:L121)</f>
        <v>22</v>
      </c>
      <c r="M122" s="229"/>
      <c r="N122" s="278"/>
      <c r="O122" s="278">
        <f t="shared" ref="O122:T122" si="1">SUM(O70:O121)</f>
        <v>220</v>
      </c>
      <c r="P122" s="278">
        <f t="shared" si="1"/>
        <v>1976</v>
      </c>
      <c r="Q122" s="278">
        <f t="shared" si="1"/>
        <v>19238</v>
      </c>
      <c r="R122" s="278">
        <f t="shared" si="1"/>
        <v>194338</v>
      </c>
      <c r="S122" s="278">
        <f t="shared" si="1"/>
        <v>1926742</v>
      </c>
      <c r="T122" s="272">
        <f t="shared" si="1"/>
        <v>19202223</v>
      </c>
    </row>
    <row r="123" spans="1:20" x14ac:dyDescent="0.15">
      <c r="K123" s="222"/>
      <c r="L123" s="184"/>
      <c r="O123" s="184"/>
      <c r="P123" s="184"/>
      <c r="Q123" s="184"/>
      <c r="R123" s="184"/>
      <c r="S123" s="184"/>
      <c r="T123" s="184"/>
    </row>
    <row r="124" spans="1:20" x14ac:dyDescent="0.15">
      <c r="L124" s="31"/>
      <c r="M124" s="31"/>
      <c r="N124" s="31"/>
      <c r="O124" s="31"/>
      <c r="P124" s="31"/>
      <c r="Q124" s="31"/>
      <c r="R124" s="31"/>
      <c r="S124" s="31"/>
    </row>
    <row r="125" spans="1:20" x14ac:dyDescent="0.15">
      <c r="L125" s="31"/>
      <c r="M125" s="31"/>
      <c r="N125" s="31"/>
      <c r="O125" s="31"/>
      <c r="P125" s="31"/>
      <c r="Q125" s="31"/>
      <c r="R125" s="31"/>
      <c r="S125" s="31"/>
    </row>
    <row r="126" spans="1:20" x14ac:dyDescent="0.15">
      <c r="L126" s="31"/>
      <c r="M126" s="31"/>
      <c r="N126" s="31"/>
      <c r="O126" s="31"/>
      <c r="P126" s="31"/>
      <c r="Q126" s="31"/>
      <c r="R126" s="31"/>
      <c r="S126" s="31"/>
    </row>
    <row r="276" spans="11:11" x14ac:dyDescent="0.15">
      <c r="K276" s="31"/>
    </row>
  </sheetData>
  <printOptions horizontalCentered="1" verticalCentered="1"/>
  <pageMargins left="0.19685039370078741" right="0" top="0" bottom="0.19685039370078741" header="0" footer="0.19685039370078741"/>
  <pageSetup paperSize="9" scale="87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25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8" customWidth="1"/>
    <col min="10" max="10" width="5" style="298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4" ht="14.1" customHeight="1" x14ac:dyDescent="0.2">
      <c r="A2" s="1" t="s">
        <v>364</v>
      </c>
      <c r="T2" s="3" t="s">
        <v>401</v>
      </c>
    </row>
    <row r="3" spans="1:24" ht="11.1" customHeight="1" x14ac:dyDescent="0.15">
      <c r="A3" s="6" t="s">
        <v>2</v>
      </c>
    </row>
    <row r="4" spans="1:24" ht="11.1" customHeight="1" x14ac:dyDescent="0.15">
      <c r="A4" s="7"/>
      <c r="B4" s="8"/>
      <c r="C4" s="177"/>
      <c r="D4" s="299"/>
      <c r="E4" s="299"/>
      <c r="F4" s="299"/>
      <c r="G4" s="299"/>
      <c r="H4" s="299"/>
      <c r="I4" s="299"/>
      <c r="J4" s="30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4" ht="11.1" customHeight="1" x14ac:dyDescent="0.15">
      <c r="A5" s="13"/>
      <c r="B5" s="14"/>
      <c r="C5" s="125"/>
      <c r="D5" s="301" t="s">
        <v>4</v>
      </c>
      <c r="E5" s="302"/>
      <c r="F5" s="302"/>
      <c r="G5" s="302"/>
      <c r="H5" s="302"/>
      <c r="I5" s="302"/>
      <c r="J5" s="290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4" ht="11.1" customHeight="1" x14ac:dyDescent="0.15">
      <c r="A6" s="13" t="s">
        <v>428</v>
      </c>
      <c r="B6" s="14">
        <v>2014</v>
      </c>
      <c r="C6" s="220" t="s">
        <v>361</v>
      </c>
      <c r="D6" s="289"/>
      <c r="E6" s="289"/>
      <c r="F6" s="289"/>
      <c r="G6" s="289"/>
      <c r="H6" s="289"/>
      <c r="I6" s="289"/>
      <c r="J6" s="290" t="s">
        <v>13</v>
      </c>
      <c r="K6" s="14"/>
      <c r="L6" s="6" t="s">
        <v>371</v>
      </c>
      <c r="M6" s="18"/>
      <c r="N6" s="13" t="s">
        <v>367</v>
      </c>
      <c r="O6" s="239">
        <v>77777</v>
      </c>
      <c r="P6" s="239">
        <v>7777</v>
      </c>
      <c r="Q6" s="239">
        <v>777</v>
      </c>
      <c r="R6" s="239">
        <v>77</v>
      </c>
      <c r="S6" s="239">
        <v>17</v>
      </c>
      <c r="T6" s="239">
        <v>5</v>
      </c>
    </row>
    <row r="7" spans="1:24" ht="10.5" customHeight="1" x14ac:dyDescent="0.15">
      <c r="A7" s="39"/>
      <c r="B7" s="21"/>
      <c r="C7" s="220"/>
      <c r="D7" s="289"/>
      <c r="E7" s="289"/>
      <c r="F7" s="289"/>
      <c r="G7" s="289"/>
      <c r="H7" s="289"/>
      <c r="I7" s="289"/>
      <c r="J7" s="30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4" x14ac:dyDescent="0.15">
      <c r="A8" s="172">
        <v>1</v>
      </c>
      <c r="B8" s="284" t="s">
        <v>393</v>
      </c>
      <c r="C8" s="174" t="s">
        <v>362</v>
      </c>
      <c r="D8" s="291">
        <v>9</v>
      </c>
      <c r="E8" s="291">
        <v>1</v>
      </c>
      <c r="F8" s="291">
        <v>1</v>
      </c>
      <c r="G8" s="291">
        <v>6</v>
      </c>
      <c r="H8" s="291">
        <v>7</v>
      </c>
      <c r="I8" s="291">
        <v>0</v>
      </c>
      <c r="J8" s="292">
        <v>4</v>
      </c>
      <c r="K8" s="222">
        <v>6359002.5</v>
      </c>
      <c r="L8" s="223" t="s">
        <v>23</v>
      </c>
      <c r="M8" s="224" t="s">
        <v>368</v>
      </c>
      <c r="N8" s="224">
        <v>3585463.8</v>
      </c>
      <c r="O8" s="226" t="s">
        <v>17</v>
      </c>
      <c r="P8" s="227">
        <v>19</v>
      </c>
      <c r="Q8" s="226">
        <v>182</v>
      </c>
      <c r="R8" s="227">
        <v>2023</v>
      </c>
      <c r="S8" s="226">
        <v>19449</v>
      </c>
      <c r="T8" s="227">
        <v>220949</v>
      </c>
      <c r="V8" s="228"/>
      <c r="X8" s="304"/>
    </row>
    <row r="9" spans="1:24" x14ac:dyDescent="0.15">
      <c r="A9" s="178"/>
      <c r="B9" s="179" t="s">
        <v>394</v>
      </c>
      <c r="C9" s="180" t="s">
        <v>363</v>
      </c>
      <c r="D9" s="289">
        <v>8</v>
      </c>
      <c r="E9" s="289">
        <v>0</v>
      </c>
      <c r="F9" s="289">
        <v>2</v>
      </c>
      <c r="G9" s="289">
        <v>2</v>
      </c>
      <c r="H9" s="289">
        <v>8</v>
      </c>
      <c r="I9" s="289">
        <v>4</v>
      </c>
      <c r="J9" s="303">
        <v>5</v>
      </c>
      <c r="K9" s="229">
        <v>13972040</v>
      </c>
      <c r="L9" s="237">
        <v>2</v>
      </c>
      <c r="M9" s="229">
        <v>2277777</v>
      </c>
      <c r="N9" s="231">
        <v>23321.8</v>
      </c>
      <c r="O9" s="232">
        <v>3</v>
      </c>
      <c r="P9" s="233">
        <v>74</v>
      </c>
      <c r="Q9" s="232">
        <v>639</v>
      </c>
      <c r="R9" s="233">
        <v>6302</v>
      </c>
      <c r="S9" s="232">
        <v>62655</v>
      </c>
      <c r="T9" s="233">
        <v>598747</v>
      </c>
      <c r="U9">
        <v>737224</v>
      </c>
      <c r="V9" s="228"/>
      <c r="X9" s="304"/>
    </row>
    <row r="10" spans="1:24" x14ac:dyDescent="0.15">
      <c r="A10" s="172">
        <v>2</v>
      </c>
      <c r="B10" s="173" t="s">
        <v>111</v>
      </c>
      <c r="C10" s="174" t="s">
        <v>362</v>
      </c>
      <c r="D10" s="305">
        <v>8</v>
      </c>
      <c r="E10" s="291">
        <v>0</v>
      </c>
      <c r="F10" s="291">
        <v>9</v>
      </c>
      <c r="G10" s="291">
        <v>0</v>
      </c>
      <c r="H10" s="291">
        <v>3</v>
      </c>
      <c r="I10" s="291">
        <v>0</v>
      </c>
      <c r="J10" s="292">
        <v>9</v>
      </c>
      <c r="K10" s="222">
        <v>5987940</v>
      </c>
      <c r="L10" s="234" t="s">
        <v>23</v>
      </c>
      <c r="M10" s="224" t="s">
        <v>368</v>
      </c>
      <c r="N10" s="225">
        <v>449064.3</v>
      </c>
      <c r="O10" s="226">
        <v>2</v>
      </c>
      <c r="P10" s="227">
        <v>18</v>
      </c>
      <c r="Q10" s="226">
        <v>176</v>
      </c>
      <c r="R10" s="227">
        <v>1688</v>
      </c>
      <c r="S10" s="226">
        <v>17019</v>
      </c>
      <c r="T10" s="227">
        <v>195378</v>
      </c>
      <c r="V10" s="228"/>
      <c r="X10" s="304"/>
    </row>
    <row r="11" spans="1:24" x14ac:dyDescent="0.15">
      <c r="A11" s="178"/>
      <c r="B11" s="179" t="s">
        <v>269</v>
      </c>
      <c r="C11" s="180" t="s">
        <v>363</v>
      </c>
      <c r="D11" s="306">
        <v>0</v>
      </c>
      <c r="E11" s="306">
        <v>0</v>
      </c>
      <c r="F11" s="306">
        <v>1</v>
      </c>
      <c r="G11" s="306">
        <v>5</v>
      </c>
      <c r="H11" s="306">
        <v>0</v>
      </c>
      <c r="I11" s="306">
        <v>1</v>
      </c>
      <c r="J11" s="303">
        <v>7</v>
      </c>
      <c r="K11" s="229">
        <v>14168147.5</v>
      </c>
      <c r="L11" s="237" t="s">
        <v>23</v>
      </c>
      <c r="M11" s="229" t="s">
        <v>368</v>
      </c>
      <c r="N11" s="229">
        <v>1456419.6</v>
      </c>
      <c r="O11" s="232">
        <v>7</v>
      </c>
      <c r="P11" s="233">
        <v>51</v>
      </c>
      <c r="Q11" s="232">
        <v>596</v>
      </c>
      <c r="R11" s="233">
        <v>5867</v>
      </c>
      <c r="S11" s="232">
        <v>63535</v>
      </c>
      <c r="T11" s="233">
        <v>630548</v>
      </c>
      <c r="V11" s="228"/>
      <c r="X11" s="304"/>
    </row>
    <row r="12" spans="1:24" x14ac:dyDescent="0.15">
      <c r="A12" s="172">
        <v>3</v>
      </c>
      <c r="B12" s="173" t="s">
        <v>112</v>
      </c>
      <c r="C12" s="174" t="s">
        <v>362</v>
      </c>
      <c r="D12" s="291">
        <v>4</v>
      </c>
      <c r="E12" s="291">
        <v>0</v>
      </c>
      <c r="F12" s="291">
        <v>0</v>
      </c>
      <c r="G12" s="291">
        <v>4</v>
      </c>
      <c r="H12" s="291">
        <v>6</v>
      </c>
      <c r="I12" s="291">
        <v>7</v>
      </c>
      <c r="J12" s="292">
        <v>5</v>
      </c>
      <c r="K12" s="222">
        <v>6535997.5</v>
      </c>
      <c r="L12" s="234">
        <v>1</v>
      </c>
      <c r="M12" s="224">
        <v>1877777</v>
      </c>
      <c r="N12" s="225">
        <v>43352</v>
      </c>
      <c r="O12" s="226">
        <v>3</v>
      </c>
      <c r="P12" s="227">
        <v>28</v>
      </c>
      <c r="Q12" s="226">
        <v>303</v>
      </c>
      <c r="R12" s="227">
        <v>3003</v>
      </c>
      <c r="S12" s="226">
        <v>29872</v>
      </c>
      <c r="T12" s="227">
        <v>276369</v>
      </c>
      <c r="V12" s="228"/>
      <c r="X12" s="304"/>
    </row>
    <row r="13" spans="1:24" x14ac:dyDescent="0.15">
      <c r="A13" s="178"/>
      <c r="B13" s="179" t="s">
        <v>270</v>
      </c>
      <c r="C13" s="180" t="s">
        <v>363</v>
      </c>
      <c r="D13" s="289">
        <v>5</v>
      </c>
      <c r="E13" s="289">
        <v>2</v>
      </c>
      <c r="F13" s="289">
        <v>2</v>
      </c>
      <c r="G13" s="289">
        <v>0</v>
      </c>
      <c r="H13" s="289">
        <v>0</v>
      </c>
      <c r="I13" s="289">
        <v>7</v>
      </c>
      <c r="J13" s="303">
        <v>3</v>
      </c>
      <c r="K13" s="229">
        <v>14698377.5</v>
      </c>
      <c r="L13" s="230" t="s">
        <v>23</v>
      </c>
      <c r="M13" s="229" t="s">
        <v>368</v>
      </c>
      <c r="N13" s="231">
        <v>1088406.6000000001</v>
      </c>
      <c r="O13" s="232">
        <v>2</v>
      </c>
      <c r="P13" s="233">
        <v>55</v>
      </c>
      <c r="Q13" s="232">
        <v>454</v>
      </c>
      <c r="R13" s="233">
        <v>5073</v>
      </c>
      <c r="S13" s="232">
        <v>56724</v>
      </c>
      <c r="T13" s="233">
        <v>540115</v>
      </c>
      <c r="V13" s="228"/>
      <c r="X13" s="304"/>
    </row>
    <row r="14" spans="1:24" x14ac:dyDescent="0.15">
      <c r="A14" s="172">
        <v>4</v>
      </c>
      <c r="B14" s="173" t="s">
        <v>113</v>
      </c>
      <c r="C14" s="174" t="s">
        <v>362</v>
      </c>
      <c r="D14" s="291">
        <v>6</v>
      </c>
      <c r="E14" s="291">
        <v>3</v>
      </c>
      <c r="F14" s="291">
        <v>2</v>
      </c>
      <c r="G14" s="291">
        <v>4</v>
      </c>
      <c r="H14" s="291">
        <v>5</v>
      </c>
      <c r="I14" s="291">
        <v>5</v>
      </c>
      <c r="J14" s="292">
        <v>0</v>
      </c>
      <c r="K14" s="222">
        <v>7096360</v>
      </c>
      <c r="L14" s="234" t="s">
        <v>23</v>
      </c>
      <c r="M14" s="224" t="s">
        <v>368</v>
      </c>
      <c r="N14" s="225">
        <v>1592957.8</v>
      </c>
      <c r="O14" s="226" t="s">
        <v>17</v>
      </c>
      <c r="P14" s="227">
        <v>22</v>
      </c>
      <c r="Q14" s="226">
        <v>201</v>
      </c>
      <c r="R14" s="227">
        <v>1997</v>
      </c>
      <c r="S14" s="226">
        <v>19864</v>
      </c>
      <c r="T14" s="227">
        <v>189506</v>
      </c>
      <c r="V14" s="228"/>
      <c r="X14" s="304"/>
    </row>
    <row r="15" spans="1:24" x14ac:dyDescent="0.15">
      <c r="A15" s="178"/>
      <c r="B15" s="179" t="s">
        <v>271</v>
      </c>
      <c r="C15" s="180" t="s">
        <v>363</v>
      </c>
      <c r="D15" s="289">
        <v>7</v>
      </c>
      <c r="E15" s="289">
        <v>5</v>
      </c>
      <c r="F15" s="289">
        <v>2</v>
      </c>
      <c r="G15" s="289">
        <v>3</v>
      </c>
      <c r="H15" s="289">
        <v>6</v>
      </c>
      <c r="I15" s="289">
        <v>6</v>
      </c>
      <c r="J15" s="303">
        <v>8</v>
      </c>
      <c r="K15" s="229">
        <v>15549325</v>
      </c>
      <c r="L15" s="230" t="s">
        <v>23</v>
      </c>
      <c r="M15" s="229" t="s">
        <v>368</v>
      </c>
      <c r="N15" s="231">
        <v>2698514.8</v>
      </c>
      <c r="O15" s="232">
        <v>2</v>
      </c>
      <c r="P15" s="233">
        <v>61</v>
      </c>
      <c r="Q15" s="232">
        <v>634</v>
      </c>
      <c r="R15" s="233">
        <v>6278</v>
      </c>
      <c r="S15" s="232">
        <v>66133</v>
      </c>
      <c r="T15" s="233">
        <v>621339</v>
      </c>
      <c r="V15" s="228"/>
      <c r="X15" s="304"/>
    </row>
    <row r="16" spans="1:24" x14ac:dyDescent="0.15">
      <c r="A16" s="172">
        <v>5</v>
      </c>
      <c r="B16" s="173" t="s">
        <v>114</v>
      </c>
      <c r="C16" s="174" t="s">
        <v>362</v>
      </c>
      <c r="D16" s="291">
        <v>9</v>
      </c>
      <c r="E16" s="291">
        <v>5</v>
      </c>
      <c r="F16" s="291">
        <v>2</v>
      </c>
      <c r="G16" s="291">
        <v>9</v>
      </c>
      <c r="H16" s="291">
        <v>8</v>
      </c>
      <c r="I16" s="291">
        <v>3</v>
      </c>
      <c r="J16" s="292">
        <v>1</v>
      </c>
      <c r="K16" s="222">
        <v>8047757.5</v>
      </c>
      <c r="L16" s="223">
        <v>1</v>
      </c>
      <c r="M16" s="224">
        <v>3177777</v>
      </c>
      <c r="N16" s="224">
        <v>92933.4</v>
      </c>
      <c r="O16" s="226">
        <v>1</v>
      </c>
      <c r="P16" s="226">
        <v>19</v>
      </c>
      <c r="Q16" s="226">
        <v>241</v>
      </c>
      <c r="R16" s="226">
        <v>2563</v>
      </c>
      <c r="S16" s="226">
        <v>25931</v>
      </c>
      <c r="T16" s="226">
        <v>254633</v>
      </c>
      <c r="V16" s="228"/>
      <c r="X16" s="304"/>
    </row>
    <row r="17" spans="1:24" x14ac:dyDescent="0.15">
      <c r="A17" s="178"/>
      <c r="B17" s="179" t="s">
        <v>272</v>
      </c>
      <c r="C17" s="180" t="s">
        <v>363</v>
      </c>
      <c r="D17" s="289">
        <v>9</v>
      </c>
      <c r="E17" s="289">
        <v>0</v>
      </c>
      <c r="F17" s="289">
        <v>2</v>
      </c>
      <c r="G17" s="289">
        <v>7</v>
      </c>
      <c r="H17" s="289">
        <v>5</v>
      </c>
      <c r="I17" s="289">
        <v>3</v>
      </c>
      <c r="J17" s="303">
        <v>7</v>
      </c>
      <c r="K17" s="229">
        <v>14020102.5</v>
      </c>
      <c r="L17" s="230">
        <v>1</v>
      </c>
      <c r="M17" s="229">
        <v>1077777</v>
      </c>
      <c r="N17" s="229">
        <v>11985.7</v>
      </c>
      <c r="O17" s="232">
        <v>5</v>
      </c>
      <c r="P17" s="233">
        <v>54</v>
      </c>
      <c r="Q17" s="232">
        <v>630</v>
      </c>
      <c r="R17" s="233">
        <v>6357</v>
      </c>
      <c r="S17" s="232">
        <v>60057</v>
      </c>
      <c r="T17" s="233">
        <v>622752</v>
      </c>
      <c r="V17" s="228"/>
      <c r="X17" s="304"/>
    </row>
    <row r="18" spans="1:24" x14ac:dyDescent="0.15">
      <c r="A18" s="172">
        <v>6</v>
      </c>
      <c r="B18" s="173" t="s">
        <v>115</v>
      </c>
      <c r="C18" s="174" t="s">
        <v>362</v>
      </c>
      <c r="D18" s="291">
        <v>5</v>
      </c>
      <c r="E18" s="291">
        <v>7</v>
      </c>
      <c r="F18" s="291">
        <v>7</v>
      </c>
      <c r="G18" s="291">
        <v>0</v>
      </c>
      <c r="H18" s="291">
        <v>7</v>
      </c>
      <c r="I18" s="291">
        <v>1</v>
      </c>
      <c r="J18" s="292">
        <v>2</v>
      </c>
      <c r="K18" s="222">
        <v>6053975</v>
      </c>
      <c r="L18" s="223" t="s">
        <v>23</v>
      </c>
      <c r="M18" s="224" t="s">
        <v>368</v>
      </c>
      <c r="N18" s="224">
        <v>442423.3</v>
      </c>
      <c r="O18" s="226">
        <v>1</v>
      </c>
      <c r="P18" s="227">
        <v>17</v>
      </c>
      <c r="Q18" s="226">
        <v>211</v>
      </c>
      <c r="R18" s="227">
        <v>2069</v>
      </c>
      <c r="S18" s="226">
        <v>20561</v>
      </c>
      <c r="T18" s="227">
        <v>198139</v>
      </c>
      <c r="V18" s="228"/>
      <c r="X18" s="304"/>
    </row>
    <row r="19" spans="1:24" x14ac:dyDescent="0.15">
      <c r="A19" s="178"/>
      <c r="B19" s="179" t="s">
        <v>273</v>
      </c>
      <c r="C19" s="180" t="s">
        <v>363</v>
      </c>
      <c r="D19" s="289">
        <v>2</v>
      </c>
      <c r="E19" s="289">
        <v>7</v>
      </c>
      <c r="F19" s="289">
        <v>0</v>
      </c>
      <c r="G19" s="289">
        <v>0</v>
      </c>
      <c r="H19" s="289">
        <v>5</v>
      </c>
      <c r="I19" s="289">
        <v>8</v>
      </c>
      <c r="J19" s="303">
        <v>8</v>
      </c>
      <c r="K19" s="229">
        <v>13958467.5</v>
      </c>
      <c r="L19" s="230" t="s">
        <v>23</v>
      </c>
      <c r="M19" s="229" t="s">
        <v>368</v>
      </c>
      <c r="N19" s="231">
        <v>1434870.3</v>
      </c>
      <c r="O19" s="232">
        <v>6</v>
      </c>
      <c r="P19" s="233">
        <v>47</v>
      </c>
      <c r="Q19" s="232">
        <v>508</v>
      </c>
      <c r="R19" s="233">
        <v>5858</v>
      </c>
      <c r="S19" s="232">
        <v>61070</v>
      </c>
      <c r="T19" s="233">
        <v>567928</v>
      </c>
      <c r="V19" s="228"/>
      <c r="X19" s="304"/>
    </row>
    <row r="20" spans="1:24" x14ac:dyDescent="0.15">
      <c r="A20" s="172">
        <v>7</v>
      </c>
      <c r="B20" s="173" t="s">
        <v>116</v>
      </c>
      <c r="C20" s="174" t="s">
        <v>362</v>
      </c>
      <c r="D20" s="291">
        <v>3</v>
      </c>
      <c r="E20" s="291">
        <v>6</v>
      </c>
      <c r="F20" s="291">
        <v>5</v>
      </c>
      <c r="G20" s="291">
        <v>8</v>
      </c>
      <c r="H20" s="291">
        <v>1</v>
      </c>
      <c r="I20" s="291">
        <v>0</v>
      </c>
      <c r="J20" s="292">
        <v>5</v>
      </c>
      <c r="K20" s="222">
        <v>6789167.5</v>
      </c>
      <c r="L20" s="223" t="s">
        <v>23</v>
      </c>
      <c r="M20" s="224" t="s">
        <v>368</v>
      </c>
      <c r="N20" s="225">
        <v>1917580.1</v>
      </c>
      <c r="O20" s="226">
        <v>1</v>
      </c>
      <c r="P20" s="227">
        <v>30</v>
      </c>
      <c r="Q20" s="226">
        <v>254</v>
      </c>
      <c r="R20" s="227">
        <v>2519</v>
      </c>
      <c r="S20" s="226">
        <v>23950</v>
      </c>
      <c r="T20" s="227">
        <v>295905</v>
      </c>
      <c r="V20" s="228"/>
      <c r="X20" s="304"/>
    </row>
    <row r="21" spans="1:24" x14ac:dyDescent="0.15">
      <c r="A21" s="178"/>
      <c r="B21" s="179" t="s">
        <v>274</v>
      </c>
      <c r="C21" s="180" t="s">
        <v>363</v>
      </c>
      <c r="D21" s="289">
        <v>2</v>
      </c>
      <c r="E21" s="289">
        <v>3</v>
      </c>
      <c r="F21" s="289">
        <v>6</v>
      </c>
      <c r="G21" s="289">
        <v>9</v>
      </c>
      <c r="H21" s="289">
        <v>1</v>
      </c>
      <c r="I21" s="289">
        <v>7</v>
      </c>
      <c r="J21" s="303">
        <v>0</v>
      </c>
      <c r="K21" s="229">
        <v>15232347.5</v>
      </c>
      <c r="L21" s="230" t="s">
        <v>23</v>
      </c>
      <c r="M21" s="229" t="s">
        <v>368</v>
      </c>
      <c r="N21" s="231">
        <v>3000600</v>
      </c>
      <c r="O21" s="232">
        <v>5</v>
      </c>
      <c r="P21" s="233">
        <v>47</v>
      </c>
      <c r="Q21" s="232">
        <v>389</v>
      </c>
      <c r="R21" s="233">
        <v>4008</v>
      </c>
      <c r="S21" s="232">
        <v>40091</v>
      </c>
      <c r="T21" s="233">
        <v>402509</v>
      </c>
      <c r="U21" s="240"/>
      <c r="V21" s="228"/>
      <c r="X21" s="304"/>
    </row>
    <row r="22" spans="1:24" x14ac:dyDescent="0.15">
      <c r="A22" s="172">
        <v>8</v>
      </c>
      <c r="B22" s="173" t="s">
        <v>117</v>
      </c>
      <c r="C22" s="174" t="s">
        <v>362</v>
      </c>
      <c r="D22" s="291">
        <v>3</v>
      </c>
      <c r="E22" s="291">
        <v>5</v>
      </c>
      <c r="F22" s="291">
        <v>8</v>
      </c>
      <c r="G22" s="291">
        <v>5</v>
      </c>
      <c r="H22" s="291">
        <v>9</v>
      </c>
      <c r="I22" s="291">
        <v>4</v>
      </c>
      <c r="J22" s="292">
        <v>1</v>
      </c>
      <c r="K22" s="222">
        <v>7014010</v>
      </c>
      <c r="L22" s="223" t="s">
        <v>23</v>
      </c>
      <c r="M22" s="224" t="s">
        <v>368</v>
      </c>
      <c r="N22" s="225">
        <v>3499296.1</v>
      </c>
      <c r="O22" s="226">
        <v>3</v>
      </c>
      <c r="P22" s="227">
        <v>29</v>
      </c>
      <c r="Q22" s="226">
        <v>215</v>
      </c>
      <c r="R22" s="227">
        <v>2109</v>
      </c>
      <c r="S22" s="226">
        <v>21388</v>
      </c>
      <c r="T22" s="227">
        <v>222560</v>
      </c>
      <c r="V22" s="228"/>
      <c r="X22" s="304"/>
    </row>
    <row r="23" spans="1:24" x14ac:dyDescent="0.15">
      <c r="A23" s="178"/>
      <c r="B23" s="179" t="s">
        <v>275</v>
      </c>
      <c r="C23" s="180" t="s">
        <v>363</v>
      </c>
      <c r="D23" s="289">
        <v>5</v>
      </c>
      <c r="E23" s="289">
        <v>3</v>
      </c>
      <c r="F23" s="289">
        <v>6</v>
      </c>
      <c r="G23" s="289">
        <v>4</v>
      </c>
      <c r="H23" s="289">
        <v>2</v>
      </c>
      <c r="I23" s="289">
        <v>9</v>
      </c>
      <c r="J23" s="303">
        <v>7</v>
      </c>
      <c r="K23" s="229">
        <v>15317720</v>
      </c>
      <c r="L23" s="230">
        <v>3</v>
      </c>
      <c r="M23" s="229">
        <v>1477777</v>
      </c>
      <c r="N23" s="231">
        <v>155055</v>
      </c>
      <c r="O23" s="232">
        <v>5</v>
      </c>
      <c r="P23" s="233">
        <v>62</v>
      </c>
      <c r="Q23" s="232">
        <v>638</v>
      </c>
      <c r="R23" s="233">
        <v>6366</v>
      </c>
      <c r="S23" s="232">
        <v>61772</v>
      </c>
      <c r="T23" s="233">
        <v>682133</v>
      </c>
      <c r="V23" s="228"/>
      <c r="X23" s="304"/>
    </row>
    <row r="24" spans="1:24" x14ac:dyDescent="0.15">
      <c r="A24" s="172">
        <v>9</v>
      </c>
      <c r="B24" s="173" t="s">
        <v>118</v>
      </c>
      <c r="C24" s="174" t="s">
        <v>362</v>
      </c>
      <c r="D24" s="291">
        <v>1</v>
      </c>
      <c r="E24" s="291">
        <v>6</v>
      </c>
      <c r="F24" s="291">
        <v>4</v>
      </c>
      <c r="G24" s="291">
        <v>3</v>
      </c>
      <c r="H24" s="291">
        <v>5</v>
      </c>
      <c r="I24" s="291">
        <v>8</v>
      </c>
      <c r="J24" s="292">
        <v>6</v>
      </c>
      <c r="K24" s="222">
        <v>7523645</v>
      </c>
      <c r="L24" s="223" t="s">
        <v>23</v>
      </c>
      <c r="M24" s="224" t="s">
        <v>368</v>
      </c>
      <c r="N24" s="225">
        <v>689986.2</v>
      </c>
      <c r="O24" s="226">
        <v>2</v>
      </c>
      <c r="P24" s="227">
        <v>23</v>
      </c>
      <c r="Q24" s="226">
        <v>285</v>
      </c>
      <c r="R24" s="227">
        <v>2735</v>
      </c>
      <c r="S24" s="226">
        <v>26595</v>
      </c>
      <c r="T24" s="227">
        <v>274716</v>
      </c>
      <c r="V24" s="228"/>
      <c r="X24" s="304"/>
    </row>
    <row r="25" spans="1:24" x14ac:dyDescent="0.15">
      <c r="A25" s="178"/>
      <c r="B25" s="179" t="s">
        <v>276</v>
      </c>
      <c r="C25" s="180" t="s">
        <v>363</v>
      </c>
      <c r="D25" s="289">
        <v>0</v>
      </c>
      <c r="E25" s="289">
        <v>8</v>
      </c>
      <c r="F25" s="289">
        <v>7</v>
      </c>
      <c r="G25" s="289">
        <v>1</v>
      </c>
      <c r="H25" s="289">
        <v>2</v>
      </c>
      <c r="I25" s="289">
        <v>0</v>
      </c>
      <c r="J25" s="303">
        <v>1</v>
      </c>
      <c r="K25" s="229">
        <v>16218140</v>
      </c>
      <c r="L25" s="230" t="s">
        <v>23</v>
      </c>
      <c r="M25" s="229" t="s">
        <v>368</v>
      </c>
      <c r="N25" s="231">
        <v>1843096</v>
      </c>
      <c r="O25" s="232">
        <v>6</v>
      </c>
      <c r="P25" s="233">
        <v>44</v>
      </c>
      <c r="Q25" s="232">
        <v>406</v>
      </c>
      <c r="R25" s="233">
        <v>4545</v>
      </c>
      <c r="S25" s="232">
        <v>46448</v>
      </c>
      <c r="T25" s="233">
        <v>508677</v>
      </c>
      <c r="V25" s="228"/>
      <c r="X25" s="304"/>
    </row>
    <row r="26" spans="1:24" x14ac:dyDescent="0.15">
      <c r="A26" s="172">
        <v>10</v>
      </c>
      <c r="B26" s="173" t="s">
        <v>119</v>
      </c>
      <c r="C26" s="174" t="s">
        <v>362</v>
      </c>
      <c r="D26" s="291">
        <v>3</v>
      </c>
      <c r="E26" s="291">
        <v>7</v>
      </c>
      <c r="F26" s="291">
        <v>8</v>
      </c>
      <c r="G26" s="291">
        <v>6</v>
      </c>
      <c r="H26" s="291">
        <v>7</v>
      </c>
      <c r="I26" s="291">
        <v>3</v>
      </c>
      <c r="J26" s="292">
        <v>1</v>
      </c>
      <c r="K26" s="222">
        <v>5977775</v>
      </c>
      <c r="L26" s="223" t="s">
        <v>23</v>
      </c>
      <c r="M26" s="224" t="s">
        <v>368</v>
      </c>
      <c r="N26" s="225">
        <v>2268115.7999999998</v>
      </c>
      <c r="O26" s="226">
        <v>3</v>
      </c>
      <c r="P26" s="227">
        <v>23</v>
      </c>
      <c r="Q26" s="226">
        <v>203</v>
      </c>
      <c r="R26" s="227">
        <v>2040</v>
      </c>
      <c r="S26" s="226">
        <v>19797</v>
      </c>
      <c r="T26" s="227">
        <v>191893</v>
      </c>
      <c r="V26" s="228"/>
      <c r="X26" s="304"/>
    </row>
    <row r="27" spans="1:24" x14ac:dyDescent="0.15">
      <c r="A27" s="178"/>
      <c r="B27" s="179" t="s">
        <v>277</v>
      </c>
      <c r="C27" s="180" t="s">
        <v>363</v>
      </c>
      <c r="D27" s="289">
        <v>1</v>
      </c>
      <c r="E27" s="289">
        <v>1</v>
      </c>
      <c r="F27" s="289">
        <v>7</v>
      </c>
      <c r="G27" s="289">
        <v>2</v>
      </c>
      <c r="H27" s="289">
        <v>5</v>
      </c>
      <c r="I27" s="289">
        <v>5</v>
      </c>
      <c r="J27" s="303">
        <v>8</v>
      </c>
      <c r="K27" s="229">
        <v>13807247.5</v>
      </c>
      <c r="L27" s="230" t="s">
        <v>23</v>
      </c>
      <c r="M27" s="229" t="s">
        <v>368</v>
      </c>
      <c r="N27" s="231">
        <v>3249811.1</v>
      </c>
      <c r="O27" s="232">
        <v>11</v>
      </c>
      <c r="P27" s="233">
        <v>60</v>
      </c>
      <c r="Q27" s="232">
        <v>576</v>
      </c>
      <c r="R27" s="233">
        <v>6175</v>
      </c>
      <c r="S27" s="232">
        <v>62037</v>
      </c>
      <c r="T27" s="233">
        <v>566097</v>
      </c>
      <c r="V27" s="228"/>
      <c r="X27" s="304"/>
    </row>
    <row r="28" spans="1:24" x14ac:dyDescent="0.15">
      <c r="A28" s="172">
        <v>11</v>
      </c>
      <c r="B28" s="173" t="s">
        <v>120</v>
      </c>
      <c r="C28" s="174" t="s">
        <v>362</v>
      </c>
      <c r="D28" s="291">
        <v>3</v>
      </c>
      <c r="E28" s="291">
        <v>0</v>
      </c>
      <c r="F28" s="291">
        <v>3</v>
      </c>
      <c r="G28" s="291">
        <v>5</v>
      </c>
      <c r="H28" s="291">
        <v>6</v>
      </c>
      <c r="I28" s="291">
        <v>1</v>
      </c>
      <c r="J28" s="292">
        <v>2</v>
      </c>
      <c r="K28" s="222">
        <v>5997537.5</v>
      </c>
      <c r="L28" s="223" t="s">
        <v>23</v>
      </c>
      <c r="M28" s="224" t="s">
        <v>368</v>
      </c>
      <c r="N28" s="225">
        <v>3676236</v>
      </c>
      <c r="O28" s="226" t="s">
        <v>17</v>
      </c>
      <c r="P28" s="227">
        <v>21</v>
      </c>
      <c r="Q28" s="226">
        <v>203</v>
      </c>
      <c r="R28" s="227">
        <v>2031</v>
      </c>
      <c r="S28" s="226">
        <v>20744</v>
      </c>
      <c r="T28" s="227">
        <v>195797</v>
      </c>
      <c r="V28" s="228"/>
      <c r="X28" s="304"/>
    </row>
    <row r="29" spans="1:24" x14ac:dyDescent="0.15">
      <c r="A29" s="178"/>
      <c r="B29" s="179" t="s">
        <v>278</v>
      </c>
      <c r="C29" s="180" t="s">
        <v>363</v>
      </c>
      <c r="D29" s="289">
        <v>1</v>
      </c>
      <c r="E29" s="289">
        <v>2</v>
      </c>
      <c r="F29" s="289">
        <v>9</v>
      </c>
      <c r="G29" s="289">
        <v>4</v>
      </c>
      <c r="H29" s="289">
        <v>5</v>
      </c>
      <c r="I29" s="289">
        <v>8</v>
      </c>
      <c r="J29" s="303">
        <v>4</v>
      </c>
      <c r="K29" s="229">
        <v>14034212.5</v>
      </c>
      <c r="L29" s="230" t="s">
        <v>23</v>
      </c>
      <c r="M29" s="229" t="s">
        <v>368</v>
      </c>
      <c r="N29" s="231">
        <v>4674068.5</v>
      </c>
      <c r="O29" s="232">
        <v>5</v>
      </c>
      <c r="P29" s="233">
        <v>54</v>
      </c>
      <c r="Q29" s="232">
        <v>545</v>
      </c>
      <c r="R29" s="233">
        <v>4929</v>
      </c>
      <c r="S29" s="232">
        <v>49012</v>
      </c>
      <c r="T29" s="233">
        <v>478443</v>
      </c>
      <c r="V29" s="228"/>
      <c r="X29" s="304"/>
    </row>
    <row r="30" spans="1:24" x14ac:dyDescent="0.15">
      <c r="A30" s="172">
        <v>12</v>
      </c>
      <c r="B30" s="173" t="s">
        <v>121</v>
      </c>
      <c r="C30" s="174" t="s">
        <v>362</v>
      </c>
      <c r="D30" s="291">
        <v>1</v>
      </c>
      <c r="E30" s="291">
        <v>4</v>
      </c>
      <c r="F30" s="291">
        <v>2</v>
      </c>
      <c r="G30" s="291">
        <v>0</v>
      </c>
      <c r="H30" s="291">
        <v>0</v>
      </c>
      <c r="I30" s="291">
        <v>0</v>
      </c>
      <c r="J30" s="292">
        <v>0</v>
      </c>
      <c r="K30" s="222">
        <v>6421787.5</v>
      </c>
      <c r="L30" s="223" t="s">
        <v>23</v>
      </c>
      <c r="M30" s="224" t="s">
        <v>368</v>
      </c>
      <c r="N30" s="225">
        <v>5130657.5999999996</v>
      </c>
      <c r="O30" s="226">
        <v>3</v>
      </c>
      <c r="P30" s="227">
        <v>47</v>
      </c>
      <c r="Q30" s="226">
        <v>460</v>
      </c>
      <c r="R30" s="227">
        <v>2710</v>
      </c>
      <c r="S30" s="226">
        <v>18790</v>
      </c>
      <c r="T30" s="227">
        <v>169211</v>
      </c>
      <c r="V30" s="228"/>
      <c r="X30" s="304"/>
    </row>
    <row r="31" spans="1:24" x14ac:dyDescent="0.15">
      <c r="A31" s="178"/>
      <c r="B31" s="179" t="s">
        <v>279</v>
      </c>
      <c r="C31" s="180" t="s">
        <v>363</v>
      </c>
      <c r="D31" s="289">
        <v>9</v>
      </c>
      <c r="E31" s="289">
        <v>0</v>
      </c>
      <c r="F31" s="289">
        <v>1</v>
      </c>
      <c r="G31" s="289">
        <v>9</v>
      </c>
      <c r="H31" s="289">
        <v>3</v>
      </c>
      <c r="I31" s="289">
        <v>9</v>
      </c>
      <c r="J31" s="303">
        <v>7</v>
      </c>
      <c r="K31" s="229">
        <v>13588720</v>
      </c>
      <c r="L31" s="230">
        <v>1</v>
      </c>
      <c r="M31" s="229">
        <v>6077777</v>
      </c>
      <c r="N31" s="231">
        <v>19038.599999999999</v>
      </c>
      <c r="O31" s="232">
        <v>2</v>
      </c>
      <c r="P31" s="233">
        <v>51</v>
      </c>
      <c r="Q31" s="232">
        <v>577</v>
      </c>
      <c r="R31" s="233">
        <v>5622</v>
      </c>
      <c r="S31" s="232">
        <v>55362</v>
      </c>
      <c r="T31" s="233">
        <v>609553</v>
      </c>
      <c r="V31" s="228"/>
      <c r="X31" s="304"/>
    </row>
    <row r="32" spans="1:24" x14ac:dyDescent="0.15">
      <c r="A32" s="172">
        <v>13</v>
      </c>
      <c r="B32" s="173" t="s">
        <v>122</v>
      </c>
      <c r="C32" s="174" t="s">
        <v>362</v>
      </c>
      <c r="D32" s="291">
        <v>6</v>
      </c>
      <c r="E32" s="291">
        <v>3</v>
      </c>
      <c r="F32" s="291">
        <v>6</v>
      </c>
      <c r="G32" s="291">
        <v>5</v>
      </c>
      <c r="H32" s="291">
        <v>8</v>
      </c>
      <c r="I32" s="291">
        <v>5</v>
      </c>
      <c r="J32" s="292">
        <v>3</v>
      </c>
      <c r="K32" s="222">
        <v>5508015</v>
      </c>
      <c r="L32" s="223">
        <v>2</v>
      </c>
      <c r="M32" s="224">
        <v>177777</v>
      </c>
      <c r="N32" s="225">
        <v>55104.5</v>
      </c>
      <c r="O32" s="226">
        <v>1</v>
      </c>
      <c r="P32" s="227">
        <v>19</v>
      </c>
      <c r="Q32" s="226">
        <v>242</v>
      </c>
      <c r="R32" s="227">
        <v>2381</v>
      </c>
      <c r="S32" s="226">
        <v>22235</v>
      </c>
      <c r="T32" s="227">
        <v>212256</v>
      </c>
      <c r="V32" s="228"/>
      <c r="X32" s="304"/>
    </row>
    <row r="33" spans="1:24" x14ac:dyDescent="0.15">
      <c r="A33" s="178"/>
      <c r="B33" s="179" t="s">
        <v>280</v>
      </c>
      <c r="C33" s="180" t="s">
        <v>363</v>
      </c>
      <c r="D33" s="289">
        <v>7</v>
      </c>
      <c r="E33" s="289">
        <v>7</v>
      </c>
      <c r="F33" s="289">
        <v>9</v>
      </c>
      <c r="G33" s="289">
        <v>6</v>
      </c>
      <c r="H33" s="289">
        <v>1</v>
      </c>
      <c r="I33" s="289">
        <v>8</v>
      </c>
      <c r="J33" s="303">
        <v>3</v>
      </c>
      <c r="K33" s="229">
        <v>13537110</v>
      </c>
      <c r="L33" s="230" t="s">
        <v>23</v>
      </c>
      <c r="M33" s="229" t="s">
        <v>368</v>
      </c>
      <c r="N33" s="231">
        <v>1017593</v>
      </c>
      <c r="O33" s="232">
        <v>1</v>
      </c>
      <c r="P33" s="233">
        <v>43</v>
      </c>
      <c r="Q33" s="232">
        <v>453</v>
      </c>
      <c r="R33" s="233">
        <v>4885</v>
      </c>
      <c r="S33" s="232">
        <v>48743</v>
      </c>
      <c r="T33" s="233">
        <v>495288</v>
      </c>
      <c r="U33" s="240"/>
      <c r="V33" s="228"/>
      <c r="X33" s="304"/>
    </row>
    <row r="34" spans="1:24" x14ac:dyDescent="0.15">
      <c r="A34" s="172">
        <v>14</v>
      </c>
      <c r="B34" s="173" t="s">
        <v>123</v>
      </c>
      <c r="C34" s="174" t="s">
        <v>362</v>
      </c>
      <c r="D34" s="291">
        <v>2</v>
      </c>
      <c r="E34" s="291">
        <v>5</v>
      </c>
      <c r="F34" s="291">
        <v>0</v>
      </c>
      <c r="G34" s="291">
        <v>8</v>
      </c>
      <c r="H34" s="291">
        <v>7</v>
      </c>
      <c r="I34" s="291">
        <v>6</v>
      </c>
      <c r="J34" s="292">
        <v>7</v>
      </c>
      <c r="K34" s="222">
        <v>5784002.5</v>
      </c>
      <c r="L34" s="223" t="s">
        <v>23</v>
      </c>
      <c r="M34" s="224" t="s">
        <v>368</v>
      </c>
      <c r="N34" s="225">
        <v>1428835.6</v>
      </c>
      <c r="O34" s="226">
        <v>2</v>
      </c>
      <c r="P34" s="227">
        <v>26</v>
      </c>
      <c r="Q34" s="226">
        <v>254</v>
      </c>
      <c r="R34" s="227">
        <v>2521</v>
      </c>
      <c r="S34" s="226">
        <v>24789</v>
      </c>
      <c r="T34" s="227">
        <v>257798</v>
      </c>
      <c r="V34" s="228"/>
      <c r="X34" s="304"/>
    </row>
    <row r="35" spans="1:24" x14ac:dyDescent="0.15">
      <c r="A35" s="178"/>
      <c r="B35" s="179" t="s">
        <v>281</v>
      </c>
      <c r="C35" s="180" t="s">
        <v>363</v>
      </c>
      <c r="D35" s="289">
        <v>8</v>
      </c>
      <c r="E35" s="289">
        <v>0</v>
      </c>
      <c r="F35" s="289">
        <v>0</v>
      </c>
      <c r="G35" s="289">
        <v>6</v>
      </c>
      <c r="H35" s="289">
        <v>0</v>
      </c>
      <c r="I35" s="289">
        <v>7</v>
      </c>
      <c r="J35" s="303">
        <v>7</v>
      </c>
      <c r="K35" s="229">
        <v>13462770</v>
      </c>
      <c r="L35" s="230" t="s">
        <v>23</v>
      </c>
      <c r="M35" s="229" t="s">
        <v>368</v>
      </c>
      <c r="N35" s="231">
        <v>2386038.5</v>
      </c>
      <c r="O35" s="232">
        <v>5</v>
      </c>
      <c r="P35" s="233">
        <v>61</v>
      </c>
      <c r="Q35" s="232">
        <v>637</v>
      </c>
      <c r="R35" s="233">
        <v>6460</v>
      </c>
      <c r="S35" s="232">
        <v>72549</v>
      </c>
      <c r="T35" s="233">
        <v>589416</v>
      </c>
      <c r="V35" s="228"/>
      <c r="X35" s="304"/>
    </row>
    <row r="36" spans="1:24" x14ac:dyDescent="0.15">
      <c r="A36" s="172">
        <v>15</v>
      </c>
      <c r="B36" s="173" t="s">
        <v>124</v>
      </c>
      <c r="C36" s="174" t="s">
        <v>362</v>
      </c>
      <c r="D36" s="291">
        <v>0</v>
      </c>
      <c r="E36" s="291">
        <v>2</v>
      </c>
      <c r="F36" s="291">
        <v>7</v>
      </c>
      <c r="G36" s="291">
        <v>7</v>
      </c>
      <c r="H36" s="291">
        <v>1</v>
      </c>
      <c r="I36" s="291">
        <v>8</v>
      </c>
      <c r="J36" s="292">
        <v>3</v>
      </c>
      <c r="K36" s="222">
        <v>5453097.5</v>
      </c>
      <c r="L36" s="234" t="s">
        <v>23</v>
      </c>
      <c r="M36" s="224" t="s">
        <v>368</v>
      </c>
      <c r="N36" s="225">
        <v>2773753.7</v>
      </c>
      <c r="O36" s="226" t="s">
        <v>17</v>
      </c>
      <c r="P36" s="227">
        <v>21</v>
      </c>
      <c r="Q36" s="226">
        <v>194</v>
      </c>
      <c r="R36" s="227">
        <v>2134</v>
      </c>
      <c r="S36" s="226">
        <v>21189</v>
      </c>
      <c r="T36" s="227">
        <v>214766</v>
      </c>
      <c r="V36" s="228"/>
      <c r="X36" s="304"/>
    </row>
    <row r="37" spans="1:24" x14ac:dyDescent="0.15">
      <c r="A37" s="178"/>
      <c r="B37" s="179" t="s">
        <v>282</v>
      </c>
      <c r="C37" s="180" t="s">
        <v>363</v>
      </c>
      <c r="D37" s="289">
        <v>9</v>
      </c>
      <c r="E37" s="289">
        <v>0</v>
      </c>
      <c r="F37" s="289">
        <v>5</v>
      </c>
      <c r="G37" s="289">
        <v>0</v>
      </c>
      <c r="H37" s="289">
        <v>2</v>
      </c>
      <c r="I37" s="289">
        <v>1</v>
      </c>
      <c r="J37" s="303">
        <v>1</v>
      </c>
      <c r="K37" s="229">
        <v>13111827.5</v>
      </c>
      <c r="L37" s="230" t="s">
        <v>23</v>
      </c>
      <c r="M37" s="229" t="s">
        <v>368</v>
      </c>
      <c r="N37" s="231">
        <v>3706004.6</v>
      </c>
      <c r="O37" s="232">
        <v>3</v>
      </c>
      <c r="P37" s="233">
        <v>31</v>
      </c>
      <c r="Q37" s="232">
        <v>376</v>
      </c>
      <c r="R37" s="233">
        <v>4058</v>
      </c>
      <c r="S37" s="232">
        <v>41562</v>
      </c>
      <c r="T37" s="233">
        <v>402499</v>
      </c>
      <c r="V37" s="228"/>
      <c r="X37" s="304"/>
    </row>
    <row r="38" spans="1:24" x14ac:dyDescent="0.15">
      <c r="A38" s="172">
        <v>16</v>
      </c>
      <c r="B38" s="173" t="s">
        <v>125</v>
      </c>
      <c r="C38" s="174" t="s">
        <v>362</v>
      </c>
      <c r="D38" s="291">
        <v>1</v>
      </c>
      <c r="E38" s="291">
        <v>1</v>
      </c>
      <c r="F38" s="291">
        <v>5</v>
      </c>
      <c r="G38" s="291">
        <v>0</v>
      </c>
      <c r="H38" s="291">
        <v>9</v>
      </c>
      <c r="I38" s="291">
        <v>1</v>
      </c>
      <c r="J38" s="292">
        <v>3</v>
      </c>
      <c r="K38" s="222">
        <v>5456925</v>
      </c>
      <c r="L38" s="234" t="s">
        <v>23</v>
      </c>
      <c r="M38" s="224" t="s">
        <v>368</v>
      </c>
      <c r="N38" s="225">
        <v>4093992</v>
      </c>
      <c r="O38" s="226">
        <v>2</v>
      </c>
      <c r="P38" s="227">
        <v>26</v>
      </c>
      <c r="Q38" s="226">
        <v>270</v>
      </c>
      <c r="R38" s="227">
        <v>2652</v>
      </c>
      <c r="S38" s="226">
        <v>25735</v>
      </c>
      <c r="T38" s="227">
        <v>211791</v>
      </c>
      <c r="V38" s="228"/>
      <c r="X38" s="304"/>
    </row>
    <row r="39" spans="1:24" x14ac:dyDescent="0.15">
      <c r="A39" s="178"/>
      <c r="B39" s="179" t="s">
        <v>283</v>
      </c>
      <c r="C39" s="180" t="s">
        <v>363</v>
      </c>
      <c r="D39" s="289">
        <v>6</v>
      </c>
      <c r="E39" s="289">
        <v>8</v>
      </c>
      <c r="F39" s="289">
        <v>8</v>
      </c>
      <c r="G39" s="289">
        <v>0</v>
      </c>
      <c r="H39" s="289">
        <v>5</v>
      </c>
      <c r="I39" s="289">
        <v>8</v>
      </c>
      <c r="J39" s="303">
        <v>5</v>
      </c>
      <c r="K39" s="229">
        <v>13104955</v>
      </c>
      <c r="L39" s="230" t="s">
        <v>23</v>
      </c>
      <c r="M39" s="229" t="s">
        <v>368</v>
      </c>
      <c r="N39" s="231">
        <v>5025754.3</v>
      </c>
      <c r="O39" s="232">
        <v>5</v>
      </c>
      <c r="P39" s="233">
        <v>65</v>
      </c>
      <c r="Q39" s="232">
        <v>554</v>
      </c>
      <c r="R39" s="233">
        <v>5736</v>
      </c>
      <c r="S39" s="232">
        <v>56048</v>
      </c>
      <c r="T39" s="233">
        <v>573536</v>
      </c>
      <c r="V39" s="228"/>
      <c r="X39" s="304"/>
    </row>
    <row r="40" spans="1:24" x14ac:dyDescent="0.15">
      <c r="A40" s="172">
        <v>17</v>
      </c>
      <c r="B40" s="173" t="s">
        <v>126</v>
      </c>
      <c r="C40" s="174" t="s">
        <v>362</v>
      </c>
      <c r="D40" s="291">
        <v>7</v>
      </c>
      <c r="E40" s="291">
        <v>0</v>
      </c>
      <c r="F40" s="291">
        <v>9</v>
      </c>
      <c r="G40" s="291">
        <v>7</v>
      </c>
      <c r="H40" s="291">
        <v>1</v>
      </c>
      <c r="I40" s="291">
        <v>1</v>
      </c>
      <c r="J40" s="292">
        <v>4</v>
      </c>
      <c r="K40" s="222">
        <v>5194077.5</v>
      </c>
      <c r="L40" s="223" t="s">
        <v>23</v>
      </c>
      <c r="M40" s="224" t="s">
        <v>368</v>
      </c>
      <c r="N40" s="225">
        <v>5395053.2000000002</v>
      </c>
      <c r="O40" s="226">
        <v>2</v>
      </c>
      <c r="P40" s="227">
        <v>20</v>
      </c>
      <c r="Q40" s="226">
        <v>174</v>
      </c>
      <c r="R40" s="227">
        <v>1769</v>
      </c>
      <c r="S40" s="226">
        <v>18400</v>
      </c>
      <c r="T40" s="227">
        <v>177313</v>
      </c>
      <c r="V40" s="228"/>
      <c r="X40" s="304"/>
    </row>
    <row r="41" spans="1:24" x14ac:dyDescent="0.15">
      <c r="A41" s="178"/>
      <c r="B41" s="179" t="s">
        <v>284</v>
      </c>
      <c r="C41" s="180" t="s">
        <v>363</v>
      </c>
      <c r="D41" s="289">
        <v>6</v>
      </c>
      <c r="E41" s="289">
        <v>2</v>
      </c>
      <c r="F41" s="289">
        <v>1</v>
      </c>
      <c r="G41" s="289">
        <v>5</v>
      </c>
      <c r="H41" s="289">
        <v>2</v>
      </c>
      <c r="I41" s="289">
        <v>0</v>
      </c>
      <c r="J41" s="303">
        <v>3</v>
      </c>
      <c r="K41" s="229">
        <v>12799955</v>
      </c>
      <c r="L41" s="230" t="s">
        <v>23</v>
      </c>
      <c r="M41" s="229" t="s">
        <v>368</v>
      </c>
      <c r="N41" s="231">
        <v>6305130</v>
      </c>
      <c r="O41" s="232">
        <v>4</v>
      </c>
      <c r="P41" s="233">
        <v>47</v>
      </c>
      <c r="Q41" s="232">
        <v>387</v>
      </c>
      <c r="R41" s="233">
        <v>3902</v>
      </c>
      <c r="S41" s="232">
        <v>38906</v>
      </c>
      <c r="T41" s="233">
        <v>483850</v>
      </c>
      <c r="V41" s="228"/>
      <c r="X41" s="304"/>
    </row>
    <row r="42" spans="1:24" x14ac:dyDescent="0.15">
      <c r="A42" s="172">
        <v>18</v>
      </c>
      <c r="B42" s="173" t="s">
        <v>127</v>
      </c>
      <c r="C42" s="174" t="s">
        <v>362</v>
      </c>
      <c r="D42" s="291">
        <v>1</v>
      </c>
      <c r="E42" s="291">
        <v>8</v>
      </c>
      <c r="F42" s="291">
        <v>0</v>
      </c>
      <c r="G42" s="291">
        <v>4</v>
      </c>
      <c r="H42" s="291">
        <v>0</v>
      </c>
      <c r="I42" s="291">
        <v>6</v>
      </c>
      <c r="J42" s="292">
        <v>1</v>
      </c>
      <c r="K42" s="222">
        <v>5793027.5</v>
      </c>
      <c r="L42" s="234" t="s">
        <v>23</v>
      </c>
      <c r="M42" s="224" t="s">
        <v>368</v>
      </c>
      <c r="N42" s="225">
        <v>6717014.2999999998</v>
      </c>
      <c r="O42" s="226" t="s">
        <v>17</v>
      </c>
      <c r="P42" s="227">
        <v>17</v>
      </c>
      <c r="Q42" s="226">
        <v>195</v>
      </c>
      <c r="R42" s="227">
        <v>1690</v>
      </c>
      <c r="S42" s="226">
        <v>19134</v>
      </c>
      <c r="T42" s="227">
        <v>182343</v>
      </c>
      <c r="V42" s="228"/>
      <c r="X42" s="304"/>
    </row>
    <row r="43" spans="1:24" x14ac:dyDescent="0.15">
      <c r="A43" s="178"/>
      <c r="B43" s="179" t="s">
        <v>285</v>
      </c>
      <c r="C43" s="180" t="s">
        <v>363</v>
      </c>
      <c r="D43" s="289">
        <v>2</v>
      </c>
      <c r="E43" s="289">
        <v>9</v>
      </c>
      <c r="F43" s="289">
        <v>1</v>
      </c>
      <c r="G43" s="289">
        <v>1</v>
      </c>
      <c r="H43" s="289">
        <v>5</v>
      </c>
      <c r="I43" s="289">
        <v>1</v>
      </c>
      <c r="J43" s="303">
        <v>8</v>
      </c>
      <c r="K43" s="229">
        <v>13057262.5</v>
      </c>
      <c r="L43" s="237">
        <v>1</v>
      </c>
      <c r="M43" s="229">
        <v>7577777</v>
      </c>
      <c r="N43" s="231">
        <v>67608.7</v>
      </c>
      <c r="O43" s="232">
        <v>6</v>
      </c>
      <c r="P43" s="233">
        <v>57</v>
      </c>
      <c r="Q43" s="232">
        <v>530</v>
      </c>
      <c r="R43" s="233">
        <v>5253</v>
      </c>
      <c r="S43" s="232">
        <v>51603</v>
      </c>
      <c r="T43" s="233">
        <v>540855</v>
      </c>
      <c r="V43" s="228"/>
      <c r="X43" s="304"/>
    </row>
    <row r="44" spans="1:24" x14ac:dyDescent="0.15">
      <c r="A44" s="172">
        <v>19</v>
      </c>
      <c r="B44" s="173" t="s">
        <v>128</v>
      </c>
      <c r="C44" s="174" t="s">
        <v>362</v>
      </c>
      <c r="D44" s="291">
        <v>0</v>
      </c>
      <c r="E44" s="291">
        <v>5</v>
      </c>
      <c r="F44" s="291">
        <v>8</v>
      </c>
      <c r="G44" s="291">
        <v>0</v>
      </c>
      <c r="H44" s="291">
        <v>6</v>
      </c>
      <c r="I44" s="291">
        <v>6</v>
      </c>
      <c r="J44" s="292">
        <v>4</v>
      </c>
      <c r="K44" s="222">
        <v>5461677.5</v>
      </c>
      <c r="L44" s="234" t="s">
        <v>23</v>
      </c>
      <c r="M44" s="224" t="s">
        <v>368</v>
      </c>
      <c r="N44" s="225">
        <v>455934</v>
      </c>
      <c r="O44" s="226" t="s">
        <v>17</v>
      </c>
      <c r="P44" s="227">
        <v>23</v>
      </c>
      <c r="Q44" s="226">
        <v>184</v>
      </c>
      <c r="R44" s="227">
        <v>1851</v>
      </c>
      <c r="S44" s="226">
        <v>20084</v>
      </c>
      <c r="T44" s="227">
        <v>186629</v>
      </c>
      <c r="V44" s="228"/>
      <c r="X44" s="304"/>
    </row>
    <row r="45" spans="1:24" x14ac:dyDescent="0.15">
      <c r="A45" s="178"/>
      <c r="B45" s="179" t="s">
        <v>286</v>
      </c>
      <c r="C45" s="180" t="s">
        <v>363</v>
      </c>
      <c r="D45" s="289">
        <v>9</v>
      </c>
      <c r="E45" s="289">
        <v>6</v>
      </c>
      <c r="F45" s="289">
        <v>0</v>
      </c>
      <c r="G45" s="289">
        <v>5</v>
      </c>
      <c r="H45" s="289">
        <v>8</v>
      </c>
      <c r="I45" s="289">
        <v>3</v>
      </c>
      <c r="J45" s="303">
        <v>8</v>
      </c>
      <c r="K45" s="229">
        <v>13202187.5</v>
      </c>
      <c r="L45" s="237">
        <v>1</v>
      </c>
      <c r="M45" s="229">
        <v>1377777</v>
      </c>
      <c r="N45" s="285">
        <v>16832.5</v>
      </c>
      <c r="O45" s="232">
        <v>6</v>
      </c>
      <c r="P45" s="233">
        <v>46</v>
      </c>
      <c r="Q45" s="232">
        <v>556</v>
      </c>
      <c r="R45" s="233">
        <v>5653</v>
      </c>
      <c r="S45" s="232">
        <v>54964</v>
      </c>
      <c r="T45" s="233">
        <v>546755</v>
      </c>
      <c r="V45" s="228"/>
      <c r="X45" s="304"/>
    </row>
    <row r="46" spans="1:24" x14ac:dyDescent="0.15">
      <c r="A46" s="172">
        <v>20</v>
      </c>
      <c r="B46" s="173" t="s">
        <v>129</v>
      </c>
      <c r="C46" s="174" t="s">
        <v>362</v>
      </c>
      <c r="D46" s="291">
        <v>0</v>
      </c>
      <c r="E46" s="291">
        <v>5</v>
      </c>
      <c r="F46" s="291">
        <v>3</v>
      </c>
      <c r="G46" s="291">
        <v>8</v>
      </c>
      <c r="H46" s="291">
        <v>1</v>
      </c>
      <c r="I46" s="291">
        <v>4</v>
      </c>
      <c r="J46" s="292">
        <v>6</v>
      </c>
      <c r="K46" s="222">
        <v>5720062.5</v>
      </c>
      <c r="L46" s="234" t="s">
        <v>23</v>
      </c>
      <c r="M46" s="222" t="s">
        <v>368</v>
      </c>
      <c r="N46" s="225">
        <v>423528.9</v>
      </c>
      <c r="O46" s="226">
        <v>3</v>
      </c>
      <c r="P46" s="227">
        <v>24</v>
      </c>
      <c r="Q46" s="226">
        <v>196</v>
      </c>
      <c r="R46" s="227">
        <v>2171</v>
      </c>
      <c r="S46" s="226">
        <v>21005</v>
      </c>
      <c r="T46" s="227">
        <v>202934</v>
      </c>
      <c r="V46" s="228"/>
      <c r="X46" s="304"/>
    </row>
    <row r="47" spans="1:24" x14ac:dyDescent="0.15">
      <c r="A47" s="178"/>
      <c r="B47" s="179" t="s">
        <v>287</v>
      </c>
      <c r="C47" s="180" t="s">
        <v>363</v>
      </c>
      <c r="D47" s="289">
        <v>6</v>
      </c>
      <c r="E47" s="289">
        <v>3</v>
      </c>
      <c r="F47" s="289">
        <v>9</v>
      </c>
      <c r="G47" s="289">
        <v>4</v>
      </c>
      <c r="H47" s="289">
        <v>7</v>
      </c>
      <c r="I47" s="289">
        <v>0</v>
      </c>
      <c r="J47" s="303">
        <v>2</v>
      </c>
      <c r="K47" s="229">
        <v>13418210</v>
      </c>
      <c r="L47" s="230" t="s">
        <v>23</v>
      </c>
      <c r="M47" s="286" t="s">
        <v>368</v>
      </c>
      <c r="N47" s="231">
        <v>1377563.6</v>
      </c>
      <c r="O47" s="232">
        <v>1</v>
      </c>
      <c r="P47" s="233">
        <v>41</v>
      </c>
      <c r="Q47" s="232">
        <v>393</v>
      </c>
      <c r="R47" s="233">
        <v>3895</v>
      </c>
      <c r="S47" s="232">
        <v>37860</v>
      </c>
      <c r="T47" s="233">
        <v>442226</v>
      </c>
      <c r="V47" s="228"/>
      <c r="X47" s="304"/>
    </row>
    <row r="48" spans="1:24" x14ac:dyDescent="0.15">
      <c r="A48" s="172">
        <v>21</v>
      </c>
      <c r="B48" s="173" t="s">
        <v>130</v>
      </c>
      <c r="C48" s="174" t="s">
        <v>362</v>
      </c>
      <c r="D48" s="305">
        <v>6</v>
      </c>
      <c r="E48" s="291">
        <v>2</v>
      </c>
      <c r="F48" s="291">
        <v>7</v>
      </c>
      <c r="G48" s="291">
        <v>9</v>
      </c>
      <c r="H48" s="291">
        <v>0</v>
      </c>
      <c r="I48" s="291">
        <v>2</v>
      </c>
      <c r="J48" s="292">
        <v>1</v>
      </c>
      <c r="K48" s="222">
        <v>5974282.5</v>
      </c>
      <c r="L48" s="234" t="s">
        <v>23</v>
      </c>
      <c r="M48" s="224" t="s">
        <v>368</v>
      </c>
      <c r="N48" s="285">
        <v>1802335.1</v>
      </c>
      <c r="O48" s="226">
        <v>3</v>
      </c>
      <c r="P48" s="227">
        <v>17</v>
      </c>
      <c r="Q48" s="226">
        <v>192</v>
      </c>
      <c r="R48" s="227">
        <v>1854</v>
      </c>
      <c r="S48" s="226">
        <v>20087</v>
      </c>
      <c r="T48" s="227">
        <v>191116</v>
      </c>
      <c r="V48" s="228"/>
      <c r="X48" s="304"/>
    </row>
    <row r="49" spans="1:24" x14ac:dyDescent="0.15">
      <c r="A49" s="178"/>
      <c r="B49" s="179" t="s">
        <v>288</v>
      </c>
      <c r="C49" s="180" t="s">
        <v>363</v>
      </c>
      <c r="D49" s="306">
        <v>5</v>
      </c>
      <c r="E49" s="306">
        <v>5</v>
      </c>
      <c r="F49" s="306">
        <v>4</v>
      </c>
      <c r="G49" s="306">
        <v>7</v>
      </c>
      <c r="H49" s="306">
        <v>9</v>
      </c>
      <c r="I49" s="306">
        <v>3</v>
      </c>
      <c r="J49" s="303">
        <v>0</v>
      </c>
      <c r="K49" s="229">
        <v>13789025</v>
      </c>
      <c r="L49" s="237" t="s">
        <v>23</v>
      </c>
      <c r="M49" s="229" t="s">
        <v>368</v>
      </c>
      <c r="N49" s="231">
        <v>2782734.8</v>
      </c>
      <c r="O49" s="232">
        <v>6</v>
      </c>
      <c r="P49" s="233">
        <v>30</v>
      </c>
      <c r="Q49" s="232">
        <v>362</v>
      </c>
      <c r="R49" s="233">
        <v>3546</v>
      </c>
      <c r="S49" s="232">
        <v>34991</v>
      </c>
      <c r="T49" s="233">
        <v>358640</v>
      </c>
      <c r="V49" s="228"/>
      <c r="X49" s="304"/>
    </row>
    <row r="50" spans="1:24" x14ac:dyDescent="0.15">
      <c r="A50" s="172">
        <v>22</v>
      </c>
      <c r="B50" s="173" t="s">
        <v>131</v>
      </c>
      <c r="C50" s="174" t="s">
        <v>362</v>
      </c>
      <c r="D50" s="291">
        <v>8</v>
      </c>
      <c r="E50" s="291">
        <v>9</v>
      </c>
      <c r="F50" s="291">
        <v>8</v>
      </c>
      <c r="G50" s="291">
        <v>9</v>
      </c>
      <c r="H50" s="291">
        <v>6</v>
      </c>
      <c r="I50" s="291">
        <v>7</v>
      </c>
      <c r="J50" s="292">
        <v>8</v>
      </c>
      <c r="K50" s="222">
        <v>6854187.5</v>
      </c>
      <c r="L50" s="234" t="s">
        <v>23</v>
      </c>
      <c r="M50" s="224" t="s">
        <v>368</v>
      </c>
      <c r="N50" s="225">
        <v>3270067.5</v>
      </c>
      <c r="O50" s="226">
        <v>3</v>
      </c>
      <c r="P50" s="227">
        <v>25</v>
      </c>
      <c r="Q50" s="226">
        <v>273</v>
      </c>
      <c r="R50" s="227">
        <v>2849</v>
      </c>
      <c r="S50" s="226">
        <v>26781</v>
      </c>
      <c r="T50" s="227">
        <v>268233</v>
      </c>
      <c r="V50" s="228"/>
      <c r="X50" s="304"/>
    </row>
    <row r="51" spans="1:24" x14ac:dyDescent="0.15">
      <c r="A51" s="178"/>
      <c r="B51" s="179" t="s">
        <v>289</v>
      </c>
      <c r="C51" s="180" t="s">
        <v>363</v>
      </c>
      <c r="D51" s="289">
        <v>2</v>
      </c>
      <c r="E51" s="289">
        <v>0</v>
      </c>
      <c r="F51" s="289">
        <v>1</v>
      </c>
      <c r="G51" s="289">
        <v>3</v>
      </c>
      <c r="H51" s="289">
        <v>3</v>
      </c>
      <c r="I51" s="289">
        <v>9</v>
      </c>
      <c r="J51" s="303">
        <v>7</v>
      </c>
      <c r="K51" s="229">
        <v>14357122.5</v>
      </c>
      <c r="L51" s="237" t="s">
        <v>23</v>
      </c>
      <c r="M51" s="229" t="s">
        <v>368</v>
      </c>
      <c r="N51" s="231">
        <v>4290858.9000000004</v>
      </c>
      <c r="O51" s="232">
        <v>6</v>
      </c>
      <c r="P51" s="233">
        <v>63</v>
      </c>
      <c r="Q51" s="232">
        <v>597</v>
      </c>
      <c r="R51" s="233">
        <v>6223</v>
      </c>
      <c r="S51" s="232">
        <v>59245</v>
      </c>
      <c r="T51" s="233">
        <v>642696</v>
      </c>
      <c r="V51" s="228"/>
      <c r="X51" s="304"/>
    </row>
    <row r="52" spans="1:24" x14ac:dyDescent="0.15">
      <c r="A52" s="172">
        <v>23</v>
      </c>
      <c r="B52" s="173" t="s">
        <v>132</v>
      </c>
      <c r="C52" s="174" t="s">
        <v>362</v>
      </c>
      <c r="D52" s="291">
        <v>8</v>
      </c>
      <c r="E52" s="291">
        <v>6</v>
      </c>
      <c r="F52" s="291">
        <v>1</v>
      </c>
      <c r="G52" s="291">
        <v>9</v>
      </c>
      <c r="H52" s="291">
        <v>9</v>
      </c>
      <c r="I52" s="291">
        <v>8</v>
      </c>
      <c r="J52" s="292">
        <v>6</v>
      </c>
      <c r="K52" s="222">
        <v>5560802.5</v>
      </c>
      <c r="L52" s="234">
        <v>1</v>
      </c>
      <c r="M52" s="224">
        <v>4677777</v>
      </c>
      <c r="N52" s="225">
        <v>8455</v>
      </c>
      <c r="O52" s="226">
        <v>3</v>
      </c>
      <c r="P52" s="227">
        <v>30</v>
      </c>
      <c r="Q52" s="226">
        <v>159</v>
      </c>
      <c r="R52" s="227">
        <v>1929</v>
      </c>
      <c r="S52" s="226">
        <v>19479</v>
      </c>
      <c r="T52" s="227">
        <v>199616</v>
      </c>
      <c r="V52" s="228"/>
      <c r="X52" s="304"/>
    </row>
    <row r="53" spans="1:24" x14ac:dyDescent="0.15">
      <c r="A53" s="178"/>
      <c r="B53" s="179" t="s">
        <v>290</v>
      </c>
      <c r="C53" s="180" t="s">
        <v>363</v>
      </c>
      <c r="D53" s="289">
        <v>5</v>
      </c>
      <c r="E53" s="289">
        <v>9</v>
      </c>
      <c r="F53" s="289">
        <v>9</v>
      </c>
      <c r="G53" s="289">
        <v>7</v>
      </c>
      <c r="H53" s="289">
        <v>8</v>
      </c>
      <c r="I53" s="289">
        <v>3</v>
      </c>
      <c r="J53" s="303">
        <v>4</v>
      </c>
      <c r="K53" s="229">
        <v>13032555</v>
      </c>
      <c r="L53" s="237" t="s">
        <v>23</v>
      </c>
      <c r="M53" s="229" t="s">
        <v>368</v>
      </c>
      <c r="N53" s="231">
        <v>935069.7</v>
      </c>
      <c r="O53" s="232">
        <v>5</v>
      </c>
      <c r="P53" s="233">
        <v>36</v>
      </c>
      <c r="Q53" s="232">
        <v>480</v>
      </c>
      <c r="R53" s="233">
        <v>4567</v>
      </c>
      <c r="S53" s="232">
        <v>45506</v>
      </c>
      <c r="T53" s="233">
        <v>448374</v>
      </c>
      <c r="V53" s="228"/>
      <c r="X53" s="304"/>
    </row>
    <row r="54" spans="1:24" x14ac:dyDescent="0.15">
      <c r="A54" s="172">
        <v>24</v>
      </c>
      <c r="B54" s="173" t="s">
        <v>133</v>
      </c>
      <c r="C54" s="174" t="s">
        <v>362</v>
      </c>
      <c r="D54" s="291">
        <v>4</v>
      </c>
      <c r="E54" s="291">
        <v>7</v>
      </c>
      <c r="F54" s="291">
        <v>5</v>
      </c>
      <c r="G54" s="291">
        <v>0</v>
      </c>
      <c r="H54" s="291">
        <v>0</v>
      </c>
      <c r="I54" s="291">
        <v>2</v>
      </c>
      <c r="J54" s="292">
        <v>9</v>
      </c>
      <c r="K54" s="222">
        <v>5351740</v>
      </c>
      <c r="L54" s="223" t="s">
        <v>23</v>
      </c>
      <c r="M54" s="224" t="s">
        <v>368</v>
      </c>
      <c r="N54" s="225">
        <v>1315578.3999999999</v>
      </c>
      <c r="O54" s="226">
        <v>1</v>
      </c>
      <c r="P54" s="227">
        <v>15</v>
      </c>
      <c r="Q54" s="226">
        <v>128</v>
      </c>
      <c r="R54" s="227">
        <v>1537</v>
      </c>
      <c r="S54" s="226">
        <v>16944</v>
      </c>
      <c r="T54" s="227">
        <v>170181</v>
      </c>
      <c r="V54" s="228"/>
      <c r="X54" s="304"/>
    </row>
    <row r="55" spans="1:24" x14ac:dyDescent="0.15">
      <c r="A55" s="178"/>
      <c r="B55" s="179" t="s">
        <v>291</v>
      </c>
      <c r="C55" s="180" t="s">
        <v>363</v>
      </c>
      <c r="D55" s="289">
        <v>0</v>
      </c>
      <c r="E55" s="289">
        <v>3</v>
      </c>
      <c r="F55" s="289">
        <v>3</v>
      </c>
      <c r="G55" s="289">
        <v>4</v>
      </c>
      <c r="H55" s="289">
        <v>5</v>
      </c>
      <c r="I55" s="289">
        <v>4</v>
      </c>
      <c r="J55" s="303">
        <v>4</v>
      </c>
      <c r="K55" s="229">
        <v>13165860</v>
      </c>
      <c r="L55" s="230" t="s">
        <v>23</v>
      </c>
      <c r="M55" s="229" t="s">
        <v>368</v>
      </c>
      <c r="N55" s="231">
        <v>2251671</v>
      </c>
      <c r="O55" s="232">
        <v>5</v>
      </c>
      <c r="P55" s="233">
        <v>49</v>
      </c>
      <c r="Q55" s="232">
        <v>491</v>
      </c>
      <c r="R55" s="233">
        <v>4446</v>
      </c>
      <c r="S55" s="232">
        <v>46096</v>
      </c>
      <c r="T55" s="233">
        <v>457234</v>
      </c>
      <c r="V55" s="228"/>
      <c r="X55" s="304"/>
    </row>
    <row r="56" spans="1:24" x14ac:dyDescent="0.15">
      <c r="A56" s="172">
        <v>25</v>
      </c>
      <c r="B56" s="173" t="s">
        <v>134</v>
      </c>
      <c r="C56" s="174" t="s">
        <v>362</v>
      </c>
      <c r="D56" s="291">
        <v>3</v>
      </c>
      <c r="E56" s="291">
        <v>2</v>
      </c>
      <c r="F56" s="291">
        <v>4</v>
      </c>
      <c r="G56" s="291">
        <v>9</v>
      </c>
      <c r="H56" s="291">
        <v>0</v>
      </c>
      <c r="I56" s="291">
        <v>0</v>
      </c>
      <c r="J56" s="292">
        <v>1</v>
      </c>
      <c r="K56" s="222">
        <v>5345432.5</v>
      </c>
      <c r="L56" s="234" t="s">
        <v>23</v>
      </c>
      <c r="M56" s="224" t="s">
        <v>368</v>
      </c>
      <c r="N56" s="225">
        <v>2631731.2999999998</v>
      </c>
      <c r="O56" s="226">
        <v>1</v>
      </c>
      <c r="P56" s="227">
        <v>11</v>
      </c>
      <c r="Q56" s="226">
        <v>170</v>
      </c>
      <c r="R56" s="227">
        <v>1612</v>
      </c>
      <c r="S56" s="226">
        <v>15254</v>
      </c>
      <c r="T56" s="227">
        <v>172661</v>
      </c>
      <c r="U56" s="240"/>
      <c r="V56" s="275"/>
      <c r="X56" s="304"/>
    </row>
    <row r="57" spans="1:24" x14ac:dyDescent="0.15">
      <c r="A57" s="178"/>
      <c r="B57" s="179" t="s">
        <v>292</v>
      </c>
      <c r="C57" s="180" t="s">
        <v>363</v>
      </c>
      <c r="D57" s="289">
        <v>9</v>
      </c>
      <c r="E57" s="289">
        <v>4</v>
      </c>
      <c r="F57" s="289">
        <v>5</v>
      </c>
      <c r="G57" s="289">
        <v>8</v>
      </c>
      <c r="H57" s="289">
        <v>1</v>
      </c>
      <c r="I57" s="289">
        <v>6</v>
      </c>
      <c r="J57" s="303">
        <v>0</v>
      </c>
      <c r="K57" s="229">
        <v>12698500</v>
      </c>
      <c r="L57" s="230" t="s">
        <v>23</v>
      </c>
      <c r="M57" s="229" t="s">
        <v>368</v>
      </c>
      <c r="N57" s="231">
        <v>3534594.7</v>
      </c>
      <c r="O57" s="232">
        <v>4</v>
      </c>
      <c r="P57" s="233">
        <v>26</v>
      </c>
      <c r="Q57" s="232">
        <v>330</v>
      </c>
      <c r="R57" s="233">
        <v>3311</v>
      </c>
      <c r="S57" s="232">
        <v>32955</v>
      </c>
      <c r="T57" s="233">
        <v>325821</v>
      </c>
      <c r="V57" s="228"/>
      <c r="X57" s="304"/>
    </row>
    <row r="58" spans="1:24" x14ac:dyDescent="0.15">
      <c r="A58" s="172">
        <v>26</v>
      </c>
      <c r="B58" s="173" t="s">
        <v>135</v>
      </c>
      <c r="C58" s="174" t="s">
        <v>362</v>
      </c>
      <c r="D58" s="291">
        <v>1</v>
      </c>
      <c r="E58" s="291">
        <v>2</v>
      </c>
      <c r="F58" s="291">
        <v>3</v>
      </c>
      <c r="G58" s="291">
        <v>7</v>
      </c>
      <c r="H58" s="291">
        <v>4</v>
      </c>
      <c r="I58" s="291">
        <v>8</v>
      </c>
      <c r="J58" s="292">
        <v>4</v>
      </c>
      <c r="K58" s="222">
        <v>5455735</v>
      </c>
      <c r="L58" s="223" t="s">
        <v>23</v>
      </c>
      <c r="M58" s="224" t="s">
        <v>368</v>
      </c>
      <c r="N58" s="225">
        <v>3922497.5</v>
      </c>
      <c r="O58" s="226">
        <v>1</v>
      </c>
      <c r="P58" s="227">
        <v>31</v>
      </c>
      <c r="Q58" s="226">
        <v>195</v>
      </c>
      <c r="R58" s="227">
        <v>1995</v>
      </c>
      <c r="S58" s="226">
        <v>18653</v>
      </c>
      <c r="T58" s="227">
        <v>190543</v>
      </c>
      <c r="V58" s="228"/>
      <c r="X58" s="304"/>
    </row>
    <row r="59" spans="1:24" x14ac:dyDescent="0.15">
      <c r="A59" s="178"/>
      <c r="B59" s="179" t="s">
        <v>293</v>
      </c>
      <c r="C59" s="180" t="s">
        <v>363</v>
      </c>
      <c r="D59" s="307">
        <v>1</v>
      </c>
      <c r="E59" s="307">
        <v>8</v>
      </c>
      <c r="F59" s="307">
        <v>9</v>
      </c>
      <c r="G59" s="307">
        <v>9</v>
      </c>
      <c r="H59" s="307">
        <v>8</v>
      </c>
      <c r="I59" s="307">
        <v>3</v>
      </c>
      <c r="J59" s="308">
        <v>0</v>
      </c>
      <c r="K59" s="229">
        <v>13067730</v>
      </c>
      <c r="L59" s="230">
        <v>1</v>
      </c>
      <c r="M59" s="229">
        <v>4777777</v>
      </c>
      <c r="N59" s="231">
        <v>73836.100000000006</v>
      </c>
      <c r="O59" s="232">
        <v>1</v>
      </c>
      <c r="P59" s="233">
        <v>38</v>
      </c>
      <c r="Q59" s="232">
        <v>332</v>
      </c>
      <c r="R59" s="233">
        <v>3301</v>
      </c>
      <c r="S59" s="232">
        <v>33443</v>
      </c>
      <c r="T59" s="233">
        <v>341327</v>
      </c>
      <c r="V59" s="228"/>
      <c r="X59" s="304"/>
    </row>
    <row r="60" spans="1:24" x14ac:dyDescent="0.15">
      <c r="A60" s="45"/>
      <c r="B60" s="46"/>
      <c r="C60" s="46"/>
      <c r="D60" s="309"/>
      <c r="E60" s="309"/>
      <c r="F60" s="309"/>
      <c r="G60" s="309"/>
      <c r="H60" s="309"/>
      <c r="I60" s="309" t="s">
        <v>24</v>
      </c>
      <c r="J60" s="309"/>
      <c r="K60" s="277"/>
      <c r="L60" s="278">
        <f>SUM(L8:L59)</f>
        <v>15</v>
      </c>
      <c r="M60" s="229"/>
      <c r="N60" s="278"/>
      <c r="O60" s="278">
        <f t="shared" ref="O60:T60" si="0">SUM(O8:O59)</f>
        <v>158</v>
      </c>
      <c r="P60" s="278">
        <f t="shared" si="0"/>
        <v>1894</v>
      </c>
      <c r="Q60" s="278">
        <f t="shared" si="0"/>
        <v>18830</v>
      </c>
      <c r="R60" s="278">
        <f t="shared" si="0"/>
        <v>189048</v>
      </c>
      <c r="S60" s="278">
        <f t="shared" si="0"/>
        <v>1893096</v>
      </c>
      <c r="T60" s="272">
        <f t="shared" si="0"/>
        <v>19000594</v>
      </c>
      <c r="V60" s="228"/>
      <c r="X60" s="304"/>
    </row>
    <row r="63" spans="1:24" x14ac:dyDescent="0.15">
      <c r="K63" s="254"/>
    </row>
    <row r="64" spans="1:24" ht="13.5" customHeight="1" x14ac:dyDescent="0.2">
      <c r="A64" s="1" t="s">
        <v>364</v>
      </c>
      <c r="T64" s="3" t="s">
        <v>400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299"/>
      <c r="E66" s="299"/>
      <c r="F66" s="299"/>
      <c r="G66" s="299"/>
      <c r="H66" s="299"/>
      <c r="I66" s="299"/>
      <c r="J66" s="30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301" t="s">
        <v>4</v>
      </c>
      <c r="E67" s="302"/>
      <c r="F67" s="302"/>
      <c r="G67" s="302"/>
      <c r="H67" s="302"/>
      <c r="I67" s="302"/>
      <c r="J67" s="290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2014</v>
      </c>
      <c r="C68" s="220" t="s">
        <v>361</v>
      </c>
      <c r="D68" s="289"/>
      <c r="E68" s="289"/>
      <c r="F68" s="289"/>
      <c r="G68" s="289"/>
      <c r="H68" s="289"/>
      <c r="I68" s="289"/>
      <c r="J68" s="290" t="s">
        <v>13</v>
      </c>
      <c r="K68" s="14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4" ht="11.1" customHeight="1" x14ac:dyDescent="0.15">
      <c r="A69" s="39"/>
      <c r="B69" s="21"/>
      <c r="C69" s="220"/>
      <c r="D69" s="289"/>
      <c r="E69" s="289"/>
      <c r="F69" s="289"/>
      <c r="G69" s="289"/>
      <c r="H69" s="289"/>
      <c r="I69" s="289"/>
      <c r="J69" s="30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 t="s">
        <v>136</v>
      </c>
      <c r="C70" s="174" t="s">
        <v>362</v>
      </c>
      <c r="D70" s="291">
        <v>7</v>
      </c>
      <c r="E70" s="291">
        <v>9</v>
      </c>
      <c r="F70" s="291">
        <v>0</v>
      </c>
      <c r="G70" s="291">
        <v>3</v>
      </c>
      <c r="H70" s="291">
        <v>5</v>
      </c>
      <c r="I70" s="291">
        <v>7</v>
      </c>
      <c r="J70" s="292">
        <v>0</v>
      </c>
      <c r="K70" s="222">
        <v>5886950</v>
      </c>
      <c r="L70" s="223" t="s">
        <v>23</v>
      </c>
      <c r="M70" s="224" t="s">
        <v>368</v>
      </c>
      <c r="N70" s="225">
        <v>492398.2</v>
      </c>
      <c r="O70" s="226">
        <v>2</v>
      </c>
      <c r="P70" s="227">
        <v>13</v>
      </c>
      <c r="Q70" s="226">
        <v>170</v>
      </c>
      <c r="R70" s="227">
        <v>1534</v>
      </c>
      <c r="S70" s="226">
        <v>15773</v>
      </c>
      <c r="T70" s="227">
        <v>158709</v>
      </c>
      <c r="U70" s="240"/>
      <c r="V70" s="275"/>
      <c r="X70" s="304"/>
    </row>
    <row r="71" spans="1:24" x14ac:dyDescent="0.15">
      <c r="A71" s="178"/>
      <c r="B71" s="179" t="s">
        <v>294</v>
      </c>
      <c r="C71" s="180" t="s">
        <v>363</v>
      </c>
      <c r="D71" s="289">
        <v>8</v>
      </c>
      <c r="E71" s="289">
        <v>0</v>
      </c>
      <c r="F71" s="289">
        <v>9</v>
      </c>
      <c r="G71" s="289">
        <v>2</v>
      </c>
      <c r="H71" s="289">
        <v>6</v>
      </c>
      <c r="I71" s="289">
        <v>2</v>
      </c>
      <c r="J71" s="303">
        <v>9</v>
      </c>
      <c r="K71" s="229">
        <v>12734805</v>
      </c>
      <c r="L71" s="230" t="s">
        <v>23</v>
      </c>
      <c r="M71" s="229" t="s">
        <v>368</v>
      </c>
      <c r="N71" s="231">
        <v>1397842.8</v>
      </c>
      <c r="O71" s="232">
        <v>3</v>
      </c>
      <c r="P71" s="233">
        <v>41</v>
      </c>
      <c r="Q71" s="232">
        <v>456</v>
      </c>
      <c r="R71" s="233">
        <v>4218</v>
      </c>
      <c r="S71" s="232">
        <v>42181</v>
      </c>
      <c r="T71" s="233">
        <v>424511</v>
      </c>
      <c r="V71" s="228"/>
      <c r="X71" s="304"/>
    </row>
    <row r="72" spans="1:24" x14ac:dyDescent="0.15">
      <c r="A72" s="172">
        <v>28</v>
      </c>
      <c r="B72" s="173" t="s">
        <v>137</v>
      </c>
      <c r="C72" s="174" t="s">
        <v>362</v>
      </c>
      <c r="D72" s="291">
        <v>1</v>
      </c>
      <c r="E72" s="291">
        <v>6</v>
      </c>
      <c r="F72" s="291">
        <v>1</v>
      </c>
      <c r="G72" s="291">
        <v>6</v>
      </c>
      <c r="H72" s="291">
        <v>3</v>
      </c>
      <c r="I72" s="291">
        <v>6</v>
      </c>
      <c r="J72" s="292">
        <v>1</v>
      </c>
      <c r="K72" s="222">
        <v>5386802.5</v>
      </c>
      <c r="L72" s="223" t="s">
        <v>23</v>
      </c>
      <c r="M72" s="224" t="s">
        <v>368</v>
      </c>
      <c r="N72" s="225">
        <v>1780844.5</v>
      </c>
      <c r="O72" s="226">
        <v>2</v>
      </c>
      <c r="P72" s="227">
        <v>13</v>
      </c>
      <c r="Q72" s="226">
        <v>189</v>
      </c>
      <c r="R72" s="227">
        <v>1785</v>
      </c>
      <c r="S72" s="226">
        <v>17969</v>
      </c>
      <c r="T72" s="227">
        <v>171890</v>
      </c>
      <c r="V72" s="228"/>
      <c r="X72" s="304"/>
    </row>
    <row r="73" spans="1:24" x14ac:dyDescent="0.15">
      <c r="A73" s="178"/>
      <c r="B73" s="179" t="s">
        <v>295</v>
      </c>
      <c r="C73" s="180" t="s">
        <v>363</v>
      </c>
      <c r="D73" s="289">
        <v>5</v>
      </c>
      <c r="E73" s="289">
        <v>2</v>
      </c>
      <c r="F73" s="289">
        <v>8</v>
      </c>
      <c r="G73" s="289">
        <v>0</v>
      </c>
      <c r="H73" s="289">
        <v>1</v>
      </c>
      <c r="I73" s="289">
        <v>5</v>
      </c>
      <c r="J73" s="303">
        <v>5</v>
      </c>
      <c r="K73" s="229">
        <v>12947152.5</v>
      </c>
      <c r="L73" s="237" t="s">
        <v>23</v>
      </c>
      <c r="M73" s="229" t="s">
        <v>368</v>
      </c>
      <c r="N73" s="231">
        <v>2701387</v>
      </c>
      <c r="O73" s="232">
        <v>8</v>
      </c>
      <c r="P73" s="233">
        <v>57</v>
      </c>
      <c r="Q73" s="232">
        <v>546</v>
      </c>
      <c r="R73" s="233">
        <v>5763</v>
      </c>
      <c r="S73" s="232">
        <v>59990</v>
      </c>
      <c r="T73" s="233">
        <v>556954</v>
      </c>
      <c r="V73" s="228"/>
      <c r="X73" s="304"/>
    </row>
    <row r="74" spans="1:24" x14ac:dyDescent="0.15">
      <c r="A74" s="172">
        <v>29</v>
      </c>
      <c r="B74" s="173" t="s">
        <v>138</v>
      </c>
      <c r="C74" s="174" t="s">
        <v>362</v>
      </c>
      <c r="D74" s="291">
        <v>9</v>
      </c>
      <c r="E74" s="291">
        <v>1</v>
      </c>
      <c r="F74" s="291">
        <v>5</v>
      </c>
      <c r="G74" s="291">
        <v>9</v>
      </c>
      <c r="H74" s="291">
        <v>6</v>
      </c>
      <c r="I74" s="291">
        <v>3</v>
      </c>
      <c r="J74" s="292">
        <v>8</v>
      </c>
      <c r="K74" s="222">
        <v>5213892.5</v>
      </c>
      <c r="L74" s="223" t="s">
        <v>23</v>
      </c>
      <c r="M74" s="224" t="s">
        <v>368</v>
      </c>
      <c r="N74" s="225">
        <v>3072094.8</v>
      </c>
      <c r="O74" s="226">
        <v>3</v>
      </c>
      <c r="P74" s="227">
        <v>27</v>
      </c>
      <c r="Q74" s="226">
        <v>216</v>
      </c>
      <c r="R74" s="227">
        <v>2139</v>
      </c>
      <c r="S74" s="226">
        <v>20552</v>
      </c>
      <c r="T74" s="227">
        <v>204901</v>
      </c>
      <c r="V74" s="228"/>
      <c r="X74" s="304"/>
    </row>
    <row r="75" spans="1:24" x14ac:dyDescent="0.15">
      <c r="A75" s="178"/>
      <c r="B75" s="179" t="s">
        <v>395</v>
      </c>
      <c r="C75" s="180" t="s">
        <v>363</v>
      </c>
      <c r="D75" s="289">
        <v>1</v>
      </c>
      <c r="E75" s="289">
        <v>1</v>
      </c>
      <c r="F75" s="289">
        <v>2</v>
      </c>
      <c r="G75" s="289">
        <v>0</v>
      </c>
      <c r="H75" s="289">
        <v>4</v>
      </c>
      <c r="I75" s="289">
        <v>0</v>
      </c>
      <c r="J75" s="303">
        <v>2</v>
      </c>
      <c r="K75" s="229">
        <v>12492872.5</v>
      </c>
      <c r="L75" s="230" t="s">
        <v>23</v>
      </c>
      <c r="M75" s="229" t="s">
        <v>368</v>
      </c>
      <c r="N75" s="231">
        <v>3960338</v>
      </c>
      <c r="O75" s="232">
        <v>2</v>
      </c>
      <c r="P75" s="233">
        <v>29</v>
      </c>
      <c r="Q75" s="232">
        <v>341</v>
      </c>
      <c r="R75" s="233">
        <v>3508</v>
      </c>
      <c r="S75" s="232">
        <v>35253</v>
      </c>
      <c r="T75" s="233">
        <v>405701</v>
      </c>
      <c r="V75" s="228"/>
      <c r="X75" s="304"/>
    </row>
    <row r="76" spans="1:24" x14ac:dyDescent="0.15">
      <c r="A76" s="172">
        <v>30</v>
      </c>
      <c r="B76" s="173" t="s">
        <v>139</v>
      </c>
      <c r="C76" s="174" t="s">
        <v>362</v>
      </c>
      <c r="D76" s="291">
        <v>9</v>
      </c>
      <c r="E76" s="291">
        <v>0</v>
      </c>
      <c r="F76" s="291">
        <v>4</v>
      </c>
      <c r="G76" s="291">
        <v>8</v>
      </c>
      <c r="H76" s="291">
        <v>4</v>
      </c>
      <c r="I76" s="291">
        <v>5</v>
      </c>
      <c r="J76" s="292">
        <v>0</v>
      </c>
      <c r="K76" s="222">
        <v>5351075</v>
      </c>
      <c r="L76" s="223" t="s">
        <v>23</v>
      </c>
      <c r="M76" s="224" t="s">
        <v>368</v>
      </c>
      <c r="N76" s="225">
        <v>4340799.4000000004</v>
      </c>
      <c r="O76" s="226">
        <v>4</v>
      </c>
      <c r="P76" s="227">
        <v>16</v>
      </c>
      <c r="Q76" s="226">
        <v>151</v>
      </c>
      <c r="R76" s="227">
        <v>1591</v>
      </c>
      <c r="S76" s="226">
        <v>15104</v>
      </c>
      <c r="T76" s="227">
        <v>143441</v>
      </c>
      <c r="V76" s="228"/>
      <c r="X76" s="304"/>
    </row>
    <row r="77" spans="1:24" x14ac:dyDescent="0.15">
      <c r="A77" s="178"/>
      <c r="B77" s="179" t="s">
        <v>297</v>
      </c>
      <c r="C77" s="180" t="s">
        <v>363</v>
      </c>
      <c r="D77" s="289">
        <v>1</v>
      </c>
      <c r="E77" s="289">
        <v>4</v>
      </c>
      <c r="F77" s="289">
        <v>2</v>
      </c>
      <c r="G77" s="289">
        <v>2</v>
      </c>
      <c r="H77" s="289">
        <v>1</v>
      </c>
      <c r="I77" s="289">
        <v>7</v>
      </c>
      <c r="J77" s="303">
        <v>4</v>
      </c>
      <c r="K77" s="229">
        <v>12465475</v>
      </c>
      <c r="L77" s="230" t="s">
        <v>23</v>
      </c>
      <c r="M77" s="229" t="s">
        <v>368</v>
      </c>
      <c r="N77" s="231">
        <v>5227094.7</v>
      </c>
      <c r="O77" s="232">
        <v>5</v>
      </c>
      <c r="P77" s="233">
        <v>49</v>
      </c>
      <c r="Q77" s="232">
        <v>420</v>
      </c>
      <c r="R77" s="233">
        <v>4294</v>
      </c>
      <c r="S77" s="232">
        <v>42359</v>
      </c>
      <c r="T77" s="233">
        <v>433292</v>
      </c>
      <c r="V77" s="228"/>
      <c r="X77" s="304"/>
    </row>
    <row r="78" spans="1:24" x14ac:dyDescent="0.15">
      <c r="A78" s="172">
        <v>31</v>
      </c>
      <c r="B78" s="173" t="s">
        <v>140</v>
      </c>
      <c r="C78" s="174" t="s">
        <v>362</v>
      </c>
      <c r="D78" s="291">
        <v>8</v>
      </c>
      <c r="E78" s="291">
        <v>8</v>
      </c>
      <c r="F78" s="291">
        <v>5</v>
      </c>
      <c r="G78" s="291">
        <v>4</v>
      </c>
      <c r="H78" s="291">
        <v>8</v>
      </c>
      <c r="I78" s="291">
        <v>4</v>
      </c>
      <c r="J78" s="292">
        <v>0</v>
      </c>
      <c r="K78" s="222">
        <v>5377310</v>
      </c>
      <c r="L78" s="223" t="s">
        <v>23</v>
      </c>
      <c r="M78" s="224" t="s">
        <v>368</v>
      </c>
      <c r="N78" s="225">
        <v>5609421.4000000004</v>
      </c>
      <c r="O78" s="226">
        <v>2</v>
      </c>
      <c r="P78" s="227">
        <v>13</v>
      </c>
      <c r="Q78" s="226">
        <v>134</v>
      </c>
      <c r="R78" s="227">
        <v>1438</v>
      </c>
      <c r="S78" s="226">
        <v>14053</v>
      </c>
      <c r="T78" s="227">
        <v>147704</v>
      </c>
      <c r="V78" s="228"/>
      <c r="X78" s="304"/>
    </row>
    <row r="79" spans="1:24" x14ac:dyDescent="0.15">
      <c r="A79" s="178"/>
      <c r="B79" s="179" t="s">
        <v>298</v>
      </c>
      <c r="C79" s="180" t="s">
        <v>363</v>
      </c>
      <c r="D79" s="289">
        <v>0</v>
      </c>
      <c r="E79" s="289">
        <v>9</v>
      </c>
      <c r="F79" s="289">
        <v>9</v>
      </c>
      <c r="G79" s="289">
        <v>3</v>
      </c>
      <c r="H79" s="289">
        <v>9</v>
      </c>
      <c r="I79" s="289">
        <v>2</v>
      </c>
      <c r="J79" s="303">
        <v>9</v>
      </c>
      <c r="K79" s="229">
        <v>13043075</v>
      </c>
      <c r="L79" s="230" t="s">
        <v>23</v>
      </c>
      <c r="M79" s="229" t="s">
        <v>368</v>
      </c>
      <c r="N79" s="231">
        <v>6536784</v>
      </c>
      <c r="O79" s="232">
        <v>3</v>
      </c>
      <c r="P79" s="233">
        <v>45</v>
      </c>
      <c r="Q79" s="232">
        <v>420</v>
      </c>
      <c r="R79" s="233">
        <v>4550</v>
      </c>
      <c r="S79" s="232">
        <v>43708</v>
      </c>
      <c r="T79" s="233">
        <v>436980</v>
      </c>
      <c r="V79" s="228"/>
      <c r="X79" s="304"/>
    </row>
    <row r="80" spans="1:24" x14ac:dyDescent="0.15">
      <c r="A80" s="172">
        <v>32</v>
      </c>
      <c r="B80" s="173" t="s">
        <v>141</v>
      </c>
      <c r="C80" s="174" t="s">
        <v>362</v>
      </c>
      <c r="D80" s="291">
        <v>9</v>
      </c>
      <c r="E80" s="291">
        <v>4</v>
      </c>
      <c r="F80" s="291">
        <v>5</v>
      </c>
      <c r="G80" s="291">
        <v>1</v>
      </c>
      <c r="H80" s="291">
        <v>3</v>
      </c>
      <c r="I80" s="291">
        <v>3</v>
      </c>
      <c r="J80" s="292">
        <v>8</v>
      </c>
      <c r="K80" s="222">
        <v>5810222.5</v>
      </c>
      <c r="L80" s="234" t="s">
        <v>23</v>
      </c>
      <c r="M80" s="224" t="s">
        <v>368</v>
      </c>
      <c r="N80" s="225">
        <v>6949890.7999999998</v>
      </c>
      <c r="O80" s="236">
        <v>3</v>
      </c>
      <c r="P80" s="227">
        <v>24</v>
      </c>
      <c r="Q80" s="226">
        <v>216</v>
      </c>
      <c r="R80" s="227">
        <v>2195</v>
      </c>
      <c r="S80" s="226">
        <v>23295</v>
      </c>
      <c r="T80" s="227">
        <v>228492</v>
      </c>
      <c r="V80" s="228"/>
      <c r="X80" s="304"/>
    </row>
    <row r="81" spans="1:24" x14ac:dyDescent="0.15">
      <c r="A81" s="178"/>
      <c r="B81" s="179" t="s">
        <v>299</v>
      </c>
      <c r="C81" s="180" t="s">
        <v>363</v>
      </c>
      <c r="D81" s="289">
        <v>6</v>
      </c>
      <c r="E81" s="289">
        <v>8</v>
      </c>
      <c r="F81" s="289">
        <v>3</v>
      </c>
      <c r="G81" s="289">
        <v>2</v>
      </c>
      <c r="H81" s="289">
        <v>9</v>
      </c>
      <c r="I81" s="289">
        <v>8</v>
      </c>
      <c r="J81" s="303">
        <v>9</v>
      </c>
      <c r="K81" s="229">
        <v>13513440</v>
      </c>
      <c r="L81" s="230">
        <v>1</v>
      </c>
      <c r="M81" s="229">
        <v>7877777</v>
      </c>
      <c r="N81" s="231">
        <v>32919.4</v>
      </c>
      <c r="O81" s="232">
        <v>4</v>
      </c>
      <c r="P81" s="233">
        <v>53</v>
      </c>
      <c r="Q81" s="232">
        <v>422</v>
      </c>
      <c r="R81" s="233">
        <v>4655</v>
      </c>
      <c r="S81" s="232">
        <v>44854</v>
      </c>
      <c r="T81" s="233">
        <v>456984</v>
      </c>
      <c r="V81" s="228"/>
      <c r="X81" s="304"/>
    </row>
    <row r="82" spans="1:24" x14ac:dyDescent="0.15">
      <c r="A82" s="172">
        <v>33</v>
      </c>
      <c r="B82" s="173" t="s">
        <v>142</v>
      </c>
      <c r="C82" s="174" t="s">
        <v>362</v>
      </c>
      <c r="D82" s="291">
        <v>6</v>
      </c>
      <c r="E82" s="291">
        <v>0</v>
      </c>
      <c r="F82" s="291">
        <v>0</v>
      </c>
      <c r="G82" s="291">
        <v>4</v>
      </c>
      <c r="H82" s="291">
        <v>3</v>
      </c>
      <c r="I82" s="291">
        <v>5</v>
      </c>
      <c r="J82" s="292">
        <v>3</v>
      </c>
      <c r="K82" s="222">
        <v>5312352.5</v>
      </c>
      <c r="L82" s="223">
        <v>1</v>
      </c>
      <c r="M82" s="279">
        <v>377777</v>
      </c>
      <c r="N82" s="225">
        <v>32850.699999999997</v>
      </c>
      <c r="O82" s="226">
        <v>4</v>
      </c>
      <c r="P82" s="227">
        <v>23</v>
      </c>
      <c r="Q82" s="226">
        <v>224</v>
      </c>
      <c r="R82" s="227">
        <v>2175</v>
      </c>
      <c r="S82" s="226">
        <v>22499</v>
      </c>
      <c r="T82" s="227">
        <v>208304</v>
      </c>
      <c r="V82" s="228"/>
      <c r="X82" s="304"/>
    </row>
    <row r="83" spans="1:24" x14ac:dyDescent="0.15">
      <c r="A83" s="178"/>
      <c r="B83" s="179" t="s">
        <v>396</v>
      </c>
      <c r="C83" s="180" t="s">
        <v>363</v>
      </c>
      <c r="D83" s="289">
        <v>9</v>
      </c>
      <c r="E83" s="289">
        <v>2</v>
      </c>
      <c r="F83" s="289">
        <v>7</v>
      </c>
      <c r="G83" s="289">
        <v>9</v>
      </c>
      <c r="H83" s="289">
        <v>1</v>
      </c>
      <c r="I83" s="289">
        <v>5</v>
      </c>
      <c r="J83" s="303">
        <v>6</v>
      </c>
      <c r="K83" s="229">
        <v>12679617.5</v>
      </c>
      <c r="L83" s="230">
        <v>1</v>
      </c>
      <c r="M83" s="229">
        <v>877777</v>
      </c>
      <c r="N83" s="231">
        <v>56594.5</v>
      </c>
      <c r="O83" s="232">
        <v>7</v>
      </c>
      <c r="P83" s="233">
        <v>46</v>
      </c>
      <c r="Q83" s="232">
        <v>481</v>
      </c>
      <c r="R83" s="233">
        <v>4769</v>
      </c>
      <c r="S83" s="232">
        <v>48326</v>
      </c>
      <c r="T83" s="233">
        <v>442798</v>
      </c>
      <c r="V83" s="228"/>
      <c r="X83" s="304"/>
    </row>
    <row r="84" spans="1:24" x14ac:dyDescent="0.15">
      <c r="A84" s="172">
        <v>34</v>
      </c>
      <c r="B84" s="173" t="s">
        <v>143</v>
      </c>
      <c r="C84" s="174" t="s">
        <v>362</v>
      </c>
      <c r="D84" s="291">
        <v>9</v>
      </c>
      <c r="E84" s="291">
        <v>5</v>
      </c>
      <c r="F84" s="291">
        <v>2</v>
      </c>
      <c r="G84" s="291">
        <v>0</v>
      </c>
      <c r="H84" s="291">
        <v>3</v>
      </c>
      <c r="I84" s="291">
        <v>6</v>
      </c>
      <c r="J84" s="292">
        <v>3</v>
      </c>
      <c r="K84" s="222">
        <v>5408522.5</v>
      </c>
      <c r="L84" s="223">
        <v>1</v>
      </c>
      <c r="M84" s="224">
        <v>377777</v>
      </c>
      <c r="N84" s="225">
        <v>63363.4</v>
      </c>
      <c r="O84" s="226">
        <v>2</v>
      </c>
      <c r="P84" s="227">
        <v>24</v>
      </c>
      <c r="Q84" s="226">
        <v>213</v>
      </c>
      <c r="R84" s="227">
        <v>2183</v>
      </c>
      <c r="S84" s="226">
        <v>22199</v>
      </c>
      <c r="T84" s="227">
        <v>213575</v>
      </c>
      <c r="V84" s="228"/>
      <c r="X84" s="304"/>
    </row>
    <row r="85" spans="1:24" x14ac:dyDescent="0.15">
      <c r="A85" s="178"/>
      <c r="B85" s="179" t="s">
        <v>300</v>
      </c>
      <c r="C85" s="180" t="s">
        <v>363</v>
      </c>
      <c r="D85" s="289">
        <v>2</v>
      </c>
      <c r="E85" s="289">
        <v>5</v>
      </c>
      <c r="F85" s="289">
        <v>5</v>
      </c>
      <c r="G85" s="289">
        <v>3</v>
      </c>
      <c r="H85" s="289">
        <v>2</v>
      </c>
      <c r="I85" s="289">
        <v>2</v>
      </c>
      <c r="J85" s="303">
        <v>7</v>
      </c>
      <c r="K85" s="229">
        <v>12936620</v>
      </c>
      <c r="L85" s="230" t="s">
        <v>23</v>
      </c>
      <c r="M85" s="229" t="s">
        <v>368</v>
      </c>
      <c r="N85" s="231">
        <v>983157.1</v>
      </c>
      <c r="O85" s="232">
        <v>5</v>
      </c>
      <c r="P85" s="233">
        <v>68</v>
      </c>
      <c r="Q85" s="232">
        <v>595</v>
      </c>
      <c r="R85" s="233">
        <v>5861</v>
      </c>
      <c r="S85" s="232">
        <v>58208</v>
      </c>
      <c r="T85" s="233">
        <v>569603</v>
      </c>
      <c r="V85" s="228"/>
      <c r="X85" s="304"/>
    </row>
    <row r="86" spans="1:24" x14ac:dyDescent="0.15">
      <c r="A86" s="172">
        <v>35</v>
      </c>
      <c r="B86" s="173" t="s">
        <v>144</v>
      </c>
      <c r="C86" s="174" t="s">
        <v>362</v>
      </c>
      <c r="D86" s="291">
        <v>1</v>
      </c>
      <c r="E86" s="291">
        <v>0</v>
      </c>
      <c r="F86" s="291">
        <v>9</v>
      </c>
      <c r="G86" s="291">
        <v>8</v>
      </c>
      <c r="H86" s="291">
        <v>6</v>
      </c>
      <c r="I86" s="291">
        <v>8</v>
      </c>
      <c r="J86" s="292">
        <v>0</v>
      </c>
      <c r="K86" s="222">
        <v>5175155</v>
      </c>
      <c r="L86" s="223" t="s">
        <v>23</v>
      </c>
      <c r="M86" s="224" t="s">
        <v>368</v>
      </c>
      <c r="N86" s="225">
        <v>1351110.6</v>
      </c>
      <c r="O86" s="226">
        <v>3</v>
      </c>
      <c r="P86" s="227">
        <v>14</v>
      </c>
      <c r="Q86" s="226">
        <v>137</v>
      </c>
      <c r="R86" s="227">
        <v>1355</v>
      </c>
      <c r="S86" s="226">
        <v>13784</v>
      </c>
      <c r="T86" s="227">
        <v>141063</v>
      </c>
      <c r="V86" s="228"/>
      <c r="X86" s="304"/>
    </row>
    <row r="87" spans="1:24" x14ac:dyDescent="0.15">
      <c r="A87" s="178"/>
      <c r="B87" s="179" t="s">
        <v>301</v>
      </c>
      <c r="C87" s="180" t="s">
        <v>363</v>
      </c>
      <c r="D87" s="289">
        <v>3</v>
      </c>
      <c r="E87" s="289">
        <v>6</v>
      </c>
      <c r="F87" s="289">
        <v>2</v>
      </c>
      <c r="G87" s="289">
        <v>1</v>
      </c>
      <c r="H87" s="289">
        <v>5</v>
      </c>
      <c r="I87" s="289">
        <v>6</v>
      </c>
      <c r="J87" s="303">
        <v>9</v>
      </c>
      <c r="K87" s="229">
        <v>12795295</v>
      </c>
      <c r="L87" s="230">
        <v>1</v>
      </c>
      <c r="M87" s="229">
        <v>2177777</v>
      </c>
      <c r="N87" s="231">
        <v>83079.100000000006</v>
      </c>
      <c r="O87" s="232">
        <v>5</v>
      </c>
      <c r="P87" s="233">
        <v>37</v>
      </c>
      <c r="Q87" s="232">
        <v>517</v>
      </c>
      <c r="R87" s="233">
        <v>4802</v>
      </c>
      <c r="S87" s="232">
        <v>47671</v>
      </c>
      <c r="T87" s="233">
        <v>430427</v>
      </c>
      <c r="V87" s="228"/>
      <c r="X87" s="304"/>
    </row>
    <row r="88" spans="1:24" x14ac:dyDescent="0.15">
      <c r="A88" s="172">
        <v>36</v>
      </c>
      <c r="B88" s="173" t="s">
        <v>145</v>
      </c>
      <c r="C88" s="174" t="s">
        <v>362</v>
      </c>
      <c r="D88" s="291">
        <v>4</v>
      </c>
      <c r="E88" s="291">
        <v>0</v>
      </c>
      <c r="F88" s="291">
        <v>2</v>
      </c>
      <c r="G88" s="291">
        <v>9</v>
      </c>
      <c r="H88" s="291">
        <v>0</v>
      </c>
      <c r="I88" s="291">
        <v>2</v>
      </c>
      <c r="J88" s="292">
        <v>6</v>
      </c>
      <c r="K88" s="222">
        <v>5445360</v>
      </c>
      <c r="L88" s="234" t="s">
        <v>23</v>
      </c>
      <c r="M88" s="224" t="s">
        <v>368</v>
      </c>
      <c r="N88" s="225">
        <v>470244.2</v>
      </c>
      <c r="O88" s="226">
        <v>1</v>
      </c>
      <c r="P88" s="227">
        <v>17</v>
      </c>
      <c r="Q88" s="226">
        <v>191</v>
      </c>
      <c r="R88" s="227">
        <v>1738</v>
      </c>
      <c r="S88" s="226">
        <v>20224</v>
      </c>
      <c r="T88" s="227">
        <v>193505</v>
      </c>
      <c r="V88" s="228"/>
      <c r="X88" s="304"/>
    </row>
    <row r="89" spans="1:24" x14ac:dyDescent="0.15">
      <c r="A89" s="178"/>
      <c r="B89" s="179" t="s">
        <v>302</v>
      </c>
      <c r="C89" s="180" t="s">
        <v>363</v>
      </c>
      <c r="D89" s="289">
        <v>9</v>
      </c>
      <c r="E89" s="289">
        <v>3</v>
      </c>
      <c r="F89" s="289">
        <v>1</v>
      </c>
      <c r="G89" s="289">
        <v>5</v>
      </c>
      <c r="H89" s="289">
        <v>9</v>
      </c>
      <c r="I89" s="289">
        <v>8</v>
      </c>
      <c r="J89" s="303">
        <v>0</v>
      </c>
      <c r="K89" s="229">
        <v>12885542.5</v>
      </c>
      <c r="L89" s="237" t="s">
        <v>23</v>
      </c>
      <c r="M89" s="229" t="s">
        <v>368</v>
      </c>
      <c r="N89" s="231">
        <v>1386406.3</v>
      </c>
      <c r="O89" s="232">
        <v>5</v>
      </c>
      <c r="P89" s="233">
        <v>50</v>
      </c>
      <c r="Q89" s="232">
        <v>372</v>
      </c>
      <c r="R89" s="233">
        <v>3369</v>
      </c>
      <c r="S89" s="232">
        <v>34079</v>
      </c>
      <c r="T89" s="233">
        <v>343216</v>
      </c>
      <c r="V89" s="228"/>
      <c r="X89" s="304"/>
    </row>
    <row r="90" spans="1:24" x14ac:dyDescent="0.15">
      <c r="A90" s="172">
        <v>37</v>
      </c>
      <c r="B90" s="173" t="s">
        <v>146</v>
      </c>
      <c r="C90" s="174" t="s">
        <v>362</v>
      </c>
      <c r="D90" s="291">
        <v>8</v>
      </c>
      <c r="E90" s="291">
        <v>2</v>
      </c>
      <c r="F90" s="291">
        <v>3</v>
      </c>
      <c r="G90" s="291">
        <v>7</v>
      </c>
      <c r="H90" s="291">
        <v>8</v>
      </c>
      <c r="I90" s="291">
        <v>4</v>
      </c>
      <c r="J90" s="292">
        <v>5</v>
      </c>
      <c r="K90" s="222">
        <v>5373152.5</v>
      </c>
      <c r="L90" s="234">
        <v>1</v>
      </c>
      <c r="M90" s="224">
        <v>1677777</v>
      </c>
      <c r="N90" s="225">
        <v>90660.4</v>
      </c>
      <c r="O90" s="226">
        <v>3</v>
      </c>
      <c r="P90" s="227">
        <v>25</v>
      </c>
      <c r="Q90" s="226">
        <v>238</v>
      </c>
      <c r="R90" s="227">
        <v>2442</v>
      </c>
      <c r="S90" s="226">
        <v>23824</v>
      </c>
      <c r="T90" s="227">
        <v>228054</v>
      </c>
      <c r="V90" s="228"/>
      <c r="X90" s="304"/>
    </row>
    <row r="91" spans="1:24" x14ac:dyDescent="0.15">
      <c r="A91" s="178"/>
      <c r="B91" s="179" t="s">
        <v>303</v>
      </c>
      <c r="C91" s="180" t="s">
        <v>363</v>
      </c>
      <c r="D91" s="289">
        <v>7</v>
      </c>
      <c r="E91" s="289">
        <v>7</v>
      </c>
      <c r="F91" s="289">
        <v>4</v>
      </c>
      <c r="G91" s="289">
        <v>9</v>
      </c>
      <c r="H91" s="289">
        <v>3</v>
      </c>
      <c r="I91" s="289">
        <v>7</v>
      </c>
      <c r="J91" s="303">
        <v>1</v>
      </c>
      <c r="K91" s="229">
        <v>13124187.5</v>
      </c>
      <c r="L91" s="230" t="s">
        <v>23</v>
      </c>
      <c r="M91" s="229" t="s">
        <v>368</v>
      </c>
      <c r="N91" s="231">
        <v>1023790.1</v>
      </c>
      <c r="O91" s="232">
        <v>3</v>
      </c>
      <c r="P91" s="233">
        <v>37</v>
      </c>
      <c r="Q91" s="232">
        <v>384</v>
      </c>
      <c r="R91" s="233">
        <v>4125</v>
      </c>
      <c r="S91" s="232">
        <v>39504</v>
      </c>
      <c r="T91" s="233">
        <v>408904</v>
      </c>
      <c r="V91" s="228"/>
      <c r="X91" s="304"/>
    </row>
    <row r="92" spans="1:24" x14ac:dyDescent="0.15">
      <c r="A92" s="172">
        <v>38</v>
      </c>
      <c r="B92" s="173" t="s">
        <v>147</v>
      </c>
      <c r="C92" s="174" t="s">
        <v>362</v>
      </c>
      <c r="D92" s="291">
        <v>7</v>
      </c>
      <c r="E92" s="291">
        <v>6</v>
      </c>
      <c r="F92" s="291">
        <v>6</v>
      </c>
      <c r="G92" s="291">
        <v>1</v>
      </c>
      <c r="H92" s="291">
        <v>9</v>
      </c>
      <c r="I92" s="291">
        <v>3</v>
      </c>
      <c r="J92" s="292">
        <v>7</v>
      </c>
      <c r="K92" s="222">
        <v>5208995</v>
      </c>
      <c r="L92" s="223" t="s">
        <v>23</v>
      </c>
      <c r="M92" s="224" t="s">
        <v>368</v>
      </c>
      <c r="N92" s="225">
        <v>1394149.6</v>
      </c>
      <c r="O92" s="226" t="s">
        <v>17</v>
      </c>
      <c r="P92" s="226">
        <v>27</v>
      </c>
      <c r="Q92" s="227">
        <v>251</v>
      </c>
      <c r="R92" s="226">
        <v>2202</v>
      </c>
      <c r="S92" s="227">
        <v>21804</v>
      </c>
      <c r="T92" s="226">
        <v>229305</v>
      </c>
      <c r="V92" s="228"/>
      <c r="X92" s="304"/>
    </row>
    <row r="93" spans="1:24" x14ac:dyDescent="0.15">
      <c r="A93" s="178"/>
      <c r="B93" s="179" t="s">
        <v>304</v>
      </c>
      <c r="C93" s="180" t="s">
        <v>363</v>
      </c>
      <c r="D93" s="289">
        <v>2</v>
      </c>
      <c r="E93" s="289">
        <v>4</v>
      </c>
      <c r="F93" s="289">
        <v>8</v>
      </c>
      <c r="G93" s="289">
        <v>2</v>
      </c>
      <c r="H93" s="289">
        <v>6</v>
      </c>
      <c r="I93" s="289">
        <v>8</v>
      </c>
      <c r="J93" s="303">
        <v>3</v>
      </c>
      <c r="K93" s="229">
        <v>12535310</v>
      </c>
      <c r="L93" s="237" t="s">
        <v>23</v>
      </c>
      <c r="M93" s="229" t="s">
        <v>368</v>
      </c>
      <c r="N93" s="231">
        <v>2285410.1</v>
      </c>
      <c r="O93" s="232">
        <v>6</v>
      </c>
      <c r="P93" s="232">
        <v>49</v>
      </c>
      <c r="Q93" s="233">
        <v>498</v>
      </c>
      <c r="R93" s="232">
        <v>4582</v>
      </c>
      <c r="S93" s="233">
        <v>46426</v>
      </c>
      <c r="T93" s="232">
        <v>465525</v>
      </c>
      <c r="V93" s="228"/>
      <c r="X93" s="304"/>
    </row>
    <row r="94" spans="1:24" x14ac:dyDescent="0.15">
      <c r="A94" s="172">
        <v>39</v>
      </c>
      <c r="B94" s="173" t="s">
        <v>148</v>
      </c>
      <c r="C94" s="174" t="s">
        <v>362</v>
      </c>
      <c r="D94" s="291">
        <v>3</v>
      </c>
      <c r="E94" s="291">
        <v>0</v>
      </c>
      <c r="F94" s="291">
        <v>2</v>
      </c>
      <c r="G94" s="291">
        <v>4</v>
      </c>
      <c r="H94" s="291">
        <v>8</v>
      </c>
      <c r="I94" s="291">
        <v>1</v>
      </c>
      <c r="J94" s="292">
        <v>6</v>
      </c>
      <c r="K94" s="222">
        <v>5338120</v>
      </c>
      <c r="L94" s="234" t="s">
        <v>23</v>
      </c>
      <c r="M94" s="224" t="s">
        <v>368</v>
      </c>
      <c r="N94" s="225">
        <v>2664950.4</v>
      </c>
      <c r="O94" s="226">
        <v>3</v>
      </c>
      <c r="P94" s="226">
        <v>17</v>
      </c>
      <c r="Q94" s="227">
        <v>194</v>
      </c>
      <c r="R94" s="226">
        <v>1730</v>
      </c>
      <c r="S94" s="227">
        <v>18040</v>
      </c>
      <c r="T94" s="226">
        <v>191420</v>
      </c>
      <c r="V94" s="228"/>
      <c r="X94" s="304"/>
    </row>
    <row r="95" spans="1:24" x14ac:dyDescent="0.15">
      <c r="A95" s="178"/>
      <c r="B95" s="179" t="s">
        <v>305</v>
      </c>
      <c r="C95" s="180" t="s">
        <v>363</v>
      </c>
      <c r="D95" s="289">
        <v>2</v>
      </c>
      <c r="E95" s="289">
        <v>2</v>
      </c>
      <c r="F95" s="289">
        <v>5</v>
      </c>
      <c r="G95" s="289">
        <v>1</v>
      </c>
      <c r="H95" s="289">
        <v>6</v>
      </c>
      <c r="I95" s="289">
        <v>3</v>
      </c>
      <c r="J95" s="303">
        <v>0</v>
      </c>
      <c r="K95" s="229">
        <v>12884012.5</v>
      </c>
      <c r="L95" s="230" t="s">
        <v>23</v>
      </c>
      <c r="M95" s="229" t="s">
        <v>368</v>
      </c>
      <c r="N95" s="231">
        <v>3581003.7</v>
      </c>
      <c r="O95" s="232">
        <v>5</v>
      </c>
      <c r="P95" s="233">
        <v>34</v>
      </c>
      <c r="Q95" s="232">
        <v>335</v>
      </c>
      <c r="R95" s="233">
        <v>3500</v>
      </c>
      <c r="S95" s="232">
        <v>33348</v>
      </c>
      <c r="T95" s="233">
        <v>342539</v>
      </c>
      <c r="V95" s="228"/>
      <c r="X95" s="304"/>
    </row>
    <row r="96" spans="1:24" x14ac:dyDescent="0.15">
      <c r="A96" s="172">
        <v>40</v>
      </c>
      <c r="B96" s="173" t="s">
        <v>149</v>
      </c>
      <c r="C96" s="174" t="s">
        <v>362</v>
      </c>
      <c r="D96" s="291">
        <v>9</v>
      </c>
      <c r="E96" s="291">
        <v>4</v>
      </c>
      <c r="F96" s="291">
        <v>5</v>
      </c>
      <c r="G96" s="291">
        <v>2</v>
      </c>
      <c r="H96" s="291">
        <v>7</v>
      </c>
      <c r="I96" s="291">
        <v>2</v>
      </c>
      <c r="J96" s="292">
        <v>6</v>
      </c>
      <c r="K96" s="222">
        <v>5292650</v>
      </c>
      <c r="L96" s="234" t="s">
        <v>23</v>
      </c>
      <c r="M96" s="224" t="s">
        <v>368</v>
      </c>
      <c r="N96" s="225">
        <v>3957311.1</v>
      </c>
      <c r="O96" s="226">
        <v>3</v>
      </c>
      <c r="P96" s="226">
        <v>18</v>
      </c>
      <c r="Q96" s="227">
        <v>195</v>
      </c>
      <c r="R96" s="226">
        <v>2037</v>
      </c>
      <c r="S96" s="227">
        <v>19876</v>
      </c>
      <c r="T96" s="226">
        <v>190523</v>
      </c>
      <c r="V96" s="228"/>
      <c r="X96" s="304"/>
    </row>
    <row r="97" spans="1:24" x14ac:dyDescent="0.15">
      <c r="A97" s="178"/>
      <c r="B97" s="179" t="s">
        <v>306</v>
      </c>
      <c r="C97" s="180" t="s">
        <v>363</v>
      </c>
      <c r="D97" s="289">
        <v>5</v>
      </c>
      <c r="E97" s="289">
        <v>0</v>
      </c>
      <c r="F97" s="289">
        <v>5</v>
      </c>
      <c r="G97" s="289">
        <v>4</v>
      </c>
      <c r="H97" s="289">
        <v>8</v>
      </c>
      <c r="I97" s="289">
        <v>0</v>
      </c>
      <c r="J97" s="303">
        <v>2</v>
      </c>
      <c r="K97" s="229">
        <v>12530307.5</v>
      </c>
      <c r="L97" s="237">
        <v>1</v>
      </c>
      <c r="M97" s="229">
        <v>4777777</v>
      </c>
      <c r="N97" s="231">
        <v>70439</v>
      </c>
      <c r="O97" s="232">
        <v>4</v>
      </c>
      <c r="P97" s="233">
        <v>33</v>
      </c>
      <c r="Q97" s="232">
        <v>337</v>
      </c>
      <c r="R97" s="233">
        <v>3681</v>
      </c>
      <c r="S97" s="232">
        <v>35711</v>
      </c>
      <c r="T97" s="233">
        <v>411614</v>
      </c>
      <c r="V97" s="228"/>
      <c r="X97" s="304"/>
    </row>
    <row r="98" spans="1:24" x14ac:dyDescent="0.15">
      <c r="A98" s="172">
        <v>41</v>
      </c>
      <c r="B98" s="173" t="s">
        <v>150</v>
      </c>
      <c r="C98" s="174" t="s">
        <v>362</v>
      </c>
      <c r="D98" s="291">
        <v>0</v>
      </c>
      <c r="E98" s="291">
        <v>9</v>
      </c>
      <c r="F98" s="291">
        <v>1</v>
      </c>
      <c r="G98" s="291">
        <v>7</v>
      </c>
      <c r="H98" s="291">
        <v>3</v>
      </c>
      <c r="I98" s="291">
        <v>9</v>
      </c>
      <c r="J98" s="292">
        <v>2</v>
      </c>
      <c r="K98" s="222">
        <v>5392132.5</v>
      </c>
      <c r="L98" s="223" t="s">
        <v>23</v>
      </c>
      <c r="M98" s="224" t="s">
        <v>368</v>
      </c>
      <c r="N98" s="225">
        <v>453819.6</v>
      </c>
      <c r="O98" s="226">
        <v>3</v>
      </c>
      <c r="P98" s="227">
        <v>15</v>
      </c>
      <c r="Q98" s="226">
        <v>174</v>
      </c>
      <c r="R98" s="227">
        <v>1702</v>
      </c>
      <c r="S98" s="226">
        <v>16398</v>
      </c>
      <c r="T98" s="227">
        <v>176331</v>
      </c>
      <c r="V98" s="228"/>
      <c r="X98" s="304"/>
    </row>
    <row r="99" spans="1:24" x14ac:dyDescent="0.15">
      <c r="A99" s="178"/>
      <c r="B99" s="179" t="s">
        <v>307</v>
      </c>
      <c r="C99" s="180" t="s">
        <v>363</v>
      </c>
      <c r="D99" s="289">
        <v>0</v>
      </c>
      <c r="E99" s="289">
        <v>6</v>
      </c>
      <c r="F99" s="289">
        <v>9</v>
      </c>
      <c r="G99" s="289">
        <v>6</v>
      </c>
      <c r="H99" s="289">
        <v>5</v>
      </c>
      <c r="I99" s="289">
        <v>3</v>
      </c>
      <c r="J99" s="303">
        <v>3</v>
      </c>
      <c r="K99" s="229">
        <v>12988302.5</v>
      </c>
      <c r="L99" s="230">
        <v>1</v>
      </c>
      <c r="M99" s="229">
        <v>1277777</v>
      </c>
      <c r="N99" s="231">
        <v>99510.9</v>
      </c>
      <c r="O99" s="232">
        <v>7</v>
      </c>
      <c r="P99" s="233">
        <v>45</v>
      </c>
      <c r="Q99" s="232">
        <v>471</v>
      </c>
      <c r="R99" s="233">
        <v>4687</v>
      </c>
      <c r="S99" s="232">
        <v>48040</v>
      </c>
      <c r="T99" s="233">
        <v>485797</v>
      </c>
      <c r="V99" s="228"/>
      <c r="X99" s="304"/>
    </row>
    <row r="100" spans="1:24" x14ac:dyDescent="0.15">
      <c r="A100" s="172">
        <v>42</v>
      </c>
      <c r="B100" s="173" t="s">
        <v>151</v>
      </c>
      <c r="C100" s="174" t="s">
        <v>362</v>
      </c>
      <c r="D100" s="291">
        <v>2</v>
      </c>
      <c r="E100" s="291">
        <v>7</v>
      </c>
      <c r="F100" s="291">
        <v>8</v>
      </c>
      <c r="G100" s="291">
        <v>5</v>
      </c>
      <c r="H100" s="291">
        <v>9</v>
      </c>
      <c r="I100" s="291">
        <v>0</v>
      </c>
      <c r="J100" s="292">
        <v>2</v>
      </c>
      <c r="K100" s="222">
        <v>5689695</v>
      </c>
      <c r="L100" s="234" t="s">
        <v>23</v>
      </c>
      <c r="M100" s="224" t="s">
        <v>368</v>
      </c>
      <c r="N100" s="225">
        <v>504048.2</v>
      </c>
      <c r="O100" s="226">
        <v>3</v>
      </c>
      <c r="P100" s="227">
        <v>12</v>
      </c>
      <c r="Q100" s="226">
        <v>164</v>
      </c>
      <c r="R100" s="227">
        <v>1628</v>
      </c>
      <c r="S100" s="226">
        <v>16506</v>
      </c>
      <c r="T100" s="227">
        <v>188812</v>
      </c>
      <c r="V100" s="228"/>
      <c r="X100" s="304"/>
    </row>
    <row r="101" spans="1:24" x14ac:dyDescent="0.15">
      <c r="A101" s="178"/>
      <c r="B101" s="179" t="s">
        <v>308</v>
      </c>
      <c r="C101" s="180" t="s">
        <v>363</v>
      </c>
      <c r="D101" s="289">
        <v>4</v>
      </c>
      <c r="E101" s="289">
        <v>0</v>
      </c>
      <c r="F101" s="289">
        <v>2</v>
      </c>
      <c r="G101" s="289">
        <v>3</v>
      </c>
      <c r="H101" s="289">
        <v>8</v>
      </c>
      <c r="I101" s="289">
        <v>7</v>
      </c>
      <c r="J101" s="303">
        <v>6</v>
      </c>
      <c r="K101" s="229">
        <v>13476347.5</v>
      </c>
      <c r="L101" s="237" t="s">
        <v>23</v>
      </c>
      <c r="M101" s="229" t="s">
        <v>368</v>
      </c>
      <c r="N101" s="231">
        <v>1462216.5</v>
      </c>
      <c r="O101" s="232">
        <v>5</v>
      </c>
      <c r="P101" s="233">
        <v>56</v>
      </c>
      <c r="Q101" s="232">
        <v>496</v>
      </c>
      <c r="R101" s="233">
        <v>4881</v>
      </c>
      <c r="S101" s="232">
        <v>47530</v>
      </c>
      <c r="T101" s="233">
        <v>485332</v>
      </c>
      <c r="U101" s="228"/>
      <c r="V101" s="228"/>
      <c r="X101" s="304"/>
    </row>
    <row r="102" spans="1:24" x14ac:dyDescent="0.15">
      <c r="A102" s="172">
        <v>43</v>
      </c>
      <c r="B102" s="173" t="s">
        <v>152</v>
      </c>
      <c r="C102" s="174" t="s">
        <v>362</v>
      </c>
      <c r="D102" s="291">
        <v>4</v>
      </c>
      <c r="E102" s="291">
        <v>9</v>
      </c>
      <c r="F102" s="291">
        <v>5</v>
      </c>
      <c r="G102" s="291">
        <v>6</v>
      </c>
      <c r="H102" s="291">
        <v>4</v>
      </c>
      <c r="I102" s="291">
        <v>7</v>
      </c>
      <c r="J102" s="292">
        <v>7</v>
      </c>
      <c r="K102" s="222">
        <v>6105620</v>
      </c>
      <c r="L102" s="223" t="s">
        <v>23</v>
      </c>
      <c r="M102" s="224" t="s">
        <v>368</v>
      </c>
      <c r="N102" s="225">
        <v>1896326.1</v>
      </c>
      <c r="O102" s="226">
        <v>3</v>
      </c>
      <c r="P102" s="227">
        <v>32</v>
      </c>
      <c r="Q102" s="226">
        <v>314</v>
      </c>
      <c r="R102" s="227">
        <v>2948</v>
      </c>
      <c r="S102" s="226">
        <v>33731</v>
      </c>
      <c r="T102" s="227">
        <v>257008</v>
      </c>
      <c r="V102" s="228"/>
      <c r="X102" s="304"/>
    </row>
    <row r="103" spans="1:24" x14ac:dyDescent="0.15">
      <c r="A103" s="178"/>
      <c r="B103" s="287" t="s">
        <v>397</v>
      </c>
      <c r="C103" s="180" t="s">
        <v>363</v>
      </c>
      <c r="D103" s="289">
        <v>1</v>
      </c>
      <c r="E103" s="289">
        <v>8</v>
      </c>
      <c r="F103" s="289">
        <v>7</v>
      </c>
      <c r="G103" s="289">
        <v>0</v>
      </c>
      <c r="H103" s="289">
        <v>8</v>
      </c>
      <c r="I103" s="289">
        <v>5</v>
      </c>
      <c r="J103" s="303">
        <v>3</v>
      </c>
      <c r="K103" s="229">
        <v>12783467.5</v>
      </c>
      <c r="L103" s="237">
        <v>1</v>
      </c>
      <c r="M103" s="229">
        <v>2777777</v>
      </c>
      <c r="N103" s="231">
        <v>27453.599999999999</v>
      </c>
      <c r="O103" s="232">
        <v>3</v>
      </c>
      <c r="P103" s="233">
        <v>41</v>
      </c>
      <c r="Q103" s="232">
        <v>543</v>
      </c>
      <c r="R103" s="233">
        <v>5284</v>
      </c>
      <c r="S103" s="232">
        <v>49484</v>
      </c>
      <c r="T103" s="233">
        <v>476699</v>
      </c>
      <c r="V103" s="228"/>
      <c r="X103" s="304"/>
    </row>
    <row r="104" spans="1:24" x14ac:dyDescent="0.15">
      <c r="A104" s="172">
        <v>44</v>
      </c>
      <c r="B104" s="173" t="s">
        <v>153</v>
      </c>
      <c r="C104" s="174" t="s">
        <v>362</v>
      </c>
      <c r="D104" s="291">
        <v>1</v>
      </c>
      <c r="E104" s="291">
        <v>4</v>
      </c>
      <c r="F104" s="291">
        <v>8</v>
      </c>
      <c r="G104" s="291">
        <v>4</v>
      </c>
      <c r="H104" s="291">
        <v>4</v>
      </c>
      <c r="I104" s="291">
        <v>5</v>
      </c>
      <c r="J104" s="292">
        <v>1</v>
      </c>
      <c r="K104" s="222">
        <v>5333360</v>
      </c>
      <c r="L104" s="234" t="s">
        <v>23</v>
      </c>
      <c r="M104" s="224" t="s">
        <v>368</v>
      </c>
      <c r="N104" s="225">
        <v>406655.5</v>
      </c>
      <c r="O104" s="226">
        <v>3</v>
      </c>
      <c r="P104" s="227">
        <v>22</v>
      </c>
      <c r="Q104" s="226">
        <v>172</v>
      </c>
      <c r="R104" s="227">
        <v>1771</v>
      </c>
      <c r="S104" s="226">
        <v>17109</v>
      </c>
      <c r="T104" s="227">
        <v>165640</v>
      </c>
      <c r="V104" s="228"/>
      <c r="X104" s="304"/>
    </row>
    <row r="105" spans="1:24" x14ac:dyDescent="0.15">
      <c r="A105" s="178"/>
      <c r="B105" s="179" t="s">
        <v>309</v>
      </c>
      <c r="C105" s="180" t="s">
        <v>363</v>
      </c>
      <c r="D105" s="289">
        <v>6</v>
      </c>
      <c r="E105" s="289">
        <v>0</v>
      </c>
      <c r="F105" s="289">
        <v>8</v>
      </c>
      <c r="G105" s="289">
        <v>1</v>
      </c>
      <c r="H105" s="289">
        <v>8</v>
      </c>
      <c r="I105" s="289">
        <v>0</v>
      </c>
      <c r="J105" s="303">
        <v>6</v>
      </c>
      <c r="K105" s="229">
        <v>12419285</v>
      </c>
      <c r="L105" s="237" t="s">
        <v>23</v>
      </c>
      <c r="M105" s="229" t="s">
        <v>368</v>
      </c>
      <c r="N105" s="231">
        <v>1289666.7</v>
      </c>
      <c r="O105" s="232">
        <v>3</v>
      </c>
      <c r="P105" s="232">
        <v>29</v>
      </c>
      <c r="Q105" s="233">
        <v>354</v>
      </c>
      <c r="R105" s="232">
        <v>3763</v>
      </c>
      <c r="S105" s="233">
        <v>37607</v>
      </c>
      <c r="T105" s="232">
        <v>455954</v>
      </c>
      <c r="V105" s="228"/>
      <c r="X105" s="304"/>
    </row>
    <row r="106" spans="1:24" x14ac:dyDescent="0.15">
      <c r="A106" s="172">
        <v>45</v>
      </c>
      <c r="B106" s="173" t="s">
        <v>154</v>
      </c>
      <c r="C106" s="174" t="s">
        <v>362</v>
      </c>
      <c r="D106" s="291">
        <v>4</v>
      </c>
      <c r="E106" s="291">
        <v>0</v>
      </c>
      <c r="F106" s="291">
        <v>3</v>
      </c>
      <c r="G106" s="291">
        <v>4</v>
      </c>
      <c r="H106" s="291">
        <v>9</v>
      </c>
      <c r="I106" s="291">
        <v>0</v>
      </c>
      <c r="J106" s="292">
        <v>9</v>
      </c>
      <c r="K106" s="222">
        <v>5212912.5</v>
      </c>
      <c r="L106" s="223" t="s">
        <v>23</v>
      </c>
      <c r="M106" s="224" t="s">
        <v>368</v>
      </c>
      <c r="N106" s="225">
        <v>1660304.8</v>
      </c>
      <c r="O106" s="226">
        <v>3</v>
      </c>
      <c r="P106" s="227">
        <v>14</v>
      </c>
      <c r="Q106" s="226">
        <v>164</v>
      </c>
      <c r="R106" s="227">
        <v>1588</v>
      </c>
      <c r="S106" s="226">
        <v>14742</v>
      </c>
      <c r="T106" s="227">
        <v>169850</v>
      </c>
      <c r="V106" s="228"/>
      <c r="X106" s="304"/>
    </row>
    <row r="107" spans="1:24" x14ac:dyDescent="0.15">
      <c r="A107" s="178"/>
      <c r="B107" s="179" t="s">
        <v>310</v>
      </c>
      <c r="C107" s="180" t="s">
        <v>363</v>
      </c>
      <c r="D107" s="289">
        <v>2</v>
      </c>
      <c r="E107" s="289">
        <v>4</v>
      </c>
      <c r="F107" s="289">
        <v>5</v>
      </c>
      <c r="G107" s="289">
        <v>9</v>
      </c>
      <c r="H107" s="289">
        <v>4</v>
      </c>
      <c r="I107" s="289">
        <v>0</v>
      </c>
      <c r="J107" s="303">
        <v>5</v>
      </c>
      <c r="K107" s="229">
        <v>13067662.5</v>
      </c>
      <c r="L107" s="237" t="s">
        <v>23</v>
      </c>
      <c r="M107" s="229" t="s">
        <v>368</v>
      </c>
      <c r="N107" s="231">
        <v>2589415.6</v>
      </c>
      <c r="O107" s="232">
        <v>4</v>
      </c>
      <c r="P107" s="233">
        <v>54</v>
      </c>
      <c r="Q107" s="232">
        <v>443</v>
      </c>
      <c r="R107" s="233">
        <v>4796</v>
      </c>
      <c r="S107" s="232">
        <v>46197</v>
      </c>
      <c r="T107" s="233">
        <v>572674</v>
      </c>
      <c r="V107" s="228"/>
      <c r="X107" s="304"/>
    </row>
    <row r="108" spans="1:24" x14ac:dyDescent="0.15">
      <c r="A108" s="172">
        <v>46</v>
      </c>
      <c r="B108" s="173" t="s">
        <v>155</v>
      </c>
      <c r="C108" s="174" t="s">
        <v>362</v>
      </c>
      <c r="D108" s="291">
        <v>3</v>
      </c>
      <c r="E108" s="291">
        <v>2</v>
      </c>
      <c r="F108" s="291">
        <v>2</v>
      </c>
      <c r="G108" s="291">
        <v>7</v>
      </c>
      <c r="H108" s="291">
        <v>0</v>
      </c>
      <c r="I108" s="291">
        <v>5</v>
      </c>
      <c r="J108" s="292">
        <v>5</v>
      </c>
      <c r="K108" s="222">
        <v>5488637.5</v>
      </c>
      <c r="L108" s="234" t="s">
        <v>23</v>
      </c>
      <c r="M108" s="224" t="s">
        <v>368</v>
      </c>
      <c r="N108" s="225">
        <v>2979657.7</v>
      </c>
      <c r="O108" s="226">
        <v>3</v>
      </c>
      <c r="P108" s="227">
        <v>20</v>
      </c>
      <c r="Q108" s="226">
        <v>247</v>
      </c>
      <c r="R108" s="227">
        <v>2413</v>
      </c>
      <c r="S108" s="226">
        <v>26134</v>
      </c>
      <c r="T108" s="227">
        <v>229211</v>
      </c>
      <c r="V108" s="228"/>
      <c r="X108" s="304"/>
    </row>
    <row r="109" spans="1:24" x14ac:dyDescent="0.15">
      <c r="A109" s="178"/>
      <c r="B109" s="179" t="s">
        <v>311</v>
      </c>
      <c r="C109" s="180" t="s">
        <v>363</v>
      </c>
      <c r="D109" s="289">
        <v>3</v>
      </c>
      <c r="E109" s="289">
        <v>9</v>
      </c>
      <c r="F109" s="289">
        <v>3</v>
      </c>
      <c r="G109" s="289">
        <v>9</v>
      </c>
      <c r="H109" s="289">
        <v>9</v>
      </c>
      <c r="I109" s="289">
        <v>4</v>
      </c>
      <c r="J109" s="303">
        <v>0</v>
      </c>
      <c r="K109" s="229">
        <v>13279070</v>
      </c>
      <c r="L109" s="237" t="s">
        <v>23</v>
      </c>
      <c r="M109" s="229"/>
      <c r="N109" s="231">
        <v>3923799.6</v>
      </c>
      <c r="O109" s="232">
        <v>4</v>
      </c>
      <c r="P109" s="233">
        <v>30</v>
      </c>
      <c r="Q109" s="232">
        <v>338</v>
      </c>
      <c r="R109" s="233">
        <v>3543</v>
      </c>
      <c r="S109" s="232">
        <v>34913</v>
      </c>
      <c r="T109" s="233">
        <v>355654</v>
      </c>
      <c r="V109" s="228"/>
      <c r="X109" s="304"/>
    </row>
    <row r="110" spans="1:24" x14ac:dyDescent="0.15">
      <c r="A110" s="172">
        <v>47</v>
      </c>
      <c r="B110" s="173" t="s">
        <v>156</v>
      </c>
      <c r="C110" s="174" t="s">
        <v>362</v>
      </c>
      <c r="D110" s="291">
        <v>1</v>
      </c>
      <c r="E110" s="291">
        <v>7</v>
      </c>
      <c r="F110" s="291">
        <v>1</v>
      </c>
      <c r="G110" s="291">
        <v>6</v>
      </c>
      <c r="H110" s="291">
        <v>5</v>
      </c>
      <c r="I110" s="291">
        <v>8</v>
      </c>
      <c r="J110" s="292">
        <v>3</v>
      </c>
      <c r="K110" s="222">
        <v>5872687.5</v>
      </c>
      <c r="L110" s="234" t="s">
        <v>23</v>
      </c>
      <c r="M110" s="224" t="s">
        <v>368</v>
      </c>
      <c r="N110" s="225">
        <v>4341347.7</v>
      </c>
      <c r="O110" s="226">
        <v>6</v>
      </c>
      <c r="P110" s="227">
        <v>27</v>
      </c>
      <c r="Q110" s="226">
        <v>251</v>
      </c>
      <c r="R110" s="227">
        <v>2375</v>
      </c>
      <c r="S110" s="226">
        <v>23513</v>
      </c>
      <c r="T110" s="227">
        <v>236256</v>
      </c>
      <c r="V110" s="228"/>
      <c r="X110" s="304"/>
    </row>
    <row r="111" spans="1:24" x14ac:dyDescent="0.15">
      <c r="A111" s="178"/>
      <c r="B111" s="179" t="s">
        <v>312</v>
      </c>
      <c r="C111" s="180" t="s">
        <v>363</v>
      </c>
      <c r="D111" s="289">
        <v>5</v>
      </c>
      <c r="E111" s="289">
        <v>9</v>
      </c>
      <c r="F111" s="289">
        <v>3</v>
      </c>
      <c r="G111" s="289">
        <v>6</v>
      </c>
      <c r="H111" s="289">
        <v>5</v>
      </c>
      <c r="I111" s="289">
        <v>5</v>
      </c>
      <c r="J111" s="303">
        <v>5</v>
      </c>
      <c r="K111" s="229">
        <v>13700642.5</v>
      </c>
      <c r="L111" s="230" t="s">
        <v>23</v>
      </c>
      <c r="M111" s="229" t="s">
        <v>368</v>
      </c>
      <c r="N111" s="231">
        <v>5315463.4000000004</v>
      </c>
      <c r="O111" s="232">
        <v>7</v>
      </c>
      <c r="P111" s="233">
        <v>63</v>
      </c>
      <c r="Q111" s="232">
        <v>685</v>
      </c>
      <c r="R111" s="233">
        <v>7534</v>
      </c>
      <c r="S111" s="232">
        <v>61352</v>
      </c>
      <c r="T111" s="233">
        <v>581800</v>
      </c>
      <c r="V111" s="228"/>
      <c r="X111" s="304"/>
    </row>
    <row r="112" spans="1:24" x14ac:dyDescent="0.15">
      <c r="A112" s="172">
        <v>48</v>
      </c>
      <c r="B112" s="173" t="s">
        <v>157</v>
      </c>
      <c r="C112" s="174" t="s">
        <v>362</v>
      </c>
      <c r="D112" s="291">
        <v>9</v>
      </c>
      <c r="E112" s="291">
        <v>2</v>
      </c>
      <c r="F112" s="291">
        <v>8</v>
      </c>
      <c r="G112" s="291">
        <v>5</v>
      </c>
      <c r="H112" s="291">
        <v>6</v>
      </c>
      <c r="I112" s="291">
        <v>9</v>
      </c>
      <c r="J112" s="292">
        <v>8</v>
      </c>
      <c r="K112" s="222">
        <v>5369157.5</v>
      </c>
      <c r="L112" s="234">
        <v>1</v>
      </c>
      <c r="M112" s="224">
        <v>5677777</v>
      </c>
      <c r="N112" s="225">
        <v>19433.5</v>
      </c>
      <c r="O112" s="226">
        <v>3</v>
      </c>
      <c r="P112" s="227">
        <v>14</v>
      </c>
      <c r="Q112" s="226">
        <v>212</v>
      </c>
      <c r="R112" s="227">
        <v>2089</v>
      </c>
      <c r="S112" s="226">
        <v>18880</v>
      </c>
      <c r="T112" s="227">
        <v>213309</v>
      </c>
      <c r="V112" s="228"/>
      <c r="X112" s="304"/>
    </row>
    <row r="113" spans="1:24" x14ac:dyDescent="0.15">
      <c r="A113" s="178"/>
      <c r="B113" s="179" t="s">
        <v>398</v>
      </c>
      <c r="C113" s="180" t="s">
        <v>363</v>
      </c>
      <c r="D113" s="289">
        <v>3</v>
      </c>
      <c r="E113" s="289">
        <v>5</v>
      </c>
      <c r="F113" s="289">
        <v>7</v>
      </c>
      <c r="G113" s="289">
        <v>9</v>
      </c>
      <c r="H113" s="289">
        <v>7</v>
      </c>
      <c r="I113" s="289">
        <v>4</v>
      </c>
      <c r="J113" s="303">
        <v>6</v>
      </c>
      <c r="K113" s="229">
        <v>13194912.5</v>
      </c>
      <c r="L113" s="230" t="s">
        <v>23</v>
      </c>
      <c r="M113" s="229" t="s">
        <v>368</v>
      </c>
      <c r="N113" s="231">
        <v>957591.8</v>
      </c>
      <c r="O113" s="232">
        <v>4</v>
      </c>
      <c r="P113" s="233">
        <v>52</v>
      </c>
      <c r="Q113" s="232">
        <v>507</v>
      </c>
      <c r="R113" s="233">
        <v>5114</v>
      </c>
      <c r="S113" s="232">
        <v>48781</v>
      </c>
      <c r="T113" s="233">
        <v>475875</v>
      </c>
      <c r="V113" s="228"/>
      <c r="X113" s="304"/>
    </row>
    <row r="114" spans="1:24" x14ac:dyDescent="0.15">
      <c r="A114" s="172">
        <v>49</v>
      </c>
      <c r="B114" s="173" t="s">
        <v>158</v>
      </c>
      <c r="C114" s="174" t="s">
        <v>362</v>
      </c>
      <c r="D114" s="291">
        <v>9</v>
      </c>
      <c r="E114" s="291">
        <v>3</v>
      </c>
      <c r="F114" s="291">
        <v>4</v>
      </c>
      <c r="G114" s="291">
        <v>8</v>
      </c>
      <c r="H114" s="291">
        <v>6</v>
      </c>
      <c r="I114" s="291">
        <v>1</v>
      </c>
      <c r="J114" s="292">
        <v>0</v>
      </c>
      <c r="K114" s="222">
        <v>6207765</v>
      </c>
      <c r="L114" s="234" t="s">
        <v>23</v>
      </c>
      <c r="M114" s="224" t="s">
        <v>368</v>
      </c>
      <c r="N114" s="225">
        <v>1398963.9</v>
      </c>
      <c r="O114" s="226">
        <v>2</v>
      </c>
      <c r="P114" s="227">
        <v>18</v>
      </c>
      <c r="Q114" s="226">
        <v>158</v>
      </c>
      <c r="R114" s="227">
        <v>1696</v>
      </c>
      <c r="S114" s="226">
        <v>17064</v>
      </c>
      <c r="T114" s="227">
        <v>171082</v>
      </c>
      <c r="V114" s="228"/>
      <c r="X114" s="304"/>
    </row>
    <row r="115" spans="1:24" x14ac:dyDescent="0.15">
      <c r="A115" s="178"/>
      <c r="B115" s="179" t="s">
        <v>313</v>
      </c>
      <c r="C115" s="180" t="s">
        <v>363</v>
      </c>
      <c r="D115" s="289">
        <v>2</v>
      </c>
      <c r="E115" s="289">
        <v>5</v>
      </c>
      <c r="F115" s="289">
        <v>7</v>
      </c>
      <c r="G115" s="289">
        <v>9</v>
      </c>
      <c r="H115" s="289">
        <v>3</v>
      </c>
      <c r="I115" s="289">
        <v>7</v>
      </c>
      <c r="J115" s="303">
        <v>7</v>
      </c>
      <c r="K115" s="229">
        <v>14949480</v>
      </c>
      <c r="L115" s="230">
        <v>2</v>
      </c>
      <c r="M115" s="229">
        <v>1177777</v>
      </c>
      <c r="N115" s="231">
        <v>106317.9</v>
      </c>
      <c r="O115" s="232">
        <v>8</v>
      </c>
      <c r="P115" s="233">
        <v>81</v>
      </c>
      <c r="Q115" s="232">
        <v>704</v>
      </c>
      <c r="R115" s="233">
        <v>7383</v>
      </c>
      <c r="S115" s="232">
        <v>78150</v>
      </c>
      <c r="T115" s="233">
        <v>634670</v>
      </c>
      <c r="V115" s="228"/>
      <c r="X115" s="304"/>
    </row>
    <row r="116" spans="1:24" x14ac:dyDescent="0.15">
      <c r="A116" s="172">
        <v>50</v>
      </c>
      <c r="B116" s="173" t="s">
        <v>159</v>
      </c>
      <c r="C116" s="174" t="s">
        <v>362</v>
      </c>
      <c r="D116" s="291">
        <v>7</v>
      </c>
      <c r="E116" s="291">
        <v>4</v>
      </c>
      <c r="F116" s="291">
        <v>6</v>
      </c>
      <c r="G116" s="291">
        <v>9</v>
      </c>
      <c r="H116" s="291">
        <v>8</v>
      </c>
      <c r="I116" s="291">
        <v>9</v>
      </c>
      <c r="J116" s="292">
        <v>6</v>
      </c>
      <c r="K116" s="222">
        <v>6108307.5</v>
      </c>
      <c r="L116" s="234" t="s">
        <v>23</v>
      </c>
      <c r="M116" s="224" t="s">
        <v>368</v>
      </c>
      <c r="N116" s="225">
        <v>540618.6</v>
      </c>
      <c r="O116" s="226">
        <v>1</v>
      </c>
      <c r="P116" s="227">
        <v>23</v>
      </c>
      <c r="Q116" s="226">
        <v>215</v>
      </c>
      <c r="R116" s="227">
        <v>2094</v>
      </c>
      <c r="S116" s="226">
        <v>21120</v>
      </c>
      <c r="T116" s="227">
        <v>227489</v>
      </c>
      <c r="V116" s="228"/>
      <c r="X116" s="304"/>
    </row>
    <row r="117" spans="1:24" x14ac:dyDescent="0.15">
      <c r="A117" s="178"/>
      <c r="B117" s="179" t="s">
        <v>314</v>
      </c>
      <c r="C117" s="180" t="s">
        <v>363</v>
      </c>
      <c r="D117" s="289">
        <v>4</v>
      </c>
      <c r="E117" s="289">
        <v>8</v>
      </c>
      <c r="F117" s="289">
        <v>9</v>
      </c>
      <c r="G117" s="289">
        <v>6</v>
      </c>
      <c r="H117" s="289">
        <v>1</v>
      </c>
      <c r="I117" s="289">
        <v>0</v>
      </c>
      <c r="J117" s="303">
        <v>3</v>
      </c>
      <c r="K117" s="229">
        <v>14026690</v>
      </c>
      <c r="L117" s="230" t="s">
        <v>23</v>
      </c>
      <c r="M117" s="229" t="s">
        <v>368</v>
      </c>
      <c r="N117" s="231">
        <v>1537916.3</v>
      </c>
      <c r="O117" s="232">
        <v>6</v>
      </c>
      <c r="P117" s="233">
        <v>46</v>
      </c>
      <c r="Q117" s="232">
        <v>439</v>
      </c>
      <c r="R117" s="233">
        <v>4446</v>
      </c>
      <c r="S117" s="232">
        <v>43127</v>
      </c>
      <c r="T117" s="233">
        <v>533984</v>
      </c>
      <c r="V117" s="228"/>
      <c r="X117" s="304"/>
    </row>
    <row r="118" spans="1:24" x14ac:dyDescent="0.15">
      <c r="A118" s="172">
        <v>51</v>
      </c>
      <c r="B118" s="173" t="s">
        <v>160</v>
      </c>
      <c r="C118" s="174" t="s">
        <v>362</v>
      </c>
      <c r="D118" s="291">
        <v>8</v>
      </c>
      <c r="E118" s="291">
        <v>3</v>
      </c>
      <c r="F118" s="291">
        <v>7</v>
      </c>
      <c r="G118" s="291">
        <v>8</v>
      </c>
      <c r="H118" s="291">
        <v>1</v>
      </c>
      <c r="I118" s="291">
        <v>0</v>
      </c>
      <c r="J118" s="292">
        <v>3</v>
      </c>
      <c r="K118" s="222">
        <v>5588177.5</v>
      </c>
      <c r="L118" s="234">
        <v>1</v>
      </c>
      <c r="M118" s="224">
        <v>1877777</v>
      </c>
      <c r="N118" s="225">
        <v>57458.7</v>
      </c>
      <c r="O118" s="226">
        <v>2</v>
      </c>
      <c r="P118" s="227">
        <v>16</v>
      </c>
      <c r="Q118" s="226">
        <v>213</v>
      </c>
      <c r="R118" s="227">
        <v>2025</v>
      </c>
      <c r="S118" s="226">
        <v>18516</v>
      </c>
      <c r="T118" s="227">
        <v>227051</v>
      </c>
      <c r="V118" s="228"/>
      <c r="X118" s="304"/>
    </row>
    <row r="119" spans="1:24" x14ac:dyDescent="0.15">
      <c r="A119" s="178"/>
      <c r="B119" s="179" t="s">
        <v>315</v>
      </c>
      <c r="C119" s="180" t="s">
        <v>363</v>
      </c>
      <c r="D119" s="289">
        <v>8</v>
      </c>
      <c r="E119" s="289">
        <v>2</v>
      </c>
      <c r="F119" s="289">
        <v>7</v>
      </c>
      <c r="G119" s="289">
        <v>7</v>
      </c>
      <c r="H119" s="289">
        <v>3</v>
      </c>
      <c r="I119" s="289">
        <v>9</v>
      </c>
      <c r="J119" s="303">
        <v>2</v>
      </c>
      <c r="K119" s="229">
        <v>13565937.5</v>
      </c>
      <c r="L119" s="230" t="s">
        <v>23</v>
      </c>
      <c r="M119" s="229" t="s">
        <v>368</v>
      </c>
      <c r="N119" s="231">
        <v>1021996.9</v>
      </c>
      <c r="O119" s="232">
        <v>4</v>
      </c>
      <c r="P119" s="233">
        <v>31</v>
      </c>
      <c r="Q119" s="232">
        <v>399</v>
      </c>
      <c r="R119" s="233">
        <v>4248</v>
      </c>
      <c r="S119" s="232">
        <v>42016</v>
      </c>
      <c r="T119" s="233">
        <v>440875</v>
      </c>
      <c r="V119" s="228"/>
      <c r="X119" s="304"/>
    </row>
    <row r="120" spans="1:24" x14ac:dyDescent="0.15">
      <c r="A120" s="172">
        <v>52</v>
      </c>
      <c r="B120" s="173" t="s">
        <v>161</v>
      </c>
      <c r="C120" s="174" t="s">
        <v>362</v>
      </c>
      <c r="D120" s="291">
        <v>8</v>
      </c>
      <c r="E120" s="291">
        <v>1</v>
      </c>
      <c r="F120" s="291">
        <v>6</v>
      </c>
      <c r="G120" s="291">
        <v>4</v>
      </c>
      <c r="H120" s="291">
        <v>6</v>
      </c>
      <c r="I120" s="291">
        <v>5</v>
      </c>
      <c r="J120" s="292">
        <v>5</v>
      </c>
      <c r="K120" s="222">
        <v>6379260</v>
      </c>
      <c r="L120" s="223" t="s">
        <v>23</v>
      </c>
      <c r="M120" s="224" t="s">
        <v>368</v>
      </c>
      <c r="N120" s="225">
        <v>1475562.3</v>
      </c>
      <c r="O120" s="226">
        <v>3</v>
      </c>
      <c r="P120" s="227">
        <v>47</v>
      </c>
      <c r="Q120" s="226">
        <v>293</v>
      </c>
      <c r="R120" s="227">
        <v>2804</v>
      </c>
      <c r="S120" s="226">
        <v>30170</v>
      </c>
      <c r="T120" s="227">
        <v>262847</v>
      </c>
      <c r="V120" s="228"/>
      <c r="X120" s="304"/>
    </row>
    <row r="121" spans="1:24" x14ac:dyDescent="0.15">
      <c r="A121" s="178"/>
      <c r="B121" s="179" t="s">
        <v>316</v>
      </c>
      <c r="C121" s="180" t="s">
        <v>363</v>
      </c>
      <c r="D121" s="307">
        <v>5</v>
      </c>
      <c r="E121" s="307">
        <v>3</v>
      </c>
      <c r="F121" s="307">
        <v>3</v>
      </c>
      <c r="G121" s="307">
        <v>9</v>
      </c>
      <c r="H121" s="307">
        <v>2</v>
      </c>
      <c r="I121" s="307">
        <v>0</v>
      </c>
      <c r="J121" s="308">
        <v>9</v>
      </c>
      <c r="K121" s="229">
        <v>12866077.5</v>
      </c>
      <c r="L121" s="237" t="s">
        <v>23</v>
      </c>
      <c r="M121" s="229" t="s">
        <v>368</v>
      </c>
      <c r="N121" s="231">
        <v>2390340.4</v>
      </c>
      <c r="O121" s="232">
        <v>4</v>
      </c>
      <c r="P121" s="233">
        <v>39</v>
      </c>
      <c r="Q121" s="232">
        <v>408</v>
      </c>
      <c r="R121" s="233">
        <v>3990</v>
      </c>
      <c r="S121" s="232">
        <v>37972</v>
      </c>
      <c r="T121" s="233">
        <v>441119</v>
      </c>
      <c r="V121" s="228"/>
      <c r="X121" s="304"/>
    </row>
    <row r="122" spans="1:24" hidden="1" x14ac:dyDescent="0.15">
      <c r="A122" s="172">
        <v>53</v>
      </c>
      <c r="B122" s="173"/>
      <c r="C122" s="174" t="s">
        <v>362</v>
      </c>
      <c r="D122" s="291"/>
      <c r="E122" s="291"/>
      <c r="F122" s="291"/>
      <c r="G122" s="291"/>
      <c r="H122" s="291"/>
      <c r="I122" s="291"/>
      <c r="J122" s="292"/>
      <c r="K122" s="222"/>
      <c r="L122" s="223"/>
      <c r="M122" s="224"/>
      <c r="N122" s="225"/>
      <c r="O122" s="226"/>
      <c r="P122" s="227"/>
      <c r="Q122" s="226"/>
      <c r="R122" s="227"/>
      <c r="S122" s="226"/>
      <c r="T122" s="227"/>
      <c r="V122" s="228"/>
      <c r="X122" s="304"/>
    </row>
    <row r="123" spans="1:24" hidden="1" x14ac:dyDescent="0.15">
      <c r="A123" s="178"/>
      <c r="B123" s="179"/>
      <c r="C123" s="180" t="s">
        <v>363</v>
      </c>
      <c r="D123" s="307"/>
      <c r="E123" s="307"/>
      <c r="F123" s="307"/>
      <c r="G123" s="307"/>
      <c r="H123" s="307"/>
      <c r="I123" s="307"/>
      <c r="J123" s="308"/>
      <c r="K123" s="229"/>
      <c r="L123" s="230"/>
      <c r="M123" s="229"/>
      <c r="N123" s="231"/>
      <c r="O123" s="232"/>
      <c r="P123" s="233"/>
      <c r="Q123" s="232"/>
      <c r="R123" s="233"/>
      <c r="S123" s="232"/>
      <c r="T123" s="233"/>
      <c r="V123" s="228"/>
      <c r="X123" s="304"/>
    </row>
    <row r="124" spans="1:24" x14ac:dyDescent="0.15">
      <c r="A124" s="45"/>
      <c r="B124" s="46"/>
      <c r="C124" s="46"/>
      <c r="D124" s="309"/>
      <c r="E124" s="309"/>
      <c r="F124" s="309"/>
      <c r="G124" s="309"/>
      <c r="H124" s="309"/>
      <c r="I124" s="309" t="s">
        <v>24</v>
      </c>
      <c r="J124" s="309"/>
      <c r="K124" s="277"/>
      <c r="L124" s="278">
        <f>SUM(L70:L123)</f>
        <v>13</v>
      </c>
      <c r="M124" s="229"/>
      <c r="N124" s="278"/>
      <c r="O124" s="278">
        <f t="shared" ref="O124:T124" si="1">SUM(O70:O123)</f>
        <v>194</v>
      </c>
      <c r="P124" s="278">
        <f t="shared" si="1"/>
        <v>1726</v>
      </c>
      <c r="Q124" s="278">
        <f t="shared" si="1"/>
        <v>17207</v>
      </c>
      <c r="R124" s="278">
        <f t="shared" si="1"/>
        <v>173023</v>
      </c>
      <c r="S124" s="278">
        <f t="shared" si="1"/>
        <v>1709666</v>
      </c>
      <c r="T124" s="272">
        <f t="shared" si="1"/>
        <v>17245253</v>
      </c>
      <c r="V124" s="228"/>
      <c r="X124" s="304"/>
    </row>
    <row r="125" spans="1:24" x14ac:dyDescent="0.15">
      <c r="K125" s="222"/>
      <c r="V125" s="280"/>
      <c r="X125" s="304"/>
    </row>
  </sheetData>
  <printOptions horizontalCentered="1" verticalCentered="1"/>
  <pageMargins left="0" right="0" top="0" bottom="0.39370078740157483" header="0.23622047244094491" footer="0.23622047244094491"/>
  <pageSetup paperSize="9" scale="87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25"/>
  <sheetViews>
    <sheetView zoomScaleNormal="100" workbookViewId="0">
      <pane xSplit="3" ySplit="7" topLeftCell="D8" activePane="bottomRight" state="frozenSplit"/>
      <selection activeCell="A65" activeCellId="1" sqref="A3:P59 A65:P123"/>
      <selection pane="topRight" activeCell="A65" activeCellId="1" sqref="A3:P59 A65:P123"/>
      <selection pane="bottomLeft" activeCell="A65" activeCellId="1" sqref="A3:P59 A65:P123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8" customWidth="1"/>
    <col min="10" max="10" width="5" style="298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4" ht="14.1" customHeight="1" x14ac:dyDescent="0.2">
      <c r="A2" s="1" t="s">
        <v>364</v>
      </c>
      <c r="T2" s="3" t="s">
        <v>429</v>
      </c>
    </row>
    <row r="3" spans="1:24" ht="11.1" customHeight="1" x14ac:dyDescent="0.15">
      <c r="A3" s="6" t="s">
        <v>2</v>
      </c>
    </row>
    <row r="4" spans="1:24" ht="11.1" customHeight="1" x14ac:dyDescent="0.15">
      <c r="A4" s="7"/>
      <c r="B4" s="8"/>
      <c r="C4" s="177"/>
      <c r="D4" s="299"/>
      <c r="E4" s="299"/>
      <c r="F4" s="299"/>
      <c r="G4" s="299"/>
      <c r="H4" s="299"/>
      <c r="I4" s="299"/>
      <c r="J4" s="30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4" ht="11.1" customHeight="1" x14ac:dyDescent="0.15">
      <c r="A5" s="13"/>
      <c r="B5" s="14"/>
      <c r="C5" s="125"/>
      <c r="D5" s="301" t="s">
        <v>4</v>
      </c>
      <c r="E5" s="302"/>
      <c r="F5" s="302"/>
      <c r="G5" s="302"/>
      <c r="H5" s="302"/>
      <c r="I5" s="302"/>
      <c r="J5" s="290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4" ht="11.1" customHeight="1" x14ac:dyDescent="0.15">
      <c r="A6" s="13" t="s">
        <v>428</v>
      </c>
      <c r="B6" s="14">
        <v>2015</v>
      </c>
      <c r="C6" s="220" t="s">
        <v>361</v>
      </c>
      <c r="D6" s="289"/>
      <c r="E6" s="289"/>
      <c r="F6" s="289"/>
      <c r="G6" s="289"/>
      <c r="H6" s="289"/>
      <c r="I6" s="289"/>
      <c r="J6" s="290" t="s">
        <v>13</v>
      </c>
      <c r="K6" s="14"/>
      <c r="L6" s="6" t="s">
        <v>371</v>
      </c>
      <c r="M6" s="18"/>
      <c r="N6" s="13" t="s">
        <v>367</v>
      </c>
      <c r="O6" s="239">
        <v>77777</v>
      </c>
      <c r="P6" s="239">
        <v>7777</v>
      </c>
      <c r="Q6" s="239">
        <v>777</v>
      </c>
      <c r="R6" s="239">
        <v>77</v>
      </c>
      <c r="S6" s="239">
        <v>17</v>
      </c>
      <c r="T6" s="239">
        <v>5</v>
      </c>
    </row>
    <row r="7" spans="1:24" ht="10.5" customHeight="1" x14ac:dyDescent="0.15">
      <c r="A7" s="39"/>
      <c r="B7" s="21"/>
      <c r="C7" s="220"/>
      <c r="D7" s="289"/>
      <c r="E7" s="289"/>
      <c r="F7" s="289"/>
      <c r="G7" s="289"/>
      <c r="H7" s="289"/>
      <c r="I7" s="289"/>
      <c r="J7" s="30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4" x14ac:dyDescent="0.15">
      <c r="A8" s="172">
        <v>1</v>
      </c>
      <c r="B8" s="284">
        <v>42004</v>
      </c>
      <c r="C8" s="174" t="s">
        <v>362</v>
      </c>
      <c r="D8" s="291">
        <v>1</v>
      </c>
      <c r="E8" s="291">
        <v>7</v>
      </c>
      <c r="F8" s="291">
        <v>8</v>
      </c>
      <c r="G8" s="291">
        <v>6</v>
      </c>
      <c r="H8" s="291">
        <v>0</v>
      </c>
      <c r="I8" s="291">
        <v>3</v>
      </c>
      <c r="J8" s="292">
        <v>5</v>
      </c>
      <c r="K8" s="222">
        <v>6633150</v>
      </c>
      <c r="L8" s="223" t="s">
        <v>23</v>
      </c>
      <c r="M8" s="224" t="s">
        <v>368</v>
      </c>
      <c r="N8" s="224">
        <v>2861957.4</v>
      </c>
      <c r="O8" s="226">
        <v>5</v>
      </c>
      <c r="P8" s="227">
        <v>23</v>
      </c>
      <c r="Q8" s="226">
        <v>260</v>
      </c>
      <c r="R8" s="227">
        <v>2479</v>
      </c>
      <c r="S8" s="226">
        <v>27711</v>
      </c>
      <c r="T8" s="227">
        <v>277524</v>
      </c>
      <c r="V8" s="228"/>
      <c r="X8" s="304"/>
    </row>
    <row r="9" spans="1:24" x14ac:dyDescent="0.15">
      <c r="A9" s="178"/>
      <c r="B9" s="179" t="s">
        <v>318</v>
      </c>
      <c r="C9" s="180" t="s">
        <v>363</v>
      </c>
      <c r="D9" s="289">
        <v>0</v>
      </c>
      <c r="E9" s="289">
        <v>6</v>
      </c>
      <c r="F9" s="289">
        <v>7</v>
      </c>
      <c r="G9" s="289">
        <v>0</v>
      </c>
      <c r="H9" s="289">
        <v>7</v>
      </c>
      <c r="I9" s="289">
        <v>1</v>
      </c>
      <c r="J9" s="303">
        <v>2</v>
      </c>
      <c r="K9" s="229">
        <v>13372497.5</v>
      </c>
      <c r="L9" s="237">
        <v>2</v>
      </c>
      <c r="M9" s="229">
        <v>1877777</v>
      </c>
      <c r="N9" s="231">
        <v>57188</v>
      </c>
      <c r="O9" s="232">
        <v>4</v>
      </c>
      <c r="P9" s="233">
        <v>38</v>
      </c>
      <c r="Q9" s="232">
        <v>467</v>
      </c>
      <c r="R9" s="233">
        <v>4468</v>
      </c>
      <c r="S9" s="232">
        <v>44165</v>
      </c>
      <c r="T9" s="233">
        <v>431219</v>
      </c>
      <c r="U9">
        <v>737224</v>
      </c>
      <c r="V9" s="228"/>
      <c r="X9" s="304"/>
    </row>
    <row r="10" spans="1:24" x14ac:dyDescent="0.15">
      <c r="A10" s="172">
        <v>2</v>
      </c>
      <c r="B10" s="173" t="s">
        <v>164</v>
      </c>
      <c r="C10" s="174" t="s">
        <v>362</v>
      </c>
      <c r="D10" s="305">
        <v>7</v>
      </c>
      <c r="E10" s="291">
        <v>4</v>
      </c>
      <c r="F10" s="291">
        <v>5</v>
      </c>
      <c r="G10" s="291">
        <v>3</v>
      </c>
      <c r="H10" s="291">
        <v>6</v>
      </c>
      <c r="I10" s="291">
        <v>9</v>
      </c>
      <c r="J10" s="292">
        <v>0</v>
      </c>
      <c r="K10" s="222">
        <v>5749232.5</v>
      </c>
      <c r="L10" s="234" t="s">
        <v>23</v>
      </c>
      <c r="M10" s="224" t="s">
        <v>368</v>
      </c>
      <c r="N10" s="225">
        <v>465958.40000000002</v>
      </c>
      <c r="O10" s="226">
        <v>4</v>
      </c>
      <c r="P10" s="227">
        <v>10</v>
      </c>
      <c r="Q10" s="226">
        <v>135</v>
      </c>
      <c r="R10" s="227">
        <v>1435</v>
      </c>
      <c r="S10" s="226">
        <v>14065</v>
      </c>
      <c r="T10" s="227">
        <v>156915</v>
      </c>
      <c r="V10" s="228"/>
      <c r="X10" s="304"/>
    </row>
    <row r="11" spans="1:24" x14ac:dyDescent="0.15">
      <c r="A11" s="178"/>
      <c r="B11" s="179" t="s">
        <v>319</v>
      </c>
      <c r="C11" s="180" t="s">
        <v>363</v>
      </c>
      <c r="D11" s="306">
        <v>0</v>
      </c>
      <c r="E11" s="306">
        <v>2</v>
      </c>
      <c r="F11" s="306">
        <v>4</v>
      </c>
      <c r="G11" s="306">
        <v>3</v>
      </c>
      <c r="H11" s="306">
        <v>6</v>
      </c>
      <c r="I11" s="306">
        <v>3</v>
      </c>
      <c r="J11" s="303">
        <v>2</v>
      </c>
      <c r="K11" s="229">
        <v>13641937.5</v>
      </c>
      <c r="L11" s="237">
        <v>1</v>
      </c>
      <c r="M11" s="229">
        <v>1377777</v>
      </c>
      <c r="N11" s="229">
        <v>58123.199999999997</v>
      </c>
      <c r="O11" s="232">
        <v>4</v>
      </c>
      <c r="P11" s="233">
        <v>46</v>
      </c>
      <c r="Q11" s="232">
        <v>465</v>
      </c>
      <c r="R11" s="233">
        <v>4516</v>
      </c>
      <c r="S11" s="232">
        <v>44644</v>
      </c>
      <c r="T11" s="233">
        <v>445122</v>
      </c>
      <c r="V11" s="228"/>
      <c r="X11" s="304"/>
    </row>
    <row r="12" spans="1:24" x14ac:dyDescent="0.15">
      <c r="A12" s="172">
        <v>3</v>
      </c>
      <c r="B12" s="173" t="s">
        <v>165</v>
      </c>
      <c r="C12" s="174" t="s">
        <v>362</v>
      </c>
      <c r="D12" s="291">
        <v>1</v>
      </c>
      <c r="E12" s="291">
        <v>5</v>
      </c>
      <c r="F12" s="291">
        <v>3</v>
      </c>
      <c r="G12" s="291">
        <v>3</v>
      </c>
      <c r="H12" s="291">
        <v>2</v>
      </c>
      <c r="I12" s="291">
        <v>1</v>
      </c>
      <c r="J12" s="292">
        <v>1</v>
      </c>
      <c r="K12" s="222">
        <v>5376992.5</v>
      </c>
      <c r="L12" s="234">
        <v>1</v>
      </c>
      <c r="M12" s="224">
        <v>377777</v>
      </c>
      <c r="N12" s="225">
        <v>62650.400000000001</v>
      </c>
      <c r="O12" s="226">
        <v>4</v>
      </c>
      <c r="P12" s="227">
        <v>16</v>
      </c>
      <c r="Q12" s="226">
        <v>168</v>
      </c>
      <c r="R12" s="227">
        <v>1697</v>
      </c>
      <c r="S12" s="226">
        <v>18474</v>
      </c>
      <c r="T12" s="227">
        <v>164478</v>
      </c>
      <c r="V12" s="228"/>
      <c r="X12" s="304"/>
    </row>
    <row r="13" spans="1:24" x14ac:dyDescent="0.15">
      <c r="A13" s="178"/>
      <c r="B13" s="179" t="s">
        <v>320</v>
      </c>
      <c r="C13" s="180" t="s">
        <v>363</v>
      </c>
      <c r="D13" s="289">
        <v>1</v>
      </c>
      <c r="E13" s="289">
        <v>6</v>
      </c>
      <c r="F13" s="289">
        <v>1</v>
      </c>
      <c r="G13" s="289">
        <v>9</v>
      </c>
      <c r="H13" s="289">
        <v>7</v>
      </c>
      <c r="I13" s="289">
        <v>7</v>
      </c>
      <c r="J13" s="303">
        <v>7</v>
      </c>
      <c r="K13" s="229">
        <v>13018067.5</v>
      </c>
      <c r="L13" s="230">
        <v>5</v>
      </c>
      <c r="M13" s="229">
        <v>177777</v>
      </c>
      <c r="N13" s="231">
        <v>99350</v>
      </c>
      <c r="O13" s="232">
        <v>10</v>
      </c>
      <c r="P13" s="233">
        <v>97</v>
      </c>
      <c r="Q13" s="232">
        <v>943</v>
      </c>
      <c r="R13" s="233">
        <v>11149</v>
      </c>
      <c r="S13" s="232">
        <v>65926</v>
      </c>
      <c r="T13" s="233">
        <v>561779</v>
      </c>
      <c r="V13" s="228"/>
      <c r="X13" s="304"/>
    </row>
    <row r="14" spans="1:24" x14ac:dyDescent="0.15">
      <c r="A14" s="172">
        <v>4</v>
      </c>
      <c r="B14" s="173" t="s">
        <v>166</v>
      </c>
      <c r="C14" s="174" t="s">
        <v>362</v>
      </c>
      <c r="D14" s="291">
        <v>9</v>
      </c>
      <c r="E14" s="291">
        <v>9</v>
      </c>
      <c r="F14" s="291">
        <v>8</v>
      </c>
      <c r="G14" s="291">
        <v>6</v>
      </c>
      <c r="H14" s="291">
        <v>2</v>
      </c>
      <c r="I14" s="291">
        <v>0</v>
      </c>
      <c r="J14" s="292">
        <v>5</v>
      </c>
      <c r="K14" s="222">
        <v>5261142.5</v>
      </c>
      <c r="L14" s="234" t="s">
        <v>23</v>
      </c>
      <c r="M14" s="224" t="s">
        <v>368</v>
      </c>
      <c r="N14" s="225">
        <v>473417.2</v>
      </c>
      <c r="O14" s="226">
        <v>2</v>
      </c>
      <c r="P14" s="227">
        <v>13</v>
      </c>
      <c r="Q14" s="226">
        <v>188</v>
      </c>
      <c r="R14" s="227">
        <v>1819</v>
      </c>
      <c r="S14" s="226">
        <v>18553</v>
      </c>
      <c r="T14" s="227">
        <v>229229</v>
      </c>
      <c r="V14" s="228"/>
      <c r="X14" s="304"/>
    </row>
    <row r="15" spans="1:24" x14ac:dyDescent="0.15">
      <c r="A15" s="178"/>
      <c r="B15" s="179" t="s">
        <v>321</v>
      </c>
      <c r="C15" s="180" t="s">
        <v>363</v>
      </c>
      <c r="D15" s="289">
        <v>7</v>
      </c>
      <c r="E15" s="289">
        <v>0</v>
      </c>
      <c r="F15" s="289">
        <v>8</v>
      </c>
      <c r="G15" s="289">
        <v>7</v>
      </c>
      <c r="H15" s="289">
        <v>0</v>
      </c>
      <c r="I15" s="289">
        <v>3</v>
      </c>
      <c r="J15" s="303">
        <v>8</v>
      </c>
      <c r="K15" s="229">
        <v>12816905</v>
      </c>
      <c r="L15" s="230" t="s">
        <v>23</v>
      </c>
      <c r="M15" s="229" t="s">
        <v>368</v>
      </c>
      <c r="N15" s="231">
        <v>1384699.1</v>
      </c>
      <c r="O15" s="232">
        <v>7</v>
      </c>
      <c r="P15" s="233">
        <v>55</v>
      </c>
      <c r="Q15" s="232">
        <v>535</v>
      </c>
      <c r="R15" s="233">
        <v>4813</v>
      </c>
      <c r="S15" s="232">
        <v>52735</v>
      </c>
      <c r="T15" s="233">
        <v>516946</v>
      </c>
      <c r="V15" s="228"/>
      <c r="X15" s="304"/>
    </row>
    <row r="16" spans="1:24" x14ac:dyDescent="0.15">
      <c r="A16" s="172">
        <v>5</v>
      </c>
      <c r="B16" s="173" t="s">
        <v>167</v>
      </c>
      <c r="C16" s="174" t="s">
        <v>362</v>
      </c>
      <c r="D16" s="291">
        <v>5</v>
      </c>
      <c r="E16" s="291">
        <v>0</v>
      </c>
      <c r="F16" s="291">
        <v>3</v>
      </c>
      <c r="G16" s="291">
        <v>7</v>
      </c>
      <c r="H16" s="291">
        <v>6</v>
      </c>
      <c r="I16" s="291">
        <v>5</v>
      </c>
      <c r="J16" s="292">
        <v>7</v>
      </c>
      <c r="K16" s="222">
        <v>5201077.5</v>
      </c>
      <c r="L16" s="223" t="s">
        <v>23</v>
      </c>
      <c r="M16" s="224" t="s">
        <v>368</v>
      </c>
      <c r="N16" s="224">
        <v>1754495.7</v>
      </c>
      <c r="O16" s="226">
        <v>1</v>
      </c>
      <c r="P16" s="226">
        <v>23</v>
      </c>
      <c r="Q16" s="226">
        <v>220</v>
      </c>
      <c r="R16" s="226">
        <v>2265</v>
      </c>
      <c r="S16" s="226">
        <v>22747</v>
      </c>
      <c r="T16" s="226">
        <v>228353</v>
      </c>
      <c r="V16" s="228"/>
      <c r="X16" s="304"/>
    </row>
    <row r="17" spans="1:24" x14ac:dyDescent="0.15">
      <c r="A17" s="178"/>
      <c r="B17" s="179" t="s">
        <v>322</v>
      </c>
      <c r="C17" s="180" t="s">
        <v>363</v>
      </c>
      <c r="D17" s="289">
        <v>4</v>
      </c>
      <c r="E17" s="289">
        <v>5</v>
      </c>
      <c r="F17" s="289">
        <v>9</v>
      </c>
      <c r="G17" s="289">
        <v>0</v>
      </c>
      <c r="H17" s="289">
        <v>9</v>
      </c>
      <c r="I17" s="289">
        <v>3</v>
      </c>
      <c r="J17" s="303">
        <v>5</v>
      </c>
      <c r="K17" s="229">
        <v>13042100</v>
      </c>
      <c r="L17" s="230">
        <v>1</v>
      </c>
      <c r="M17" s="229">
        <v>2677777</v>
      </c>
      <c r="N17" s="229">
        <v>4012</v>
      </c>
      <c r="O17" s="232">
        <v>2</v>
      </c>
      <c r="P17" s="233">
        <v>63</v>
      </c>
      <c r="Q17" s="232">
        <v>588</v>
      </c>
      <c r="R17" s="233">
        <v>5660</v>
      </c>
      <c r="S17" s="232">
        <v>55713</v>
      </c>
      <c r="T17" s="233">
        <v>563526</v>
      </c>
      <c r="V17" s="228"/>
      <c r="X17" s="304"/>
    </row>
    <row r="18" spans="1:24" x14ac:dyDescent="0.15">
      <c r="A18" s="172">
        <v>6</v>
      </c>
      <c r="B18" s="173" t="s">
        <v>168</v>
      </c>
      <c r="C18" s="174" t="s">
        <v>362</v>
      </c>
      <c r="D18" s="291">
        <v>4</v>
      </c>
      <c r="E18" s="291">
        <v>5</v>
      </c>
      <c r="F18" s="291">
        <v>7</v>
      </c>
      <c r="G18" s="291">
        <v>1</v>
      </c>
      <c r="H18" s="291">
        <v>9</v>
      </c>
      <c r="I18" s="291">
        <v>8</v>
      </c>
      <c r="J18" s="292">
        <v>7</v>
      </c>
      <c r="K18" s="222">
        <v>5540170</v>
      </c>
      <c r="L18" s="223" t="s">
        <v>23</v>
      </c>
      <c r="M18" s="224" t="s">
        <v>368</v>
      </c>
      <c r="N18" s="224">
        <v>397918.1</v>
      </c>
      <c r="O18" s="226" t="s">
        <v>17</v>
      </c>
      <c r="P18" s="227">
        <v>32</v>
      </c>
      <c r="Q18" s="226">
        <v>229</v>
      </c>
      <c r="R18" s="227">
        <v>2286</v>
      </c>
      <c r="S18" s="226">
        <v>22450</v>
      </c>
      <c r="T18" s="227">
        <v>245461</v>
      </c>
      <c r="V18" s="228"/>
      <c r="X18" s="304"/>
    </row>
    <row r="19" spans="1:24" x14ac:dyDescent="0.15">
      <c r="A19" s="178"/>
      <c r="B19" s="179" t="s">
        <v>323</v>
      </c>
      <c r="C19" s="180" t="s">
        <v>363</v>
      </c>
      <c r="D19" s="289">
        <v>2</v>
      </c>
      <c r="E19" s="289">
        <v>6</v>
      </c>
      <c r="F19" s="289">
        <v>4</v>
      </c>
      <c r="G19" s="289">
        <v>8</v>
      </c>
      <c r="H19" s="289">
        <v>4</v>
      </c>
      <c r="I19" s="289">
        <v>7</v>
      </c>
      <c r="J19" s="303">
        <v>9</v>
      </c>
      <c r="K19" s="229">
        <v>13277375</v>
      </c>
      <c r="L19" s="230" t="s">
        <v>23</v>
      </c>
      <c r="M19" s="229" t="s">
        <v>368</v>
      </c>
      <c r="N19" s="231">
        <v>1341939.5</v>
      </c>
      <c r="O19" s="232">
        <v>7</v>
      </c>
      <c r="P19" s="233">
        <v>39</v>
      </c>
      <c r="Q19" s="232">
        <v>486</v>
      </c>
      <c r="R19" s="233">
        <v>4712</v>
      </c>
      <c r="S19" s="232">
        <v>45928</v>
      </c>
      <c r="T19" s="233">
        <v>449298</v>
      </c>
      <c r="V19" s="228"/>
      <c r="X19" s="304"/>
    </row>
    <row r="20" spans="1:24" x14ac:dyDescent="0.15">
      <c r="A20" s="172">
        <v>7</v>
      </c>
      <c r="B20" s="173" t="s">
        <v>169</v>
      </c>
      <c r="C20" s="174" t="s">
        <v>362</v>
      </c>
      <c r="D20" s="291">
        <v>8</v>
      </c>
      <c r="E20" s="291">
        <v>4</v>
      </c>
      <c r="F20" s="291">
        <v>9</v>
      </c>
      <c r="G20" s="291">
        <v>3</v>
      </c>
      <c r="H20" s="291">
        <v>9</v>
      </c>
      <c r="I20" s="291">
        <v>5</v>
      </c>
      <c r="J20" s="292">
        <v>3</v>
      </c>
      <c r="K20" s="222">
        <v>5859020</v>
      </c>
      <c r="L20" s="223">
        <v>1</v>
      </c>
      <c r="M20" s="224">
        <v>1677777</v>
      </c>
      <c r="N20" s="225">
        <v>80738.8</v>
      </c>
      <c r="O20" s="226">
        <v>2</v>
      </c>
      <c r="P20" s="227">
        <v>21</v>
      </c>
      <c r="Q20" s="226">
        <v>255</v>
      </c>
      <c r="R20" s="227">
        <v>2572</v>
      </c>
      <c r="S20" s="226">
        <v>24917</v>
      </c>
      <c r="T20" s="227">
        <v>230836</v>
      </c>
      <c r="V20" s="228"/>
      <c r="X20" s="304"/>
    </row>
    <row r="21" spans="1:24" x14ac:dyDescent="0.15">
      <c r="A21" s="178"/>
      <c r="B21" s="179" t="s">
        <v>324</v>
      </c>
      <c r="C21" s="180" t="s">
        <v>363</v>
      </c>
      <c r="D21" s="289">
        <v>1</v>
      </c>
      <c r="E21" s="289">
        <v>5</v>
      </c>
      <c r="F21" s="289">
        <v>2</v>
      </c>
      <c r="G21" s="289">
        <v>7</v>
      </c>
      <c r="H21" s="289">
        <v>8</v>
      </c>
      <c r="I21" s="289">
        <v>2</v>
      </c>
      <c r="J21" s="303">
        <v>3</v>
      </c>
      <c r="K21" s="229">
        <v>13962265</v>
      </c>
      <c r="L21" s="230">
        <v>1</v>
      </c>
      <c r="M21" s="229">
        <v>977777</v>
      </c>
      <c r="N21" s="231">
        <v>95678.8</v>
      </c>
      <c r="O21" s="232">
        <v>3</v>
      </c>
      <c r="P21" s="233">
        <v>66</v>
      </c>
      <c r="Q21" s="232">
        <v>538</v>
      </c>
      <c r="R21" s="233">
        <v>5145</v>
      </c>
      <c r="S21" s="232">
        <v>51171</v>
      </c>
      <c r="T21" s="233">
        <v>525790</v>
      </c>
      <c r="U21" s="240"/>
      <c r="V21" s="228"/>
      <c r="X21" s="304"/>
    </row>
    <row r="22" spans="1:24" x14ac:dyDescent="0.15">
      <c r="A22" s="172">
        <v>8</v>
      </c>
      <c r="B22" s="173" t="s">
        <v>170</v>
      </c>
      <c r="C22" s="174" t="s">
        <v>362</v>
      </c>
      <c r="D22" s="291">
        <v>7</v>
      </c>
      <c r="E22" s="291">
        <v>1</v>
      </c>
      <c r="F22" s="291">
        <v>4</v>
      </c>
      <c r="G22" s="291">
        <v>0</v>
      </c>
      <c r="H22" s="291">
        <v>5</v>
      </c>
      <c r="I22" s="291">
        <v>5</v>
      </c>
      <c r="J22" s="292">
        <v>4</v>
      </c>
      <c r="K22" s="222">
        <v>6240995</v>
      </c>
      <c r="L22" s="223">
        <v>1</v>
      </c>
      <c r="M22" s="224">
        <v>477777</v>
      </c>
      <c r="N22" s="225">
        <v>61636.5</v>
      </c>
      <c r="O22" s="226">
        <v>1</v>
      </c>
      <c r="P22" s="227">
        <v>28</v>
      </c>
      <c r="Q22" s="226">
        <v>195</v>
      </c>
      <c r="R22" s="227">
        <v>2056</v>
      </c>
      <c r="S22" s="226">
        <v>22536</v>
      </c>
      <c r="T22" s="227">
        <v>211987</v>
      </c>
      <c r="V22" s="228"/>
      <c r="X22" s="304"/>
    </row>
    <row r="23" spans="1:24" x14ac:dyDescent="0.15">
      <c r="A23" s="178"/>
      <c r="B23" s="179" t="s">
        <v>325</v>
      </c>
      <c r="C23" s="180" t="s">
        <v>363</v>
      </c>
      <c r="D23" s="289">
        <v>0</v>
      </c>
      <c r="E23" s="289">
        <v>4</v>
      </c>
      <c r="F23" s="289">
        <v>1</v>
      </c>
      <c r="G23" s="289">
        <v>5</v>
      </c>
      <c r="H23" s="289">
        <v>1</v>
      </c>
      <c r="I23" s="289">
        <v>5</v>
      </c>
      <c r="J23" s="303">
        <v>6</v>
      </c>
      <c r="K23" s="229">
        <v>14191327.5</v>
      </c>
      <c r="L23" s="230" t="s">
        <v>23</v>
      </c>
      <c r="M23" s="229" t="s">
        <v>368</v>
      </c>
      <c r="N23" s="231">
        <v>1070639.8999999999</v>
      </c>
      <c r="O23" s="232">
        <v>8</v>
      </c>
      <c r="P23" s="233">
        <v>67</v>
      </c>
      <c r="Q23" s="232">
        <v>512</v>
      </c>
      <c r="R23" s="233">
        <v>5728</v>
      </c>
      <c r="S23" s="232">
        <v>56542</v>
      </c>
      <c r="T23" s="233">
        <v>520295</v>
      </c>
      <c r="V23" s="228"/>
      <c r="X23" s="304"/>
    </row>
    <row r="24" spans="1:24" x14ac:dyDescent="0.15">
      <c r="A24" s="172">
        <v>9</v>
      </c>
      <c r="B24" s="173" t="s">
        <v>171</v>
      </c>
      <c r="C24" s="174" t="s">
        <v>362</v>
      </c>
      <c r="D24" s="291">
        <v>3</v>
      </c>
      <c r="E24" s="291">
        <v>5</v>
      </c>
      <c r="F24" s="291">
        <v>9</v>
      </c>
      <c r="G24" s="291">
        <v>1</v>
      </c>
      <c r="H24" s="291">
        <v>1</v>
      </c>
      <c r="I24" s="291">
        <v>3</v>
      </c>
      <c r="J24" s="292">
        <v>9</v>
      </c>
      <c r="K24" s="222">
        <v>5366702.5</v>
      </c>
      <c r="L24" s="223">
        <v>1</v>
      </c>
      <c r="M24" s="224">
        <v>1377777</v>
      </c>
      <c r="N24" s="225">
        <v>74435.399999999994</v>
      </c>
      <c r="O24" s="226">
        <v>1</v>
      </c>
      <c r="P24" s="227">
        <v>19</v>
      </c>
      <c r="Q24" s="226">
        <v>172</v>
      </c>
      <c r="R24" s="227">
        <v>1753</v>
      </c>
      <c r="S24" s="226">
        <v>17255</v>
      </c>
      <c r="T24" s="227">
        <v>174750</v>
      </c>
      <c r="V24" s="228"/>
      <c r="X24" s="304"/>
    </row>
    <row r="25" spans="1:24" x14ac:dyDescent="0.15">
      <c r="A25" s="178"/>
      <c r="B25" s="179" t="s">
        <v>326</v>
      </c>
      <c r="C25" s="180" t="s">
        <v>363</v>
      </c>
      <c r="D25" s="289">
        <v>3</v>
      </c>
      <c r="E25" s="289">
        <v>1</v>
      </c>
      <c r="F25" s="289">
        <v>4</v>
      </c>
      <c r="G25" s="289">
        <v>1</v>
      </c>
      <c r="H25" s="289">
        <v>3</v>
      </c>
      <c r="I25" s="289">
        <v>1</v>
      </c>
      <c r="J25" s="303">
        <v>1</v>
      </c>
      <c r="K25" s="229">
        <v>13117540</v>
      </c>
      <c r="L25" s="230">
        <v>1</v>
      </c>
      <c r="M25" s="229">
        <v>977777</v>
      </c>
      <c r="N25" s="231">
        <v>29315.5</v>
      </c>
      <c r="O25" s="232">
        <v>5</v>
      </c>
      <c r="P25" s="233">
        <v>40</v>
      </c>
      <c r="Q25" s="232">
        <v>391</v>
      </c>
      <c r="R25" s="233">
        <v>3951</v>
      </c>
      <c r="S25" s="232">
        <v>41228</v>
      </c>
      <c r="T25" s="233">
        <v>392903</v>
      </c>
      <c r="V25" s="228"/>
      <c r="X25" s="304"/>
    </row>
    <row r="26" spans="1:24" x14ac:dyDescent="0.15">
      <c r="A26" s="172">
        <v>10</v>
      </c>
      <c r="B26" s="173" t="s">
        <v>172</v>
      </c>
      <c r="C26" s="174" t="s">
        <v>362</v>
      </c>
      <c r="D26" s="291">
        <v>6</v>
      </c>
      <c r="E26" s="291">
        <v>5</v>
      </c>
      <c r="F26" s="291">
        <v>6</v>
      </c>
      <c r="G26" s="291">
        <v>8</v>
      </c>
      <c r="H26" s="291">
        <v>3</v>
      </c>
      <c r="I26" s="291">
        <v>2</v>
      </c>
      <c r="J26" s="292">
        <v>1</v>
      </c>
      <c r="K26" s="222">
        <v>5702885</v>
      </c>
      <c r="L26" s="223" t="s">
        <v>23</v>
      </c>
      <c r="M26" s="224" t="s">
        <v>368</v>
      </c>
      <c r="N26" s="225">
        <v>434790.6</v>
      </c>
      <c r="O26" s="226">
        <v>3</v>
      </c>
      <c r="P26" s="227">
        <v>22</v>
      </c>
      <c r="Q26" s="226">
        <v>193</v>
      </c>
      <c r="R26" s="227">
        <v>1876</v>
      </c>
      <c r="S26" s="226">
        <v>17860</v>
      </c>
      <c r="T26" s="227">
        <v>174442</v>
      </c>
      <c r="V26" s="228"/>
      <c r="X26" s="304"/>
    </row>
    <row r="27" spans="1:24" x14ac:dyDescent="0.15">
      <c r="A27" s="178"/>
      <c r="B27" s="179" t="s">
        <v>327</v>
      </c>
      <c r="C27" s="180" t="s">
        <v>363</v>
      </c>
      <c r="D27" s="289">
        <v>6</v>
      </c>
      <c r="E27" s="289">
        <v>9</v>
      </c>
      <c r="F27" s="289">
        <v>8</v>
      </c>
      <c r="G27" s="289">
        <v>1</v>
      </c>
      <c r="H27" s="289">
        <v>7</v>
      </c>
      <c r="I27" s="289">
        <v>8</v>
      </c>
      <c r="J27" s="303">
        <v>3</v>
      </c>
      <c r="K27" s="229">
        <v>12966640</v>
      </c>
      <c r="L27" s="230" t="s">
        <v>23</v>
      </c>
      <c r="M27" s="229" t="s">
        <v>368</v>
      </c>
      <c r="N27" s="231">
        <v>1356718.7</v>
      </c>
      <c r="O27" s="232">
        <v>5</v>
      </c>
      <c r="P27" s="233">
        <v>47</v>
      </c>
      <c r="Q27" s="232">
        <v>521</v>
      </c>
      <c r="R27" s="233">
        <v>4877</v>
      </c>
      <c r="S27" s="232">
        <v>48447</v>
      </c>
      <c r="T27" s="233">
        <v>486212</v>
      </c>
      <c r="V27" s="228"/>
      <c r="X27" s="304"/>
    </row>
    <row r="28" spans="1:24" x14ac:dyDescent="0.15">
      <c r="A28" s="172">
        <v>11</v>
      </c>
      <c r="B28" s="173" t="s">
        <v>173</v>
      </c>
      <c r="C28" s="174" t="s">
        <v>362</v>
      </c>
      <c r="D28" s="291">
        <v>8</v>
      </c>
      <c r="E28" s="291">
        <v>3</v>
      </c>
      <c r="F28" s="291">
        <v>4</v>
      </c>
      <c r="G28" s="291">
        <v>0</v>
      </c>
      <c r="H28" s="291">
        <v>6</v>
      </c>
      <c r="I28" s="291">
        <v>8</v>
      </c>
      <c r="J28" s="292">
        <v>4</v>
      </c>
      <c r="K28" s="222">
        <v>5417397.5</v>
      </c>
      <c r="L28" s="223" t="s">
        <v>23</v>
      </c>
      <c r="M28" s="224" t="s">
        <v>368</v>
      </c>
      <c r="N28" s="225">
        <v>1741895.7</v>
      </c>
      <c r="O28" s="226">
        <v>2</v>
      </c>
      <c r="P28" s="227">
        <v>16</v>
      </c>
      <c r="Q28" s="226">
        <v>190</v>
      </c>
      <c r="R28" s="227">
        <v>1847</v>
      </c>
      <c r="S28" s="226">
        <v>18106</v>
      </c>
      <c r="T28" s="227">
        <v>183489</v>
      </c>
      <c r="V28" s="228"/>
      <c r="X28" s="304"/>
    </row>
    <row r="29" spans="1:24" x14ac:dyDescent="0.15">
      <c r="A29" s="178"/>
      <c r="B29" s="179" t="s">
        <v>328</v>
      </c>
      <c r="C29" s="180" t="s">
        <v>363</v>
      </c>
      <c r="D29" s="289">
        <v>1</v>
      </c>
      <c r="E29" s="289">
        <v>1</v>
      </c>
      <c r="F29" s="289">
        <v>3</v>
      </c>
      <c r="G29" s="289">
        <v>3</v>
      </c>
      <c r="H29" s="289">
        <v>3</v>
      </c>
      <c r="I29" s="289">
        <v>9</v>
      </c>
      <c r="J29" s="303">
        <v>8</v>
      </c>
      <c r="K29" s="229">
        <v>13198172.5</v>
      </c>
      <c r="L29" s="230">
        <v>1</v>
      </c>
      <c r="M29" s="229">
        <v>2677777</v>
      </c>
      <c r="N29" s="231">
        <v>2508.8000000000002</v>
      </c>
      <c r="O29" s="232">
        <v>3</v>
      </c>
      <c r="P29" s="233">
        <v>52</v>
      </c>
      <c r="Q29" s="232">
        <v>528</v>
      </c>
      <c r="R29" s="233">
        <v>5303</v>
      </c>
      <c r="S29" s="232">
        <v>49804</v>
      </c>
      <c r="T29" s="233">
        <v>532848</v>
      </c>
      <c r="V29" s="228"/>
      <c r="X29" s="304"/>
    </row>
    <row r="30" spans="1:24" x14ac:dyDescent="0.15">
      <c r="A30" s="172">
        <v>12</v>
      </c>
      <c r="B30" s="173" t="s">
        <v>174</v>
      </c>
      <c r="C30" s="174" t="s">
        <v>362</v>
      </c>
      <c r="D30" s="291">
        <v>6</v>
      </c>
      <c r="E30" s="291">
        <v>6</v>
      </c>
      <c r="F30" s="291">
        <v>3</v>
      </c>
      <c r="G30" s="291">
        <v>2</v>
      </c>
      <c r="H30" s="291">
        <v>4</v>
      </c>
      <c r="I30" s="291">
        <v>1</v>
      </c>
      <c r="J30" s="292">
        <v>8</v>
      </c>
      <c r="K30" s="222">
        <v>5186537.5</v>
      </c>
      <c r="L30" s="223">
        <v>1</v>
      </c>
      <c r="M30" s="224">
        <v>277777</v>
      </c>
      <c r="N30" s="225">
        <v>93494.6</v>
      </c>
      <c r="O30" s="226" t="s">
        <v>17</v>
      </c>
      <c r="P30" s="227">
        <v>22</v>
      </c>
      <c r="Q30" s="226">
        <v>166</v>
      </c>
      <c r="R30" s="227">
        <v>1959</v>
      </c>
      <c r="S30" s="226">
        <v>19847</v>
      </c>
      <c r="T30" s="227">
        <v>201861</v>
      </c>
      <c r="V30" s="228"/>
      <c r="X30" s="304"/>
    </row>
    <row r="31" spans="1:24" x14ac:dyDescent="0.15">
      <c r="A31" s="178"/>
      <c r="B31" s="179" t="s">
        <v>329</v>
      </c>
      <c r="C31" s="180" t="s">
        <v>363</v>
      </c>
      <c r="D31" s="289">
        <v>9</v>
      </c>
      <c r="E31" s="289">
        <v>6</v>
      </c>
      <c r="F31" s="289">
        <v>0</v>
      </c>
      <c r="G31" s="289">
        <v>2</v>
      </c>
      <c r="H31" s="289">
        <v>4</v>
      </c>
      <c r="I31" s="289">
        <v>6</v>
      </c>
      <c r="J31" s="303">
        <v>9</v>
      </c>
      <c r="K31" s="229">
        <v>12606952.5</v>
      </c>
      <c r="L31" s="230">
        <v>1</v>
      </c>
      <c r="M31" s="229">
        <v>977777</v>
      </c>
      <c r="N31" s="231">
        <v>12071.9</v>
      </c>
      <c r="O31" s="232">
        <v>2</v>
      </c>
      <c r="P31" s="233">
        <v>59</v>
      </c>
      <c r="Q31" s="232">
        <v>496</v>
      </c>
      <c r="R31" s="233">
        <v>4767</v>
      </c>
      <c r="S31" s="232">
        <v>47000</v>
      </c>
      <c r="T31" s="233">
        <v>424636</v>
      </c>
      <c r="V31" s="228"/>
      <c r="X31" s="304"/>
    </row>
    <row r="32" spans="1:24" x14ac:dyDescent="0.15">
      <c r="A32" s="172">
        <v>13</v>
      </c>
      <c r="B32" s="173" t="s">
        <v>175</v>
      </c>
      <c r="C32" s="174" t="s">
        <v>362</v>
      </c>
      <c r="D32" s="291">
        <v>2</v>
      </c>
      <c r="E32" s="291">
        <v>7</v>
      </c>
      <c r="F32" s="291">
        <v>3</v>
      </c>
      <c r="G32" s="291">
        <v>3</v>
      </c>
      <c r="H32" s="291">
        <v>8</v>
      </c>
      <c r="I32" s="291">
        <v>0</v>
      </c>
      <c r="J32" s="292">
        <v>7</v>
      </c>
      <c r="K32" s="222">
        <v>5095295</v>
      </c>
      <c r="L32" s="223" t="s">
        <v>23</v>
      </c>
      <c r="M32" s="224" t="s">
        <v>368</v>
      </c>
      <c r="N32" s="225">
        <v>374347.4</v>
      </c>
      <c r="O32" s="226">
        <v>1</v>
      </c>
      <c r="P32" s="227">
        <v>22</v>
      </c>
      <c r="Q32" s="226">
        <v>181</v>
      </c>
      <c r="R32" s="227">
        <v>1765</v>
      </c>
      <c r="S32" s="226">
        <v>19221</v>
      </c>
      <c r="T32" s="227">
        <v>226342</v>
      </c>
      <c r="V32" s="228"/>
      <c r="X32" s="304"/>
    </row>
    <row r="33" spans="1:24" x14ac:dyDescent="0.15">
      <c r="A33" s="178"/>
      <c r="B33" s="179" t="s">
        <v>330</v>
      </c>
      <c r="C33" s="180" t="s">
        <v>363</v>
      </c>
      <c r="D33" s="289">
        <v>9</v>
      </c>
      <c r="E33" s="289">
        <v>5</v>
      </c>
      <c r="F33" s="289">
        <v>5</v>
      </c>
      <c r="G33" s="289">
        <v>0</v>
      </c>
      <c r="H33" s="289">
        <v>8</v>
      </c>
      <c r="I33" s="289">
        <v>2</v>
      </c>
      <c r="J33" s="303">
        <v>6</v>
      </c>
      <c r="K33" s="229">
        <v>12609470</v>
      </c>
      <c r="L33" s="230" t="s">
        <v>23</v>
      </c>
      <c r="M33" s="229" t="s">
        <v>368</v>
      </c>
      <c r="N33" s="231">
        <v>1270880.7</v>
      </c>
      <c r="O33" s="232">
        <v>3</v>
      </c>
      <c r="P33" s="233">
        <v>42</v>
      </c>
      <c r="Q33" s="232">
        <v>505</v>
      </c>
      <c r="R33" s="233">
        <v>4762</v>
      </c>
      <c r="S33" s="232">
        <v>47368</v>
      </c>
      <c r="T33" s="233">
        <v>464758</v>
      </c>
      <c r="U33" s="240"/>
      <c r="V33" s="228"/>
      <c r="X33" s="304"/>
    </row>
    <row r="34" spans="1:24" x14ac:dyDescent="0.15">
      <c r="A34" s="172">
        <v>14</v>
      </c>
      <c r="B34" s="173" t="s">
        <v>176</v>
      </c>
      <c r="C34" s="174" t="s">
        <v>362</v>
      </c>
      <c r="D34" s="291">
        <v>0</v>
      </c>
      <c r="E34" s="291">
        <v>3</v>
      </c>
      <c r="F34" s="291">
        <v>3</v>
      </c>
      <c r="G34" s="291">
        <v>9</v>
      </c>
      <c r="H34" s="291">
        <v>0</v>
      </c>
      <c r="I34" s="291">
        <v>9</v>
      </c>
      <c r="J34" s="292">
        <v>3</v>
      </c>
      <c r="K34" s="222">
        <v>5469912.5</v>
      </c>
      <c r="L34" s="223">
        <v>1</v>
      </c>
      <c r="M34" s="224">
        <v>1577777</v>
      </c>
      <c r="N34" s="225">
        <v>82014.5</v>
      </c>
      <c r="O34" s="226">
        <v>2</v>
      </c>
      <c r="P34" s="227">
        <v>13</v>
      </c>
      <c r="Q34" s="226">
        <v>176</v>
      </c>
      <c r="R34" s="227">
        <v>1775</v>
      </c>
      <c r="S34" s="226">
        <v>19539</v>
      </c>
      <c r="T34" s="227">
        <v>222743</v>
      </c>
      <c r="V34" s="228"/>
      <c r="X34" s="304"/>
    </row>
    <row r="35" spans="1:24" x14ac:dyDescent="0.15">
      <c r="A35" s="178"/>
      <c r="B35" s="179" t="s">
        <v>430</v>
      </c>
      <c r="C35" s="180" t="s">
        <v>363</v>
      </c>
      <c r="D35" s="289">
        <v>2</v>
      </c>
      <c r="E35" s="289">
        <v>8</v>
      </c>
      <c r="F35" s="289">
        <v>5</v>
      </c>
      <c r="G35" s="289">
        <v>6</v>
      </c>
      <c r="H35" s="289">
        <v>4</v>
      </c>
      <c r="I35" s="289">
        <v>2</v>
      </c>
      <c r="J35" s="303">
        <v>3</v>
      </c>
      <c r="K35" s="229">
        <v>13195342.5</v>
      </c>
      <c r="L35" s="230" t="s">
        <v>23</v>
      </c>
      <c r="M35" s="229" t="s">
        <v>368</v>
      </c>
      <c r="N35" s="231">
        <v>1020203.4</v>
      </c>
      <c r="O35" s="232">
        <v>6</v>
      </c>
      <c r="P35" s="233">
        <v>42</v>
      </c>
      <c r="Q35" s="232">
        <v>485</v>
      </c>
      <c r="R35" s="233">
        <v>5098</v>
      </c>
      <c r="S35" s="232">
        <v>48537</v>
      </c>
      <c r="T35" s="233">
        <v>498070</v>
      </c>
      <c r="V35" s="228"/>
      <c r="X35" s="304"/>
    </row>
    <row r="36" spans="1:24" x14ac:dyDescent="0.15">
      <c r="A36" s="172">
        <v>15</v>
      </c>
      <c r="B36" s="173" t="s">
        <v>177</v>
      </c>
      <c r="C36" s="174" t="s">
        <v>362</v>
      </c>
      <c r="D36" s="291">
        <v>1</v>
      </c>
      <c r="E36" s="291">
        <v>5</v>
      </c>
      <c r="F36" s="291">
        <v>2</v>
      </c>
      <c r="G36" s="291">
        <v>4</v>
      </c>
      <c r="H36" s="291">
        <v>8</v>
      </c>
      <c r="I36" s="291">
        <v>9</v>
      </c>
      <c r="J36" s="292">
        <v>9</v>
      </c>
      <c r="K36" s="222">
        <v>5479322.5</v>
      </c>
      <c r="L36" s="234" t="s">
        <v>23</v>
      </c>
      <c r="M36" s="224" t="s">
        <v>368</v>
      </c>
      <c r="N36" s="225">
        <v>1409783.2</v>
      </c>
      <c r="O36" s="226">
        <v>2</v>
      </c>
      <c r="P36" s="227">
        <v>18</v>
      </c>
      <c r="Q36" s="226">
        <v>181</v>
      </c>
      <c r="R36" s="227">
        <v>1814</v>
      </c>
      <c r="S36" s="226">
        <v>18063</v>
      </c>
      <c r="T36" s="227">
        <v>180701</v>
      </c>
      <c r="V36" s="228"/>
      <c r="X36" s="304"/>
    </row>
    <row r="37" spans="1:24" x14ac:dyDescent="0.15">
      <c r="A37" s="178"/>
      <c r="B37" s="179" t="s">
        <v>431</v>
      </c>
      <c r="C37" s="180" t="s">
        <v>363</v>
      </c>
      <c r="D37" s="289">
        <v>7</v>
      </c>
      <c r="E37" s="289">
        <v>4</v>
      </c>
      <c r="F37" s="289">
        <v>0</v>
      </c>
      <c r="G37" s="289">
        <v>5</v>
      </c>
      <c r="H37" s="289">
        <v>1</v>
      </c>
      <c r="I37" s="289">
        <v>9</v>
      </c>
      <c r="J37" s="303">
        <v>7</v>
      </c>
      <c r="K37" s="229">
        <v>13231252.5</v>
      </c>
      <c r="L37" s="230" t="s">
        <v>23</v>
      </c>
      <c r="M37" s="229" t="s">
        <v>368</v>
      </c>
      <c r="N37" s="231">
        <v>2350525.2999999998</v>
      </c>
      <c r="O37" s="232">
        <v>7</v>
      </c>
      <c r="P37" s="233">
        <v>58</v>
      </c>
      <c r="Q37" s="232">
        <v>557</v>
      </c>
      <c r="R37" s="233">
        <v>5530</v>
      </c>
      <c r="S37" s="232">
        <v>54323</v>
      </c>
      <c r="T37" s="233">
        <v>585539</v>
      </c>
      <c r="V37" s="228"/>
      <c r="X37" s="304"/>
    </row>
    <row r="38" spans="1:24" x14ac:dyDescent="0.15">
      <c r="A38" s="172">
        <v>16</v>
      </c>
      <c r="B38" s="173" t="s">
        <v>178</v>
      </c>
      <c r="C38" s="174" t="s">
        <v>362</v>
      </c>
      <c r="D38" s="291">
        <v>7</v>
      </c>
      <c r="E38" s="291">
        <v>6</v>
      </c>
      <c r="F38" s="291">
        <v>0</v>
      </c>
      <c r="G38" s="291">
        <v>4</v>
      </c>
      <c r="H38" s="291">
        <v>2</v>
      </c>
      <c r="I38" s="291">
        <v>3</v>
      </c>
      <c r="J38" s="292">
        <v>2</v>
      </c>
      <c r="K38" s="222">
        <v>5991555</v>
      </c>
      <c r="L38" s="234" t="s">
        <v>23</v>
      </c>
      <c r="M38" s="224" t="s">
        <v>368</v>
      </c>
      <c r="N38" s="225">
        <v>2776524.9</v>
      </c>
      <c r="O38" s="226">
        <v>2</v>
      </c>
      <c r="P38" s="227">
        <v>20</v>
      </c>
      <c r="Q38" s="226">
        <v>179</v>
      </c>
      <c r="R38" s="227">
        <v>1918</v>
      </c>
      <c r="S38" s="226">
        <v>19610</v>
      </c>
      <c r="T38" s="227">
        <v>195212</v>
      </c>
      <c r="V38" s="228"/>
      <c r="X38" s="304"/>
    </row>
    <row r="39" spans="1:24" x14ac:dyDescent="0.15">
      <c r="A39" s="178"/>
      <c r="B39" s="179" t="s">
        <v>432</v>
      </c>
      <c r="C39" s="180" t="s">
        <v>363</v>
      </c>
      <c r="D39" s="289">
        <v>7</v>
      </c>
      <c r="E39" s="289">
        <v>6</v>
      </c>
      <c r="F39" s="289">
        <v>4</v>
      </c>
      <c r="G39" s="289">
        <v>3</v>
      </c>
      <c r="H39" s="289">
        <v>5</v>
      </c>
      <c r="I39" s="289">
        <v>5</v>
      </c>
      <c r="J39" s="303">
        <v>2</v>
      </c>
      <c r="K39" s="229">
        <v>13837545</v>
      </c>
      <c r="L39" s="230" t="s">
        <v>23</v>
      </c>
      <c r="M39" s="229" t="s">
        <v>368</v>
      </c>
      <c r="N39" s="231">
        <v>3760374.3</v>
      </c>
      <c r="O39" s="232">
        <v>2</v>
      </c>
      <c r="P39" s="233">
        <v>51</v>
      </c>
      <c r="Q39" s="232">
        <v>477</v>
      </c>
      <c r="R39" s="233">
        <v>4772</v>
      </c>
      <c r="S39" s="232">
        <v>48847</v>
      </c>
      <c r="T39" s="233">
        <v>453320</v>
      </c>
      <c r="V39" s="228"/>
      <c r="X39" s="304"/>
    </row>
    <row r="40" spans="1:24" x14ac:dyDescent="0.15">
      <c r="A40" s="172">
        <v>17</v>
      </c>
      <c r="B40" s="173" t="s">
        <v>179</v>
      </c>
      <c r="C40" s="174" t="s">
        <v>362</v>
      </c>
      <c r="D40" s="291">
        <v>6</v>
      </c>
      <c r="E40" s="291">
        <v>7</v>
      </c>
      <c r="F40" s="291">
        <v>5</v>
      </c>
      <c r="G40" s="291">
        <v>8</v>
      </c>
      <c r="H40" s="291">
        <v>4</v>
      </c>
      <c r="I40" s="291">
        <v>8</v>
      </c>
      <c r="J40" s="292">
        <v>3</v>
      </c>
      <c r="K40" s="222">
        <v>6596615</v>
      </c>
      <c r="L40" s="223" t="s">
        <v>23</v>
      </c>
      <c r="M40" s="224" t="s">
        <v>368</v>
      </c>
      <c r="N40" s="225">
        <v>4229393.5999999996</v>
      </c>
      <c r="O40" s="226">
        <v>1</v>
      </c>
      <c r="P40" s="227">
        <v>41</v>
      </c>
      <c r="Q40" s="226">
        <v>278</v>
      </c>
      <c r="R40" s="227">
        <v>2585</v>
      </c>
      <c r="S40" s="226">
        <v>26456</v>
      </c>
      <c r="T40" s="227">
        <v>263200</v>
      </c>
      <c r="V40" s="228"/>
      <c r="X40" s="304"/>
    </row>
    <row r="41" spans="1:24" x14ac:dyDescent="0.15">
      <c r="A41" s="178"/>
      <c r="B41" s="179" t="s">
        <v>331</v>
      </c>
      <c r="C41" s="180" t="s">
        <v>363</v>
      </c>
      <c r="D41" s="289">
        <v>7</v>
      </c>
      <c r="E41" s="289">
        <v>3</v>
      </c>
      <c r="F41" s="289">
        <v>8</v>
      </c>
      <c r="G41" s="289">
        <v>9</v>
      </c>
      <c r="H41" s="289">
        <v>7</v>
      </c>
      <c r="I41" s="289">
        <v>9</v>
      </c>
      <c r="J41" s="303">
        <v>6</v>
      </c>
      <c r="K41" s="229">
        <v>14579755</v>
      </c>
      <c r="L41" s="230" t="s">
        <v>23</v>
      </c>
      <c r="M41" s="229" t="s">
        <v>368</v>
      </c>
      <c r="N41" s="231">
        <v>5266014.2</v>
      </c>
      <c r="O41" s="232">
        <v>6</v>
      </c>
      <c r="P41" s="233">
        <v>57</v>
      </c>
      <c r="Q41" s="232">
        <v>529</v>
      </c>
      <c r="R41" s="233">
        <v>5218</v>
      </c>
      <c r="S41" s="232">
        <v>52305</v>
      </c>
      <c r="T41" s="233">
        <v>542483</v>
      </c>
      <c r="V41" s="228"/>
      <c r="X41" s="304"/>
    </row>
    <row r="42" spans="1:24" x14ac:dyDescent="0.15">
      <c r="A42" s="172">
        <v>18</v>
      </c>
      <c r="B42" s="173" t="s">
        <v>180</v>
      </c>
      <c r="C42" s="174" t="s">
        <v>362</v>
      </c>
      <c r="D42" s="291">
        <v>9</v>
      </c>
      <c r="E42" s="291">
        <v>9</v>
      </c>
      <c r="F42" s="291">
        <v>5</v>
      </c>
      <c r="G42" s="291">
        <v>8</v>
      </c>
      <c r="H42" s="291">
        <v>4</v>
      </c>
      <c r="I42" s="291">
        <v>0</v>
      </c>
      <c r="J42" s="292">
        <v>0</v>
      </c>
      <c r="K42" s="222">
        <v>7245970</v>
      </c>
      <c r="L42" s="234" t="s">
        <v>23</v>
      </c>
      <c r="M42" s="224" t="s">
        <v>368</v>
      </c>
      <c r="N42" s="225">
        <v>5781202.7000000002</v>
      </c>
      <c r="O42" s="226">
        <v>3</v>
      </c>
      <c r="P42" s="227">
        <v>16</v>
      </c>
      <c r="Q42" s="226">
        <v>202</v>
      </c>
      <c r="R42" s="227">
        <v>2091</v>
      </c>
      <c r="S42" s="226">
        <v>22750</v>
      </c>
      <c r="T42" s="227">
        <v>194723</v>
      </c>
      <c r="V42" s="228"/>
      <c r="X42" s="304"/>
    </row>
    <row r="43" spans="1:24" x14ac:dyDescent="0.15">
      <c r="A43" s="178"/>
      <c r="B43" s="179" t="s">
        <v>332</v>
      </c>
      <c r="C43" s="180" t="s">
        <v>363</v>
      </c>
      <c r="D43" s="289">
        <v>7</v>
      </c>
      <c r="E43" s="289">
        <v>7</v>
      </c>
      <c r="F43" s="289">
        <v>1</v>
      </c>
      <c r="G43" s="289">
        <v>3</v>
      </c>
      <c r="H43" s="289">
        <v>2</v>
      </c>
      <c r="I43" s="289">
        <v>3</v>
      </c>
      <c r="J43" s="303">
        <v>5</v>
      </c>
      <c r="K43" s="229">
        <v>15398840</v>
      </c>
      <c r="L43" s="237">
        <v>1</v>
      </c>
      <c r="M43" s="229">
        <v>6777777</v>
      </c>
      <c r="N43" s="231">
        <v>98283.199999999997</v>
      </c>
      <c r="O43" s="232">
        <v>5</v>
      </c>
      <c r="P43" s="233">
        <v>73</v>
      </c>
      <c r="Q43" s="232">
        <v>645</v>
      </c>
      <c r="R43" s="233">
        <v>6569</v>
      </c>
      <c r="S43" s="232">
        <v>65323</v>
      </c>
      <c r="T43" s="233">
        <v>653063</v>
      </c>
      <c r="V43" s="228"/>
      <c r="X43" s="304"/>
    </row>
    <row r="44" spans="1:24" x14ac:dyDescent="0.15">
      <c r="A44" s="172">
        <v>19</v>
      </c>
      <c r="B44" s="173" t="s">
        <v>181</v>
      </c>
      <c r="C44" s="174" t="s">
        <v>362</v>
      </c>
      <c r="D44" s="291">
        <v>1</v>
      </c>
      <c r="E44" s="291">
        <v>4</v>
      </c>
      <c r="F44" s="291">
        <v>8</v>
      </c>
      <c r="G44" s="291">
        <v>1</v>
      </c>
      <c r="H44" s="291">
        <v>2</v>
      </c>
      <c r="I44" s="291">
        <v>0</v>
      </c>
      <c r="J44" s="292">
        <v>7</v>
      </c>
      <c r="K44" s="222">
        <v>5606550</v>
      </c>
      <c r="L44" s="234">
        <v>1</v>
      </c>
      <c r="M44" s="224">
        <v>477777</v>
      </c>
      <c r="N44" s="225">
        <v>19131.900000000001</v>
      </c>
      <c r="O44" s="226">
        <v>7</v>
      </c>
      <c r="P44" s="227">
        <v>24</v>
      </c>
      <c r="Q44" s="226">
        <v>207</v>
      </c>
      <c r="R44" s="227">
        <v>2052</v>
      </c>
      <c r="S44" s="226">
        <v>21069</v>
      </c>
      <c r="T44" s="227">
        <v>247940</v>
      </c>
      <c r="V44" s="228"/>
      <c r="X44" s="304"/>
    </row>
    <row r="45" spans="1:24" x14ac:dyDescent="0.15">
      <c r="A45" s="178"/>
      <c r="B45" s="179" t="s">
        <v>433</v>
      </c>
      <c r="C45" s="180" t="s">
        <v>363</v>
      </c>
      <c r="D45" s="289">
        <v>4</v>
      </c>
      <c r="E45" s="289">
        <v>5</v>
      </c>
      <c r="F45" s="289">
        <v>9</v>
      </c>
      <c r="G45" s="289">
        <v>3</v>
      </c>
      <c r="H45" s="289">
        <v>1</v>
      </c>
      <c r="I45" s="289">
        <v>5</v>
      </c>
      <c r="J45" s="303">
        <v>8</v>
      </c>
      <c r="K45" s="229">
        <v>13979737.5</v>
      </c>
      <c r="L45" s="237" t="s">
        <v>23</v>
      </c>
      <c r="M45" s="229" t="s">
        <v>368</v>
      </c>
      <c r="N45" s="285">
        <v>1013091.2</v>
      </c>
      <c r="O45" s="232">
        <v>6</v>
      </c>
      <c r="P45" s="233">
        <v>46</v>
      </c>
      <c r="Q45" s="232">
        <v>624</v>
      </c>
      <c r="R45" s="233">
        <v>5936</v>
      </c>
      <c r="S45" s="232">
        <v>60143</v>
      </c>
      <c r="T45" s="233">
        <v>555075</v>
      </c>
      <c r="V45" s="228"/>
      <c r="X45" s="304"/>
    </row>
    <row r="46" spans="1:24" x14ac:dyDescent="0.15">
      <c r="A46" s="172">
        <v>20</v>
      </c>
      <c r="B46" s="173" t="s">
        <v>182</v>
      </c>
      <c r="C46" s="174" t="s">
        <v>362</v>
      </c>
      <c r="D46" s="291">
        <v>1</v>
      </c>
      <c r="E46" s="291">
        <v>4</v>
      </c>
      <c r="F46" s="291">
        <v>9</v>
      </c>
      <c r="G46" s="291">
        <v>8</v>
      </c>
      <c r="H46" s="291">
        <v>9</v>
      </c>
      <c r="I46" s="291">
        <v>6</v>
      </c>
      <c r="J46" s="292">
        <v>5</v>
      </c>
      <c r="K46" s="222">
        <v>5776540</v>
      </c>
      <c r="L46" s="234">
        <v>1</v>
      </c>
      <c r="M46" s="222">
        <v>1377777</v>
      </c>
      <c r="N46" s="225">
        <v>46026.2</v>
      </c>
      <c r="O46" s="226">
        <v>4</v>
      </c>
      <c r="P46" s="227">
        <v>18</v>
      </c>
      <c r="Q46" s="226">
        <v>263</v>
      </c>
      <c r="R46" s="227">
        <v>2732</v>
      </c>
      <c r="S46" s="226">
        <v>25813</v>
      </c>
      <c r="T46" s="227">
        <v>246381</v>
      </c>
      <c r="V46" s="228"/>
      <c r="X46" s="304"/>
    </row>
    <row r="47" spans="1:24" x14ac:dyDescent="0.15">
      <c r="A47" s="178"/>
      <c r="B47" s="179" t="s">
        <v>434</v>
      </c>
      <c r="C47" s="180" t="s">
        <v>363</v>
      </c>
      <c r="D47" s="289">
        <v>8</v>
      </c>
      <c r="E47" s="289">
        <v>1</v>
      </c>
      <c r="F47" s="289">
        <v>1</v>
      </c>
      <c r="G47" s="289">
        <v>7</v>
      </c>
      <c r="H47" s="289">
        <v>1</v>
      </c>
      <c r="I47" s="289">
        <v>3</v>
      </c>
      <c r="J47" s="303">
        <v>4</v>
      </c>
      <c r="K47" s="229">
        <v>13501672.5</v>
      </c>
      <c r="L47" s="230" t="s">
        <v>23</v>
      </c>
      <c r="M47" s="286" t="s">
        <v>368</v>
      </c>
      <c r="N47" s="231">
        <v>1005995.1</v>
      </c>
      <c r="O47" s="232">
        <v>4</v>
      </c>
      <c r="P47" s="233">
        <v>36</v>
      </c>
      <c r="Q47" s="232">
        <v>476</v>
      </c>
      <c r="R47" s="233">
        <v>4554</v>
      </c>
      <c r="S47" s="232">
        <v>45789</v>
      </c>
      <c r="T47" s="233">
        <v>449962</v>
      </c>
      <c r="V47" s="228"/>
      <c r="X47" s="304"/>
    </row>
    <row r="48" spans="1:24" x14ac:dyDescent="0.15">
      <c r="A48" s="172">
        <v>21</v>
      </c>
      <c r="B48" s="173" t="s">
        <v>183</v>
      </c>
      <c r="C48" s="174" t="s">
        <v>362</v>
      </c>
      <c r="D48" s="305">
        <v>5</v>
      </c>
      <c r="E48" s="291">
        <v>7</v>
      </c>
      <c r="F48" s="291">
        <v>3</v>
      </c>
      <c r="G48" s="291">
        <v>1</v>
      </c>
      <c r="H48" s="291">
        <v>5</v>
      </c>
      <c r="I48" s="291">
        <v>0</v>
      </c>
      <c r="J48" s="292">
        <v>8</v>
      </c>
      <c r="K48" s="222">
        <v>5813277.5</v>
      </c>
      <c r="L48" s="234" t="s">
        <v>23</v>
      </c>
      <c r="M48" s="224" t="s">
        <v>368</v>
      </c>
      <c r="N48" s="285">
        <v>1419319.1</v>
      </c>
      <c r="O48" s="226">
        <v>3</v>
      </c>
      <c r="P48" s="227">
        <v>21</v>
      </c>
      <c r="Q48" s="226">
        <v>178</v>
      </c>
      <c r="R48" s="227">
        <v>1829</v>
      </c>
      <c r="S48" s="226">
        <v>18527</v>
      </c>
      <c r="T48" s="227">
        <v>227947</v>
      </c>
      <c r="V48" s="228"/>
      <c r="X48" s="304"/>
    </row>
    <row r="49" spans="1:24" x14ac:dyDescent="0.15">
      <c r="A49" s="178"/>
      <c r="B49" s="179" t="s">
        <v>333</v>
      </c>
      <c r="C49" s="180" t="s">
        <v>363</v>
      </c>
      <c r="D49" s="306">
        <v>5</v>
      </c>
      <c r="E49" s="306">
        <v>7</v>
      </c>
      <c r="F49" s="306">
        <v>5</v>
      </c>
      <c r="G49" s="306">
        <v>4</v>
      </c>
      <c r="H49" s="306">
        <v>1</v>
      </c>
      <c r="I49" s="306">
        <v>0</v>
      </c>
      <c r="J49" s="303">
        <v>3</v>
      </c>
      <c r="K49" s="229">
        <v>13424022.5</v>
      </c>
      <c r="L49" s="237" t="s">
        <v>23</v>
      </c>
      <c r="M49" s="229" t="s">
        <v>368</v>
      </c>
      <c r="N49" s="231">
        <v>2373767.1</v>
      </c>
      <c r="O49" s="232" t="s">
        <v>17</v>
      </c>
      <c r="P49" s="233">
        <v>47</v>
      </c>
      <c r="Q49" s="232">
        <v>453</v>
      </c>
      <c r="R49" s="233">
        <v>4383</v>
      </c>
      <c r="S49" s="232">
        <v>42048</v>
      </c>
      <c r="T49" s="233">
        <v>513444</v>
      </c>
      <c r="V49" s="228"/>
      <c r="X49" s="304"/>
    </row>
    <row r="50" spans="1:24" x14ac:dyDescent="0.15">
      <c r="A50" s="172">
        <v>22</v>
      </c>
      <c r="B50" s="173" t="s">
        <v>184</v>
      </c>
      <c r="C50" s="174" t="s">
        <v>362</v>
      </c>
      <c r="D50" s="291">
        <v>1</v>
      </c>
      <c r="E50" s="291">
        <v>5</v>
      </c>
      <c r="F50" s="291">
        <v>8</v>
      </c>
      <c r="G50" s="291">
        <v>7</v>
      </c>
      <c r="H50" s="291">
        <v>0</v>
      </c>
      <c r="I50" s="291">
        <v>0</v>
      </c>
      <c r="J50" s="292">
        <v>4</v>
      </c>
      <c r="K50" s="222">
        <v>5145647.5</v>
      </c>
      <c r="L50" s="234">
        <v>1</v>
      </c>
      <c r="M50" s="224">
        <v>2677777</v>
      </c>
      <c r="N50" s="225">
        <v>61845.599999999999</v>
      </c>
      <c r="O50" s="226" t="s">
        <v>17</v>
      </c>
      <c r="P50" s="227">
        <v>11</v>
      </c>
      <c r="Q50" s="226">
        <v>133</v>
      </c>
      <c r="R50" s="227">
        <v>1362</v>
      </c>
      <c r="S50" s="226">
        <v>15591</v>
      </c>
      <c r="T50" s="227">
        <v>172178</v>
      </c>
      <c r="V50" s="228"/>
      <c r="X50" s="304"/>
    </row>
    <row r="51" spans="1:24" x14ac:dyDescent="0.15">
      <c r="A51" s="178"/>
      <c r="B51" s="179" t="s">
        <v>334</v>
      </c>
      <c r="C51" s="180" t="s">
        <v>363</v>
      </c>
      <c r="D51" s="289">
        <v>8</v>
      </c>
      <c r="E51" s="289">
        <v>2</v>
      </c>
      <c r="F51" s="289">
        <v>4</v>
      </c>
      <c r="G51" s="289">
        <v>2</v>
      </c>
      <c r="H51" s="289">
        <v>2</v>
      </c>
      <c r="I51" s="289">
        <v>7</v>
      </c>
      <c r="J51" s="303">
        <v>6</v>
      </c>
      <c r="K51" s="229">
        <v>12705722.5</v>
      </c>
      <c r="L51" s="237" t="s">
        <v>23</v>
      </c>
      <c r="M51" s="229" t="s">
        <v>368</v>
      </c>
      <c r="N51" s="231">
        <v>965222.5</v>
      </c>
      <c r="O51" s="232">
        <v>6</v>
      </c>
      <c r="P51" s="233">
        <v>50</v>
      </c>
      <c r="Q51" s="232">
        <v>454</v>
      </c>
      <c r="R51" s="233">
        <v>4686</v>
      </c>
      <c r="S51" s="232">
        <v>47339</v>
      </c>
      <c r="T51" s="233">
        <v>474697</v>
      </c>
      <c r="V51" s="228"/>
      <c r="X51" s="304"/>
    </row>
    <row r="52" spans="1:24" x14ac:dyDescent="0.15">
      <c r="A52" s="172">
        <v>23</v>
      </c>
      <c r="B52" s="173" t="s">
        <v>185</v>
      </c>
      <c r="C52" s="174" t="s">
        <v>362</v>
      </c>
      <c r="D52" s="291">
        <v>5</v>
      </c>
      <c r="E52" s="291">
        <v>2</v>
      </c>
      <c r="F52" s="291">
        <v>3</v>
      </c>
      <c r="G52" s="291">
        <v>4</v>
      </c>
      <c r="H52" s="291">
        <v>0</v>
      </c>
      <c r="I52" s="291">
        <v>6</v>
      </c>
      <c r="J52" s="292">
        <v>2</v>
      </c>
      <c r="K52" s="222">
        <v>5487242.5</v>
      </c>
      <c r="L52" s="234">
        <v>1</v>
      </c>
      <c r="M52" s="224">
        <v>1277777</v>
      </c>
      <c r="N52" s="225">
        <v>77588.399999999994</v>
      </c>
      <c r="O52" s="226">
        <v>1</v>
      </c>
      <c r="P52" s="227">
        <v>16</v>
      </c>
      <c r="Q52" s="226">
        <v>139</v>
      </c>
      <c r="R52" s="227">
        <v>1624</v>
      </c>
      <c r="S52" s="226">
        <v>18014</v>
      </c>
      <c r="T52" s="227">
        <v>174849</v>
      </c>
      <c r="V52" s="228"/>
      <c r="X52" s="304"/>
    </row>
    <row r="53" spans="1:24" x14ac:dyDescent="0.15">
      <c r="A53" s="178"/>
      <c r="B53" s="179" t="s">
        <v>335</v>
      </c>
      <c r="C53" s="180" t="s">
        <v>363</v>
      </c>
      <c r="D53" s="289">
        <v>4</v>
      </c>
      <c r="E53" s="289">
        <v>7</v>
      </c>
      <c r="F53" s="289">
        <v>5</v>
      </c>
      <c r="G53" s="289">
        <v>2</v>
      </c>
      <c r="H53" s="289">
        <v>2</v>
      </c>
      <c r="I53" s="289">
        <v>4</v>
      </c>
      <c r="J53" s="303">
        <v>5</v>
      </c>
      <c r="K53" s="229">
        <v>12598117.5</v>
      </c>
      <c r="L53" s="237">
        <v>1</v>
      </c>
      <c r="M53" s="229">
        <v>877777</v>
      </c>
      <c r="N53" s="231">
        <v>95537.600000000006</v>
      </c>
      <c r="O53" s="232">
        <v>9</v>
      </c>
      <c r="P53" s="233">
        <v>67</v>
      </c>
      <c r="Q53" s="232">
        <v>561</v>
      </c>
      <c r="R53" s="233">
        <v>5526</v>
      </c>
      <c r="S53" s="232">
        <v>56458</v>
      </c>
      <c r="T53" s="233">
        <v>540640</v>
      </c>
      <c r="V53" s="228"/>
      <c r="X53" s="304"/>
    </row>
    <row r="54" spans="1:24" x14ac:dyDescent="0.15">
      <c r="A54" s="172">
        <v>24</v>
      </c>
      <c r="B54" s="173" t="s">
        <v>186</v>
      </c>
      <c r="C54" s="174" t="s">
        <v>362</v>
      </c>
      <c r="D54" s="291">
        <v>4</v>
      </c>
      <c r="E54" s="291">
        <v>6</v>
      </c>
      <c r="F54" s="291">
        <v>8</v>
      </c>
      <c r="G54" s="291">
        <v>3</v>
      </c>
      <c r="H54" s="291">
        <v>6</v>
      </c>
      <c r="I54" s="291">
        <v>4</v>
      </c>
      <c r="J54" s="292">
        <v>8</v>
      </c>
      <c r="K54" s="222">
        <v>5567600</v>
      </c>
      <c r="L54" s="223" t="s">
        <v>23</v>
      </c>
      <c r="M54" s="224" t="s">
        <v>368</v>
      </c>
      <c r="N54" s="225">
        <v>491394</v>
      </c>
      <c r="O54" s="226">
        <v>1</v>
      </c>
      <c r="P54" s="227">
        <v>35</v>
      </c>
      <c r="Q54" s="226">
        <v>235</v>
      </c>
      <c r="R54" s="227">
        <v>2258</v>
      </c>
      <c r="S54" s="226">
        <v>22116</v>
      </c>
      <c r="T54" s="227">
        <v>213861</v>
      </c>
      <c r="V54" s="228"/>
      <c r="X54" s="304"/>
    </row>
    <row r="55" spans="1:24" x14ac:dyDescent="0.15">
      <c r="A55" s="178"/>
      <c r="B55" s="179" t="s">
        <v>336</v>
      </c>
      <c r="C55" s="180" t="s">
        <v>363</v>
      </c>
      <c r="D55" s="289">
        <v>5</v>
      </c>
      <c r="E55" s="289">
        <v>9</v>
      </c>
      <c r="F55" s="289">
        <v>2</v>
      </c>
      <c r="G55" s="289">
        <v>4</v>
      </c>
      <c r="H55" s="289">
        <v>6</v>
      </c>
      <c r="I55" s="289">
        <v>0</v>
      </c>
      <c r="J55" s="303">
        <v>5</v>
      </c>
      <c r="K55" s="229">
        <v>12969192.5</v>
      </c>
      <c r="L55" s="230">
        <v>1</v>
      </c>
      <c r="M55" s="229">
        <v>1377777</v>
      </c>
      <c r="N55" s="231">
        <v>35726.6</v>
      </c>
      <c r="O55" s="232">
        <v>3</v>
      </c>
      <c r="P55" s="233">
        <v>61</v>
      </c>
      <c r="Q55" s="232">
        <v>429</v>
      </c>
      <c r="R55" s="233">
        <v>4672</v>
      </c>
      <c r="S55" s="232">
        <v>46495</v>
      </c>
      <c r="T55" s="233">
        <v>570279</v>
      </c>
      <c r="V55" s="228"/>
      <c r="X55" s="304"/>
    </row>
    <row r="56" spans="1:24" x14ac:dyDescent="0.15">
      <c r="A56" s="172">
        <v>25</v>
      </c>
      <c r="B56" s="173" t="s">
        <v>187</v>
      </c>
      <c r="C56" s="174" t="s">
        <v>362</v>
      </c>
      <c r="D56" s="291">
        <v>8</v>
      </c>
      <c r="E56" s="291">
        <v>7</v>
      </c>
      <c r="F56" s="291">
        <v>8</v>
      </c>
      <c r="G56" s="291">
        <v>8</v>
      </c>
      <c r="H56" s="291">
        <v>8</v>
      </c>
      <c r="I56" s="291">
        <v>0</v>
      </c>
      <c r="J56" s="292">
        <v>0</v>
      </c>
      <c r="K56" s="222">
        <v>5887267.5</v>
      </c>
      <c r="L56" s="234" t="s">
        <v>23</v>
      </c>
      <c r="M56" s="224" t="s">
        <v>368</v>
      </c>
      <c r="N56" s="225">
        <v>454311.3</v>
      </c>
      <c r="O56" s="226">
        <v>3</v>
      </c>
      <c r="P56" s="227">
        <v>26</v>
      </c>
      <c r="Q56" s="226">
        <v>193</v>
      </c>
      <c r="R56" s="227">
        <v>1725</v>
      </c>
      <c r="S56" s="226">
        <v>19272</v>
      </c>
      <c r="T56" s="227">
        <v>157243</v>
      </c>
      <c r="U56" s="240"/>
      <c r="V56" s="275"/>
      <c r="X56" s="304"/>
    </row>
    <row r="57" spans="1:24" x14ac:dyDescent="0.15">
      <c r="A57" s="178"/>
      <c r="B57" s="179" t="s">
        <v>337</v>
      </c>
      <c r="C57" s="180" t="s">
        <v>363</v>
      </c>
      <c r="D57" s="289">
        <v>9</v>
      </c>
      <c r="E57" s="289">
        <v>7</v>
      </c>
      <c r="F57" s="289">
        <v>1</v>
      </c>
      <c r="G57" s="289">
        <v>9</v>
      </c>
      <c r="H57" s="289">
        <v>6</v>
      </c>
      <c r="I57" s="289">
        <v>7</v>
      </c>
      <c r="J57" s="303">
        <v>8</v>
      </c>
      <c r="K57" s="229">
        <v>13418512.5</v>
      </c>
      <c r="L57" s="230">
        <v>2</v>
      </c>
      <c r="M57" s="229">
        <v>677777</v>
      </c>
      <c r="N57" s="231">
        <v>52813.5</v>
      </c>
      <c r="O57" s="232">
        <v>8</v>
      </c>
      <c r="P57" s="233">
        <v>77</v>
      </c>
      <c r="Q57" s="232">
        <v>534</v>
      </c>
      <c r="R57" s="233">
        <v>5497</v>
      </c>
      <c r="S57" s="232">
        <v>53613</v>
      </c>
      <c r="T57" s="233">
        <v>538664</v>
      </c>
      <c r="V57" s="228"/>
      <c r="X57" s="304"/>
    </row>
    <row r="58" spans="1:24" x14ac:dyDescent="0.15">
      <c r="A58" s="172">
        <v>26</v>
      </c>
      <c r="B58" s="173" t="s">
        <v>188</v>
      </c>
      <c r="C58" s="174" t="s">
        <v>362</v>
      </c>
      <c r="D58" s="291">
        <v>2</v>
      </c>
      <c r="E58" s="291">
        <v>6</v>
      </c>
      <c r="F58" s="291">
        <v>2</v>
      </c>
      <c r="G58" s="291">
        <v>9</v>
      </c>
      <c r="H58" s="291">
        <v>0</v>
      </c>
      <c r="I58" s="291">
        <v>0</v>
      </c>
      <c r="J58" s="292">
        <v>0</v>
      </c>
      <c r="K58" s="222">
        <v>6260787.5</v>
      </c>
      <c r="L58" s="223" t="s">
        <v>23</v>
      </c>
      <c r="M58" s="224" t="s">
        <v>368</v>
      </c>
      <c r="N58" s="225">
        <v>497955.5</v>
      </c>
      <c r="O58" s="226">
        <v>5</v>
      </c>
      <c r="P58" s="227">
        <v>29</v>
      </c>
      <c r="Q58" s="226">
        <v>262</v>
      </c>
      <c r="R58" s="227">
        <v>3218</v>
      </c>
      <c r="S58" s="226">
        <v>19095</v>
      </c>
      <c r="T58" s="227">
        <v>169499</v>
      </c>
      <c r="V58" s="228"/>
      <c r="X58" s="304"/>
    </row>
    <row r="59" spans="1:24" x14ac:dyDescent="0.15">
      <c r="A59" s="178"/>
      <c r="B59" s="179" t="s">
        <v>338</v>
      </c>
      <c r="C59" s="180" t="s">
        <v>363</v>
      </c>
      <c r="D59" s="307">
        <v>1</v>
      </c>
      <c r="E59" s="307">
        <v>5</v>
      </c>
      <c r="F59" s="307">
        <v>7</v>
      </c>
      <c r="G59" s="307">
        <v>6</v>
      </c>
      <c r="H59" s="307">
        <v>3</v>
      </c>
      <c r="I59" s="307">
        <v>8</v>
      </c>
      <c r="J59" s="308">
        <v>2</v>
      </c>
      <c r="K59" s="229">
        <v>13764690</v>
      </c>
      <c r="L59" s="230" t="s">
        <v>23</v>
      </c>
      <c r="M59" s="229" t="s">
        <v>368</v>
      </c>
      <c r="N59" s="231">
        <v>1476625</v>
      </c>
      <c r="O59" s="232">
        <v>7</v>
      </c>
      <c r="P59" s="233">
        <v>54</v>
      </c>
      <c r="Q59" s="232">
        <v>500</v>
      </c>
      <c r="R59" s="233">
        <v>4388</v>
      </c>
      <c r="S59" s="232">
        <v>43845</v>
      </c>
      <c r="T59" s="233">
        <v>447074</v>
      </c>
      <c r="V59" s="228"/>
      <c r="X59" s="304"/>
    </row>
    <row r="60" spans="1:24" x14ac:dyDescent="0.15">
      <c r="A60" s="45"/>
      <c r="B60" s="46"/>
      <c r="C60" s="46"/>
      <c r="D60" s="309"/>
      <c r="E60" s="309"/>
      <c r="F60" s="309"/>
      <c r="G60" s="309"/>
      <c r="H60" s="309"/>
      <c r="I60" s="309" t="s">
        <v>24</v>
      </c>
      <c r="J60" s="309"/>
      <c r="K60" s="277"/>
      <c r="L60" s="278">
        <f>SUM(L8:L59)</f>
        <v>28</v>
      </c>
      <c r="M60" s="229"/>
      <c r="N60" s="278"/>
      <c r="O60" s="278">
        <f t="shared" ref="O60:T60" si="0">SUM(O8:O59)</f>
        <v>192</v>
      </c>
      <c r="P60" s="278">
        <f t="shared" si="0"/>
        <v>1985</v>
      </c>
      <c r="Q60" s="278">
        <f t="shared" si="0"/>
        <v>18877</v>
      </c>
      <c r="R60" s="278">
        <f t="shared" si="0"/>
        <v>189472</v>
      </c>
      <c r="S60" s="278">
        <f t="shared" si="0"/>
        <v>1845393</v>
      </c>
      <c r="T60" s="272">
        <f t="shared" si="0"/>
        <v>18509786</v>
      </c>
      <c r="V60" s="228"/>
      <c r="X60" s="304"/>
    </row>
    <row r="63" spans="1:24" x14ac:dyDescent="0.15">
      <c r="K63" s="254"/>
    </row>
    <row r="64" spans="1:24" ht="12.75" x14ac:dyDescent="0.2">
      <c r="A64" s="1" t="s">
        <v>364</v>
      </c>
      <c r="T64" s="3" t="s">
        <v>435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299"/>
      <c r="E66" s="299"/>
      <c r="F66" s="299"/>
      <c r="G66" s="299"/>
      <c r="H66" s="299"/>
      <c r="I66" s="299"/>
      <c r="J66" s="30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301" t="s">
        <v>4</v>
      </c>
      <c r="E67" s="302"/>
      <c r="F67" s="302"/>
      <c r="G67" s="302"/>
      <c r="H67" s="302"/>
      <c r="I67" s="302"/>
      <c r="J67" s="290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2015</v>
      </c>
      <c r="C68" s="220" t="s">
        <v>361</v>
      </c>
      <c r="D68" s="289"/>
      <c r="E68" s="289"/>
      <c r="F68" s="289"/>
      <c r="G68" s="289"/>
      <c r="H68" s="289"/>
      <c r="I68" s="289"/>
      <c r="J68" s="290" t="s">
        <v>13</v>
      </c>
      <c r="K68" s="14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4" ht="11.1" customHeight="1" x14ac:dyDescent="0.15">
      <c r="A69" s="39"/>
      <c r="B69" s="21"/>
      <c r="C69" s="220"/>
      <c r="D69" s="289"/>
      <c r="E69" s="289"/>
      <c r="F69" s="289"/>
      <c r="G69" s="289"/>
      <c r="H69" s="289"/>
      <c r="I69" s="289"/>
      <c r="J69" s="30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 t="s">
        <v>189</v>
      </c>
      <c r="C70" s="174" t="s">
        <v>362</v>
      </c>
      <c r="D70" s="291">
        <v>0</v>
      </c>
      <c r="E70" s="291">
        <v>1</v>
      </c>
      <c r="F70" s="291">
        <v>5</v>
      </c>
      <c r="G70" s="291">
        <v>7</v>
      </c>
      <c r="H70" s="291">
        <v>6</v>
      </c>
      <c r="I70" s="291">
        <v>4</v>
      </c>
      <c r="J70" s="292">
        <v>5</v>
      </c>
      <c r="K70" s="222">
        <v>6702297.5</v>
      </c>
      <c r="L70" s="223" t="s">
        <v>23</v>
      </c>
      <c r="M70" s="224" t="s">
        <v>368</v>
      </c>
      <c r="N70" s="225">
        <v>1953158.4</v>
      </c>
      <c r="O70" s="226">
        <v>3</v>
      </c>
      <c r="P70" s="227">
        <v>26</v>
      </c>
      <c r="Q70" s="226">
        <v>298</v>
      </c>
      <c r="R70" s="227">
        <v>3076</v>
      </c>
      <c r="S70" s="226">
        <v>29007</v>
      </c>
      <c r="T70" s="227">
        <v>282908</v>
      </c>
      <c r="U70" s="240"/>
      <c r="V70" s="275"/>
      <c r="X70" s="304"/>
    </row>
    <row r="71" spans="1:24" x14ac:dyDescent="0.15">
      <c r="A71" s="178"/>
      <c r="B71" s="179" t="s">
        <v>339</v>
      </c>
      <c r="C71" s="180" t="s">
        <v>363</v>
      </c>
      <c r="D71" s="289">
        <v>6</v>
      </c>
      <c r="E71" s="289">
        <v>9</v>
      </c>
      <c r="F71" s="289">
        <v>7</v>
      </c>
      <c r="G71" s="289">
        <v>5</v>
      </c>
      <c r="H71" s="289">
        <v>4</v>
      </c>
      <c r="I71" s="289">
        <v>1</v>
      </c>
      <c r="J71" s="303">
        <v>5</v>
      </c>
      <c r="K71" s="229">
        <v>14126382.5</v>
      </c>
      <c r="L71" s="230">
        <v>4</v>
      </c>
      <c r="M71" s="229">
        <v>677777</v>
      </c>
      <c r="N71" s="231">
        <v>246436.2</v>
      </c>
      <c r="O71" s="232">
        <v>6</v>
      </c>
      <c r="P71" s="233">
        <v>53</v>
      </c>
      <c r="Q71" s="232">
        <v>649</v>
      </c>
      <c r="R71" s="233">
        <v>6251</v>
      </c>
      <c r="S71" s="232">
        <v>58869</v>
      </c>
      <c r="T71" s="233">
        <v>610186</v>
      </c>
      <c r="V71" s="228"/>
      <c r="X71" s="304"/>
    </row>
    <row r="72" spans="1:24" x14ac:dyDescent="0.15">
      <c r="A72" s="172">
        <v>28</v>
      </c>
      <c r="B72" s="173" t="s">
        <v>190</v>
      </c>
      <c r="C72" s="174" t="s">
        <v>362</v>
      </c>
      <c r="D72" s="291">
        <v>2</v>
      </c>
      <c r="E72" s="291">
        <v>0</v>
      </c>
      <c r="F72" s="291">
        <v>8</v>
      </c>
      <c r="G72" s="291">
        <v>7</v>
      </c>
      <c r="H72" s="291">
        <v>3</v>
      </c>
      <c r="I72" s="291">
        <v>0</v>
      </c>
      <c r="J72" s="292">
        <v>0</v>
      </c>
      <c r="K72" s="222">
        <v>8481867.5</v>
      </c>
      <c r="L72" s="223" t="s">
        <v>23</v>
      </c>
      <c r="M72" s="224" t="s">
        <v>368</v>
      </c>
      <c r="N72" s="225">
        <v>849497</v>
      </c>
      <c r="O72" s="226">
        <v>3</v>
      </c>
      <c r="P72" s="227">
        <v>23</v>
      </c>
      <c r="Q72" s="226">
        <v>251</v>
      </c>
      <c r="R72" s="227">
        <v>2503</v>
      </c>
      <c r="S72" s="226">
        <v>27861</v>
      </c>
      <c r="T72" s="227">
        <v>238418</v>
      </c>
      <c r="V72" s="228"/>
      <c r="X72" s="304"/>
    </row>
    <row r="73" spans="1:24" x14ac:dyDescent="0.15">
      <c r="A73" s="178"/>
      <c r="B73" s="179" t="s">
        <v>340</v>
      </c>
      <c r="C73" s="180" t="s">
        <v>363</v>
      </c>
      <c r="D73" s="289">
        <v>4</v>
      </c>
      <c r="E73" s="289">
        <v>0</v>
      </c>
      <c r="F73" s="289">
        <v>7</v>
      </c>
      <c r="G73" s="289">
        <v>2</v>
      </c>
      <c r="H73" s="289">
        <v>1</v>
      </c>
      <c r="I73" s="289">
        <v>7</v>
      </c>
      <c r="J73" s="303">
        <v>2</v>
      </c>
      <c r="K73" s="229">
        <v>13000962.5</v>
      </c>
      <c r="L73" s="237" t="s">
        <v>23</v>
      </c>
      <c r="M73" s="229" t="s">
        <v>368</v>
      </c>
      <c r="N73" s="231">
        <v>1773865.4</v>
      </c>
      <c r="O73" s="232">
        <v>4</v>
      </c>
      <c r="P73" s="233">
        <v>41</v>
      </c>
      <c r="Q73" s="232">
        <v>421</v>
      </c>
      <c r="R73" s="233">
        <v>4279</v>
      </c>
      <c r="S73" s="232">
        <v>42237</v>
      </c>
      <c r="T73" s="233">
        <v>421477</v>
      </c>
      <c r="V73" s="228"/>
      <c r="X73" s="304"/>
    </row>
    <row r="74" spans="1:24" x14ac:dyDescent="0.15">
      <c r="A74" s="172">
        <v>29</v>
      </c>
      <c r="B74" s="173" t="s">
        <v>191</v>
      </c>
      <c r="C74" s="174" t="s">
        <v>362</v>
      </c>
      <c r="D74" s="291">
        <v>1</v>
      </c>
      <c r="E74" s="291">
        <v>0</v>
      </c>
      <c r="F74" s="291">
        <v>4</v>
      </c>
      <c r="G74" s="291">
        <v>1</v>
      </c>
      <c r="H74" s="291">
        <v>5</v>
      </c>
      <c r="I74" s="291">
        <v>5</v>
      </c>
      <c r="J74" s="292">
        <v>6</v>
      </c>
      <c r="K74" s="222">
        <v>5323572.5</v>
      </c>
      <c r="L74" s="223">
        <v>1</v>
      </c>
      <c r="M74" s="224">
        <v>2077777</v>
      </c>
      <c r="N74" s="225">
        <v>74594.399999999994</v>
      </c>
      <c r="O74" s="226">
        <v>1</v>
      </c>
      <c r="P74" s="227">
        <v>28</v>
      </c>
      <c r="Q74" s="226">
        <v>187</v>
      </c>
      <c r="R74" s="227">
        <v>2062</v>
      </c>
      <c r="S74" s="226">
        <v>21623</v>
      </c>
      <c r="T74" s="227">
        <v>199702</v>
      </c>
      <c r="V74" s="228"/>
      <c r="X74" s="304"/>
    </row>
    <row r="75" spans="1:24" x14ac:dyDescent="0.15">
      <c r="A75" s="178"/>
      <c r="B75" s="179" t="s">
        <v>245</v>
      </c>
      <c r="C75" s="180" t="s">
        <v>363</v>
      </c>
      <c r="D75" s="289">
        <v>6</v>
      </c>
      <c r="E75" s="289">
        <v>2</v>
      </c>
      <c r="F75" s="289">
        <v>8</v>
      </c>
      <c r="G75" s="289">
        <v>6</v>
      </c>
      <c r="H75" s="289">
        <v>5</v>
      </c>
      <c r="I75" s="289">
        <v>9</v>
      </c>
      <c r="J75" s="303">
        <v>4</v>
      </c>
      <c r="K75" s="229">
        <v>12499655</v>
      </c>
      <c r="L75" s="230" t="s">
        <v>23</v>
      </c>
      <c r="M75" s="229" t="s">
        <v>368</v>
      </c>
      <c r="N75" s="231">
        <v>963319.9</v>
      </c>
      <c r="O75" s="232">
        <v>6</v>
      </c>
      <c r="P75" s="233">
        <v>44</v>
      </c>
      <c r="Q75" s="232">
        <v>397</v>
      </c>
      <c r="R75" s="233">
        <v>4032</v>
      </c>
      <c r="S75" s="232">
        <v>38769</v>
      </c>
      <c r="T75" s="233">
        <v>418292</v>
      </c>
      <c r="V75" s="228"/>
      <c r="X75" s="304"/>
    </row>
    <row r="76" spans="1:24" x14ac:dyDescent="0.15">
      <c r="A76" s="172">
        <v>30</v>
      </c>
      <c r="B76" s="173" t="s">
        <v>192</v>
      </c>
      <c r="C76" s="174" t="s">
        <v>362</v>
      </c>
      <c r="D76" s="291">
        <v>9</v>
      </c>
      <c r="E76" s="291">
        <v>5</v>
      </c>
      <c r="F76" s="291">
        <v>6</v>
      </c>
      <c r="G76" s="291">
        <v>5</v>
      </c>
      <c r="H76" s="291">
        <v>1</v>
      </c>
      <c r="I76" s="291">
        <v>9</v>
      </c>
      <c r="J76" s="292">
        <v>2</v>
      </c>
      <c r="K76" s="222">
        <v>5148205</v>
      </c>
      <c r="L76" s="223" t="s">
        <v>23</v>
      </c>
      <c r="M76" s="224" t="s">
        <v>368</v>
      </c>
      <c r="N76" s="225">
        <v>1329357.3</v>
      </c>
      <c r="O76" s="226">
        <v>3</v>
      </c>
      <c r="P76" s="227">
        <v>19</v>
      </c>
      <c r="Q76" s="226">
        <v>152</v>
      </c>
      <c r="R76" s="227">
        <v>1661</v>
      </c>
      <c r="S76" s="226">
        <v>15520</v>
      </c>
      <c r="T76" s="227">
        <v>167474</v>
      </c>
      <c r="V76" s="228"/>
      <c r="X76" s="304"/>
    </row>
    <row r="77" spans="1:24" x14ac:dyDescent="0.15">
      <c r="A77" s="178"/>
      <c r="B77" s="179" t="s">
        <v>342</v>
      </c>
      <c r="C77" s="180" t="s">
        <v>363</v>
      </c>
      <c r="D77" s="289">
        <v>8</v>
      </c>
      <c r="E77" s="289">
        <v>7</v>
      </c>
      <c r="F77" s="289">
        <v>9</v>
      </c>
      <c r="G77" s="289">
        <v>5</v>
      </c>
      <c r="H77" s="289">
        <v>6</v>
      </c>
      <c r="I77" s="289">
        <v>7</v>
      </c>
      <c r="J77" s="303">
        <v>0</v>
      </c>
      <c r="K77" s="229">
        <v>12447072.5</v>
      </c>
      <c r="L77" s="230" t="s">
        <v>23</v>
      </c>
      <c r="M77" s="229" t="s">
        <v>368</v>
      </c>
      <c r="N77" s="231">
        <v>2214344.2000000002</v>
      </c>
      <c r="O77" s="232">
        <v>3</v>
      </c>
      <c r="P77" s="233">
        <v>31</v>
      </c>
      <c r="Q77" s="232">
        <v>340</v>
      </c>
      <c r="R77" s="233">
        <v>3330</v>
      </c>
      <c r="S77" s="232">
        <v>33326</v>
      </c>
      <c r="T77" s="233">
        <v>335309</v>
      </c>
      <c r="V77" s="228"/>
      <c r="X77" s="304"/>
    </row>
    <row r="78" spans="1:24" x14ac:dyDescent="0.15">
      <c r="A78" s="172">
        <v>31</v>
      </c>
      <c r="B78" s="173" t="s">
        <v>193</v>
      </c>
      <c r="C78" s="174" t="s">
        <v>362</v>
      </c>
      <c r="D78" s="291">
        <v>7</v>
      </c>
      <c r="E78" s="291">
        <v>6</v>
      </c>
      <c r="F78" s="291">
        <v>7</v>
      </c>
      <c r="G78" s="291">
        <v>7</v>
      </c>
      <c r="H78" s="291">
        <v>8</v>
      </c>
      <c r="I78" s="291">
        <v>8</v>
      </c>
      <c r="J78" s="292">
        <v>7</v>
      </c>
      <c r="K78" s="222">
        <v>5369167.5</v>
      </c>
      <c r="L78" s="223" t="s">
        <v>23</v>
      </c>
      <c r="M78" s="224" t="s">
        <v>368</v>
      </c>
      <c r="N78" s="225">
        <v>2596092</v>
      </c>
      <c r="O78" s="226">
        <v>1</v>
      </c>
      <c r="P78" s="227">
        <v>20</v>
      </c>
      <c r="Q78" s="226">
        <v>210</v>
      </c>
      <c r="R78" s="227">
        <v>1995</v>
      </c>
      <c r="S78" s="226">
        <v>21999</v>
      </c>
      <c r="T78" s="227">
        <v>236248</v>
      </c>
      <c r="V78" s="228"/>
      <c r="X78" s="304"/>
    </row>
    <row r="79" spans="1:24" x14ac:dyDescent="0.15">
      <c r="A79" s="178"/>
      <c r="B79" s="179" t="s">
        <v>343</v>
      </c>
      <c r="C79" s="180" t="s">
        <v>363</v>
      </c>
      <c r="D79" s="289">
        <v>5</v>
      </c>
      <c r="E79" s="289">
        <v>2</v>
      </c>
      <c r="F79" s="289">
        <v>3</v>
      </c>
      <c r="G79" s="289">
        <v>0</v>
      </c>
      <c r="H79" s="289">
        <v>8</v>
      </c>
      <c r="I79" s="289">
        <v>4</v>
      </c>
      <c r="J79" s="303">
        <v>3</v>
      </c>
      <c r="K79" s="229">
        <v>12804685</v>
      </c>
      <c r="L79" s="230" t="s">
        <v>23</v>
      </c>
      <c r="M79" s="229" t="s">
        <v>368</v>
      </c>
      <c r="N79" s="231">
        <v>3506505.1</v>
      </c>
      <c r="O79" s="232">
        <v>8</v>
      </c>
      <c r="P79" s="233">
        <v>58</v>
      </c>
      <c r="Q79" s="232">
        <v>493</v>
      </c>
      <c r="R79" s="233">
        <v>4656</v>
      </c>
      <c r="S79" s="232">
        <v>46336</v>
      </c>
      <c r="T79" s="233">
        <v>479348</v>
      </c>
      <c r="V79" s="228"/>
      <c r="X79" s="304"/>
    </row>
    <row r="80" spans="1:24" x14ac:dyDescent="0.15">
      <c r="A80" s="172">
        <v>32</v>
      </c>
      <c r="B80" s="173" t="s">
        <v>194</v>
      </c>
      <c r="C80" s="174" t="s">
        <v>362</v>
      </c>
      <c r="D80" s="291">
        <v>2</v>
      </c>
      <c r="E80" s="291">
        <v>3</v>
      </c>
      <c r="F80" s="291">
        <v>4</v>
      </c>
      <c r="G80" s="291">
        <v>8</v>
      </c>
      <c r="H80" s="291">
        <v>6</v>
      </c>
      <c r="I80" s="291">
        <v>8</v>
      </c>
      <c r="J80" s="292">
        <v>6</v>
      </c>
      <c r="K80" s="222">
        <v>5765255</v>
      </c>
      <c r="L80" s="234">
        <v>2</v>
      </c>
      <c r="M80" s="224">
        <v>1877777</v>
      </c>
      <c r="N80" s="225">
        <v>160860.70000000001</v>
      </c>
      <c r="O80" s="236">
        <v>3</v>
      </c>
      <c r="P80" s="227">
        <v>21</v>
      </c>
      <c r="Q80" s="226">
        <v>203</v>
      </c>
      <c r="R80" s="227">
        <v>2287</v>
      </c>
      <c r="S80" s="226">
        <v>21277</v>
      </c>
      <c r="T80" s="227">
        <v>218844</v>
      </c>
      <c r="V80" s="228"/>
      <c r="X80" s="304"/>
    </row>
    <row r="81" spans="1:24" x14ac:dyDescent="0.15">
      <c r="A81" s="178"/>
      <c r="B81" s="179" t="s">
        <v>344</v>
      </c>
      <c r="C81" s="180" t="s">
        <v>363</v>
      </c>
      <c r="D81" s="289">
        <v>1</v>
      </c>
      <c r="E81" s="289">
        <v>5</v>
      </c>
      <c r="F81" s="289">
        <v>8</v>
      </c>
      <c r="G81" s="289">
        <v>7</v>
      </c>
      <c r="H81" s="289">
        <v>3</v>
      </c>
      <c r="I81" s="289">
        <v>5</v>
      </c>
      <c r="J81" s="303">
        <v>9</v>
      </c>
      <c r="K81" s="229">
        <v>12984712.5</v>
      </c>
      <c r="L81" s="230">
        <v>2</v>
      </c>
      <c r="M81" s="229">
        <v>477777</v>
      </c>
      <c r="N81" s="231">
        <v>128519.8</v>
      </c>
      <c r="O81" s="232">
        <v>5</v>
      </c>
      <c r="P81" s="233">
        <v>47</v>
      </c>
      <c r="Q81" s="232">
        <v>481</v>
      </c>
      <c r="R81" s="233">
        <v>4664</v>
      </c>
      <c r="S81" s="232">
        <v>46210</v>
      </c>
      <c r="T81" s="233">
        <v>440826</v>
      </c>
      <c r="V81" s="228"/>
      <c r="X81" s="304"/>
    </row>
    <row r="82" spans="1:24" x14ac:dyDescent="0.15">
      <c r="A82" s="172">
        <v>33</v>
      </c>
      <c r="B82" s="173" t="s">
        <v>195</v>
      </c>
      <c r="C82" s="174" t="s">
        <v>362</v>
      </c>
      <c r="D82" s="291">
        <v>6</v>
      </c>
      <c r="E82" s="291">
        <v>0</v>
      </c>
      <c r="F82" s="291">
        <v>4</v>
      </c>
      <c r="G82" s="291">
        <v>8</v>
      </c>
      <c r="H82" s="291">
        <v>0</v>
      </c>
      <c r="I82" s="291">
        <v>4</v>
      </c>
      <c r="J82" s="292">
        <v>0</v>
      </c>
      <c r="K82" s="222">
        <v>5172705</v>
      </c>
      <c r="L82" s="223" t="s">
        <v>23</v>
      </c>
      <c r="M82" s="279" t="s">
        <v>368</v>
      </c>
      <c r="N82" s="225">
        <v>496299.1</v>
      </c>
      <c r="O82" s="226" t="s">
        <v>17</v>
      </c>
      <c r="P82" s="227">
        <v>12</v>
      </c>
      <c r="Q82" s="226">
        <v>134</v>
      </c>
      <c r="R82" s="227">
        <v>1421</v>
      </c>
      <c r="S82" s="226">
        <v>13792</v>
      </c>
      <c r="T82" s="227">
        <v>144624</v>
      </c>
      <c r="V82" s="228"/>
      <c r="X82" s="304"/>
    </row>
    <row r="83" spans="1:24" x14ac:dyDescent="0.15">
      <c r="A83" s="178"/>
      <c r="B83" s="179" t="s">
        <v>436</v>
      </c>
      <c r="C83" s="180" t="s">
        <v>363</v>
      </c>
      <c r="D83" s="289">
        <v>2</v>
      </c>
      <c r="E83" s="289">
        <v>6</v>
      </c>
      <c r="F83" s="289">
        <v>0</v>
      </c>
      <c r="G83" s="289">
        <v>8</v>
      </c>
      <c r="H83" s="289">
        <v>1</v>
      </c>
      <c r="I83" s="289">
        <v>5</v>
      </c>
      <c r="J83" s="303">
        <v>3</v>
      </c>
      <c r="K83" s="229">
        <v>12205937.5</v>
      </c>
      <c r="L83" s="230" t="s">
        <v>23</v>
      </c>
      <c r="M83" s="229" t="s">
        <v>368</v>
      </c>
      <c r="N83" s="231">
        <v>1364141.3</v>
      </c>
      <c r="O83" s="232">
        <v>4</v>
      </c>
      <c r="P83" s="233">
        <v>51</v>
      </c>
      <c r="Q83" s="232">
        <v>477</v>
      </c>
      <c r="R83" s="233">
        <v>4724</v>
      </c>
      <c r="S83" s="232">
        <v>47717</v>
      </c>
      <c r="T83" s="233">
        <v>451040</v>
      </c>
      <c r="V83" s="228"/>
      <c r="X83" s="304"/>
    </row>
    <row r="84" spans="1:24" x14ac:dyDescent="0.15">
      <c r="A84" s="172">
        <v>34</v>
      </c>
      <c r="B84" s="173" t="s">
        <v>196</v>
      </c>
      <c r="C84" s="174" t="s">
        <v>362</v>
      </c>
      <c r="D84" s="291">
        <v>6</v>
      </c>
      <c r="E84" s="291">
        <v>5</v>
      </c>
      <c r="F84" s="291">
        <v>9</v>
      </c>
      <c r="G84" s="291">
        <v>8</v>
      </c>
      <c r="H84" s="291">
        <v>0</v>
      </c>
      <c r="I84" s="291">
        <v>1</v>
      </c>
      <c r="J84" s="292">
        <v>9</v>
      </c>
      <c r="K84" s="222">
        <v>5305020</v>
      </c>
      <c r="L84" s="223" t="s">
        <v>23</v>
      </c>
      <c r="M84" s="224" t="s">
        <v>368</v>
      </c>
      <c r="N84" s="225">
        <v>1741328.2</v>
      </c>
      <c r="O84" s="226" t="s">
        <v>17</v>
      </c>
      <c r="P84" s="227">
        <v>15</v>
      </c>
      <c r="Q84" s="226">
        <v>161</v>
      </c>
      <c r="R84" s="227">
        <v>1475</v>
      </c>
      <c r="S84" s="226">
        <v>16556</v>
      </c>
      <c r="T84" s="227">
        <v>174264</v>
      </c>
      <c r="V84" s="228"/>
      <c r="X84" s="304"/>
    </row>
    <row r="85" spans="1:24" x14ac:dyDescent="0.15">
      <c r="A85" s="178"/>
      <c r="B85" s="179" t="s">
        <v>345</v>
      </c>
      <c r="C85" s="180" t="s">
        <v>363</v>
      </c>
      <c r="D85" s="289">
        <v>0</v>
      </c>
      <c r="E85" s="289">
        <v>4</v>
      </c>
      <c r="F85" s="289">
        <v>0</v>
      </c>
      <c r="G85" s="289">
        <v>2</v>
      </c>
      <c r="H85" s="289">
        <v>8</v>
      </c>
      <c r="I85" s="289">
        <v>8</v>
      </c>
      <c r="J85" s="303">
        <v>5</v>
      </c>
      <c r="K85" s="229">
        <v>12506380</v>
      </c>
      <c r="L85" s="230" t="s">
        <v>23</v>
      </c>
      <c r="M85" s="229" t="s">
        <v>368</v>
      </c>
      <c r="N85" s="231">
        <v>2630531.7999999998</v>
      </c>
      <c r="O85" s="232">
        <v>7</v>
      </c>
      <c r="P85" s="233">
        <v>39</v>
      </c>
      <c r="Q85" s="232">
        <v>458</v>
      </c>
      <c r="R85" s="233">
        <v>5053</v>
      </c>
      <c r="S85" s="232">
        <v>53593</v>
      </c>
      <c r="T85" s="233">
        <v>544786</v>
      </c>
      <c r="V85" s="228"/>
      <c r="X85" s="304"/>
    </row>
    <row r="86" spans="1:24" x14ac:dyDescent="0.15">
      <c r="A86" s="172">
        <v>35</v>
      </c>
      <c r="B86" s="173" t="s">
        <v>197</v>
      </c>
      <c r="C86" s="174" t="s">
        <v>362</v>
      </c>
      <c r="D86" s="291">
        <v>4</v>
      </c>
      <c r="E86" s="291">
        <v>2</v>
      </c>
      <c r="F86" s="291">
        <v>8</v>
      </c>
      <c r="G86" s="291">
        <v>4</v>
      </c>
      <c r="H86" s="291">
        <v>2</v>
      </c>
      <c r="I86" s="291">
        <v>3</v>
      </c>
      <c r="J86" s="292">
        <v>2</v>
      </c>
      <c r="K86" s="222">
        <v>5586632.5</v>
      </c>
      <c r="L86" s="223" t="s">
        <v>23</v>
      </c>
      <c r="M86" s="224" t="s">
        <v>368</v>
      </c>
      <c r="N86" s="225">
        <v>3027741.4</v>
      </c>
      <c r="O86" s="226">
        <v>2</v>
      </c>
      <c r="P86" s="227">
        <v>18</v>
      </c>
      <c r="Q86" s="226">
        <v>173</v>
      </c>
      <c r="R86" s="227">
        <v>1778</v>
      </c>
      <c r="S86" s="226">
        <v>18159</v>
      </c>
      <c r="T86" s="227">
        <v>181193</v>
      </c>
      <c r="V86" s="228"/>
      <c r="X86" s="304"/>
    </row>
    <row r="87" spans="1:24" x14ac:dyDescent="0.15">
      <c r="A87" s="178"/>
      <c r="B87" s="179" t="s">
        <v>346</v>
      </c>
      <c r="C87" s="180" t="s">
        <v>363</v>
      </c>
      <c r="D87" s="289">
        <v>8</v>
      </c>
      <c r="E87" s="289">
        <v>5</v>
      </c>
      <c r="F87" s="289">
        <v>5</v>
      </c>
      <c r="G87" s="289">
        <v>7</v>
      </c>
      <c r="H87" s="289">
        <v>1</v>
      </c>
      <c r="I87" s="289">
        <v>9</v>
      </c>
      <c r="J87" s="303">
        <v>9</v>
      </c>
      <c r="K87" s="229">
        <v>13051427.5</v>
      </c>
      <c r="L87" s="230">
        <v>1</v>
      </c>
      <c r="M87" s="229">
        <v>3877777</v>
      </c>
      <c r="N87" s="231">
        <v>77920.899999999994</v>
      </c>
      <c r="O87" s="232">
        <v>2</v>
      </c>
      <c r="P87" s="233">
        <v>40</v>
      </c>
      <c r="Q87" s="232">
        <v>406</v>
      </c>
      <c r="R87" s="233">
        <v>4161</v>
      </c>
      <c r="S87" s="232">
        <v>43822</v>
      </c>
      <c r="T87" s="233">
        <v>448613</v>
      </c>
      <c r="V87" s="228"/>
      <c r="X87" s="304"/>
    </row>
    <row r="88" spans="1:24" x14ac:dyDescent="0.15">
      <c r="A88" s="172">
        <v>36</v>
      </c>
      <c r="B88" s="173" t="s">
        <v>198</v>
      </c>
      <c r="C88" s="174" t="s">
        <v>362</v>
      </c>
      <c r="D88" s="291">
        <v>8</v>
      </c>
      <c r="E88" s="291">
        <v>1</v>
      </c>
      <c r="F88" s="291">
        <v>0</v>
      </c>
      <c r="G88" s="291">
        <v>7</v>
      </c>
      <c r="H88" s="291">
        <v>8</v>
      </c>
      <c r="I88" s="291">
        <v>6</v>
      </c>
      <c r="J88" s="292">
        <v>6</v>
      </c>
      <c r="K88" s="222">
        <v>6023055</v>
      </c>
      <c r="L88" s="234" t="s">
        <v>23</v>
      </c>
      <c r="M88" s="224" t="s">
        <v>368</v>
      </c>
      <c r="N88" s="225">
        <v>506160.1</v>
      </c>
      <c r="O88" s="226">
        <v>4</v>
      </c>
      <c r="P88" s="227">
        <v>19</v>
      </c>
      <c r="Q88" s="226">
        <v>235</v>
      </c>
      <c r="R88" s="227">
        <v>2318</v>
      </c>
      <c r="S88" s="226">
        <v>25936</v>
      </c>
      <c r="T88" s="227">
        <v>225285</v>
      </c>
      <c r="V88" s="228"/>
      <c r="X88" s="304"/>
    </row>
    <row r="89" spans="1:24" x14ac:dyDescent="0.15">
      <c r="A89" s="178"/>
      <c r="B89" s="179" t="s">
        <v>437</v>
      </c>
      <c r="C89" s="180" t="s">
        <v>363</v>
      </c>
      <c r="D89" s="289">
        <v>4</v>
      </c>
      <c r="E89" s="289">
        <v>3</v>
      </c>
      <c r="F89" s="289">
        <v>6</v>
      </c>
      <c r="G89" s="289">
        <v>6</v>
      </c>
      <c r="H89" s="289">
        <v>0</v>
      </c>
      <c r="I89" s="289">
        <v>5</v>
      </c>
      <c r="J89" s="303">
        <v>8</v>
      </c>
      <c r="K89" s="229">
        <v>13638555</v>
      </c>
      <c r="L89" s="237" t="s">
        <v>23</v>
      </c>
      <c r="M89" s="229" t="s">
        <v>368</v>
      </c>
      <c r="N89" s="231">
        <v>1475861.4</v>
      </c>
      <c r="O89" s="232">
        <v>12</v>
      </c>
      <c r="P89" s="233">
        <v>59</v>
      </c>
      <c r="Q89" s="232">
        <v>585</v>
      </c>
      <c r="R89" s="233">
        <v>5363</v>
      </c>
      <c r="S89" s="232">
        <v>58937</v>
      </c>
      <c r="T89" s="233">
        <v>535721</v>
      </c>
      <c r="V89" s="228"/>
      <c r="X89" s="304"/>
    </row>
    <row r="90" spans="1:24" x14ac:dyDescent="0.15">
      <c r="A90" s="172">
        <v>37</v>
      </c>
      <c r="B90" s="173" t="s">
        <v>199</v>
      </c>
      <c r="C90" s="174" t="s">
        <v>362</v>
      </c>
      <c r="D90" s="291">
        <v>8</v>
      </c>
      <c r="E90" s="291">
        <v>1</v>
      </c>
      <c r="F90" s="291">
        <v>4</v>
      </c>
      <c r="G90" s="291">
        <v>5</v>
      </c>
      <c r="H90" s="291">
        <v>6</v>
      </c>
      <c r="I90" s="291">
        <v>5</v>
      </c>
      <c r="J90" s="292">
        <v>8</v>
      </c>
      <c r="K90" s="222">
        <v>6467335</v>
      </c>
      <c r="L90" s="234" t="s">
        <v>23</v>
      </c>
      <c r="M90" s="224" t="s">
        <v>368</v>
      </c>
      <c r="N90" s="225">
        <v>1935688.9</v>
      </c>
      <c r="O90" s="226">
        <v>1</v>
      </c>
      <c r="P90" s="227">
        <v>40</v>
      </c>
      <c r="Q90" s="226">
        <v>275</v>
      </c>
      <c r="R90" s="227">
        <v>2605</v>
      </c>
      <c r="S90" s="226">
        <v>26578</v>
      </c>
      <c r="T90" s="227">
        <v>242905</v>
      </c>
      <c r="V90" s="228"/>
      <c r="X90" s="304"/>
    </row>
    <row r="91" spans="1:24" x14ac:dyDescent="0.15">
      <c r="A91" s="178"/>
      <c r="B91" s="179" t="s">
        <v>347</v>
      </c>
      <c r="C91" s="180" t="s">
        <v>363</v>
      </c>
      <c r="D91" s="289">
        <v>8</v>
      </c>
      <c r="E91" s="289">
        <v>6</v>
      </c>
      <c r="F91" s="289">
        <v>6</v>
      </c>
      <c r="G91" s="289">
        <v>0</v>
      </c>
      <c r="H91" s="289">
        <v>7</v>
      </c>
      <c r="I91" s="289">
        <v>4</v>
      </c>
      <c r="J91" s="303">
        <v>9</v>
      </c>
      <c r="K91" s="229">
        <v>14046430</v>
      </c>
      <c r="L91" s="230" t="s">
        <v>23</v>
      </c>
      <c r="M91" s="229" t="s">
        <v>368</v>
      </c>
      <c r="N91" s="231">
        <v>2934390.1</v>
      </c>
      <c r="O91" s="232">
        <v>6</v>
      </c>
      <c r="P91" s="233">
        <v>41</v>
      </c>
      <c r="Q91" s="232">
        <v>478</v>
      </c>
      <c r="R91" s="233">
        <v>5076</v>
      </c>
      <c r="S91" s="232">
        <v>49491</v>
      </c>
      <c r="T91" s="233">
        <v>485785</v>
      </c>
      <c r="V91" s="228"/>
      <c r="X91" s="304"/>
    </row>
    <row r="92" spans="1:24" x14ac:dyDescent="0.15">
      <c r="A92" s="172">
        <v>38</v>
      </c>
      <c r="B92" s="173" t="s">
        <v>200</v>
      </c>
      <c r="C92" s="174" t="s">
        <v>362</v>
      </c>
      <c r="D92" s="291">
        <v>3</v>
      </c>
      <c r="E92" s="291">
        <v>9</v>
      </c>
      <c r="F92" s="291">
        <v>5</v>
      </c>
      <c r="G92" s="291">
        <v>9</v>
      </c>
      <c r="H92" s="291">
        <v>4</v>
      </c>
      <c r="I92" s="291">
        <v>7</v>
      </c>
      <c r="J92" s="292">
        <v>6</v>
      </c>
      <c r="K92" s="222">
        <v>7416177.5</v>
      </c>
      <c r="L92" s="223">
        <v>2</v>
      </c>
      <c r="M92" s="224">
        <v>1677777</v>
      </c>
      <c r="N92" s="225">
        <v>106126.3</v>
      </c>
      <c r="O92" s="226">
        <v>3</v>
      </c>
      <c r="P92" s="226">
        <v>33</v>
      </c>
      <c r="Q92" s="227">
        <v>303</v>
      </c>
      <c r="R92" s="226">
        <v>2847</v>
      </c>
      <c r="S92" s="227">
        <v>28505</v>
      </c>
      <c r="T92" s="226">
        <v>282259</v>
      </c>
      <c r="V92" s="228"/>
      <c r="X92" s="304"/>
    </row>
    <row r="93" spans="1:24" x14ac:dyDescent="0.15">
      <c r="A93" s="178"/>
      <c r="B93" s="179" t="s">
        <v>348</v>
      </c>
      <c r="C93" s="180" t="s">
        <v>363</v>
      </c>
      <c r="D93" s="289">
        <v>6</v>
      </c>
      <c r="E93" s="289">
        <v>8</v>
      </c>
      <c r="F93" s="289">
        <v>5</v>
      </c>
      <c r="G93" s="289">
        <v>0</v>
      </c>
      <c r="H93" s="289">
        <v>5</v>
      </c>
      <c r="I93" s="289">
        <v>1</v>
      </c>
      <c r="J93" s="303">
        <v>5</v>
      </c>
      <c r="K93" s="229">
        <v>15457275</v>
      </c>
      <c r="L93" s="237">
        <v>1</v>
      </c>
      <c r="M93" s="229">
        <v>1177777</v>
      </c>
      <c r="N93" s="231">
        <v>27361.599999999999</v>
      </c>
      <c r="O93" s="232">
        <v>8</v>
      </c>
      <c r="P93" s="232">
        <v>65</v>
      </c>
      <c r="Q93" s="233">
        <v>603</v>
      </c>
      <c r="R93" s="232">
        <v>6677</v>
      </c>
      <c r="S93" s="233">
        <v>64062</v>
      </c>
      <c r="T93" s="232">
        <v>651998</v>
      </c>
      <c r="V93" s="228"/>
      <c r="X93" s="304"/>
    </row>
    <row r="94" spans="1:24" x14ac:dyDescent="0.15">
      <c r="A94" s="172">
        <v>39</v>
      </c>
      <c r="B94" s="173" t="s">
        <v>201</v>
      </c>
      <c r="C94" s="174" t="s">
        <v>362</v>
      </c>
      <c r="D94" s="291">
        <v>0</v>
      </c>
      <c r="E94" s="291">
        <v>3</v>
      </c>
      <c r="F94" s="291">
        <v>7</v>
      </c>
      <c r="G94" s="291">
        <v>3</v>
      </c>
      <c r="H94" s="291">
        <v>6</v>
      </c>
      <c r="I94" s="291">
        <v>9</v>
      </c>
      <c r="J94" s="292">
        <v>7</v>
      </c>
      <c r="K94" s="222">
        <v>9867185</v>
      </c>
      <c r="L94" s="234">
        <v>1</v>
      </c>
      <c r="M94" s="224">
        <v>677777</v>
      </c>
      <c r="N94" s="225">
        <v>51141.5</v>
      </c>
      <c r="O94" s="226">
        <v>4</v>
      </c>
      <c r="P94" s="226">
        <v>39</v>
      </c>
      <c r="Q94" s="227">
        <v>437</v>
      </c>
      <c r="R94" s="226">
        <v>3927</v>
      </c>
      <c r="S94" s="227">
        <v>38236</v>
      </c>
      <c r="T94" s="226">
        <v>419906</v>
      </c>
      <c r="V94" s="228"/>
      <c r="X94" s="304"/>
    </row>
    <row r="95" spans="1:24" x14ac:dyDescent="0.15">
      <c r="A95" s="178"/>
      <c r="B95" s="179" t="s">
        <v>349</v>
      </c>
      <c r="C95" s="180" t="s">
        <v>363</v>
      </c>
      <c r="D95" s="289">
        <v>1</v>
      </c>
      <c r="E95" s="289">
        <v>4</v>
      </c>
      <c r="F95" s="289">
        <v>8</v>
      </c>
      <c r="G95" s="289">
        <v>5</v>
      </c>
      <c r="H95" s="289">
        <v>0</v>
      </c>
      <c r="I95" s="289">
        <v>0</v>
      </c>
      <c r="J95" s="303">
        <v>9</v>
      </c>
      <c r="K95" s="229">
        <v>13213490</v>
      </c>
      <c r="L95" s="230">
        <v>1</v>
      </c>
      <c r="M95" s="229">
        <v>977777</v>
      </c>
      <c r="N95" s="231">
        <v>12843.6</v>
      </c>
      <c r="O95" s="232">
        <v>4</v>
      </c>
      <c r="P95" s="233">
        <v>39</v>
      </c>
      <c r="Q95" s="232">
        <v>385</v>
      </c>
      <c r="R95" s="233">
        <v>3547</v>
      </c>
      <c r="S95" s="232">
        <v>41360</v>
      </c>
      <c r="T95" s="233">
        <v>466513</v>
      </c>
      <c r="V95" s="228"/>
      <c r="X95" s="304"/>
    </row>
    <row r="96" spans="1:24" x14ac:dyDescent="0.15">
      <c r="A96" s="172">
        <v>40</v>
      </c>
      <c r="B96" s="173" t="s">
        <v>202</v>
      </c>
      <c r="C96" s="174" t="s">
        <v>362</v>
      </c>
      <c r="D96" s="291">
        <v>4</v>
      </c>
      <c r="E96" s="291">
        <v>6</v>
      </c>
      <c r="F96" s="291">
        <v>9</v>
      </c>
      <c r="G96" s="291">
        <v>7</v>
      </c>
      <c r="H96" s="291">
        <v>8</v>
      </c>
      <c r="I96" s="291">
        <v>9</v>
      </c>
      <c r="J96" s="292">
        <v>9</v>
      </c>
      <c r="K96" s="222">
        <v>5647305</v>
      </c>
      <c r="L96" s="234">
        <v>1</v>
      </c>
      <c r="M96" s="224">
        <v>377777</v>
      </c>
      <c r="N96" s="225">
        <v>36590</v>
      </c>
      <c r="O96" s="226">
        <v>3</v>
      </c>
      <c r="P96" s="226">
        <v>18</v>
      </c>
      <c r="Q96" s="227">
        <v>207</v>
      </c>
      <c r="R96" s="226">
        <v>1924</v>
      </c>
      <c r="S96" s="227">
        <v>19587</v>
      </c>
      <c r="T96" s="226">
        <v>190090</v>
      </c>
      <c r="V96" s="228"/>
      <c r="X96" s="304"/>
    </row>
    <row r="97" spans="1:24" x14ac:dyDescent="0.15">
      <c r="A97" s="178"/>
      <c r="B97" s="179" t="s">
        <v>350</v>
      </c>
      <c r="C97" s="180" t="s">
        <v>363</v>
      </c>
      <c r="D97" s="289">
        <v>6</v>
      </c>
      <c r="E97" s="289">
        <v>7</v>
      </c>
      <c r="F97" s="289">
        <v>7</v>
      </c>
      <c r="G97" s="289">
        <v>8</v>
      </c>
      <c r="H97" s="289">
        <v>4</v>
      </c>
      <c r="I97" s="289">
        <v>2</v>
      </c>
      <c r="J97" s="303">
        <v>5</v>
      </c>
      <c r="K97" s="229">
        <v>12333545</v>
      </c>
      <c r="L97" s="237" t="s">
        <v>23</v>
      </c>
      <c r="M97" s="229" t="s">
        <v>368</v>
      </c>
      <c r="N97" s="231">
        <v>913505</v>
      </c>
      <c r="O97" s="232">
        <v>6</v>
      </c>
      <c r="P97" s="233">
        <v>62</v>
      </c>
      <c r="Q97" s="232">
        <v>586</v>
      </c>
      <c r="R97" s="233">
        <v>5714</v>
      </c>
      <c r="S97" s="232">
        <v>54329</v>
      </c>
      <c r="T97" s="233">
        <v>535257</v>
      </c>
      <c r="V97" s="228"/>
      <c r="X97" s="304"/>
    </row>
    <row r="98" spans="1:24" x14ac:dyDescent="0.15">
      <c r="A98" s="172">
        <v>41</v>
      </c>
      <c r="B98" s="173" t="s">
        <v>203</v>
      </c>
      <c r="C98" s="174" t="s">
        <v>362</v>
      </c>
      <c r="D98" s="291">
        <v>2</v>
      </c>
      <c r="E98" s="291">
        <v>5</v>
      </c>
      <c r="F98" s="291">
        <v>2</v>
      </c>
      <c r="G98" s="291">
        <v>9</v>
      </c>
      <c r="H98" s="291">
        <v>5</v>
      </c>
      <c r="I98" s="291">
        <v>2</v>
      </c>
      <c r="J98" s="292">
        <v>7</v>
      </c>
      <c r="K98" s="222">
        <v>5317092.5</v>
      </c>
      <c r="L98" s="223" t="s">
        <v>23</v>
      </c>
      <c r="M98" s="224" t="s">
        <v>368</v>
      </c>
      <c r="N98" s="225">
        <v>1291550.3</v>
      </c>
      <c r="O98" s="226" t="s">
        <v>17</v>
      </c>
      <c r="P98" s="227">
        <v>23</v>
      </c>
      <c r="Q98" s="226">
        <v>254</v>
      </c>
      <c r="R98" s="227">
        <v>2421</v>
      </c>
      <c r="S98" s="226">
        <v>23069</v>
      </c>
      <c r="T98" s="227">
        <v>235314</v>
      </c>
      <c r="V98" s="228"/>
      <c r="X98" s="304"/>
    </row>
    <row r="99" spans="1:24" x14ac:dyDescent="0.15">
      <c r="A99" s="178"/>
      <c r="B99" s="179" t="s">
        <v>351</v>
      </c>
      <c r="C99" s="180" t="s">
        <v>363</v>
      </c>
      <c r="D99" s="289">
        <v>2</v>
      </c>
      <c r="E99" s="289">
        <v>6</v>
      </c>
      <c r="F99" s="289">
        <v>4</v>
      </c>
      <c r="G99" s="289">
        <v>3</v>
      </c>
      <c r="H99" s="289">
        <v>8</v>
      </c>
      <c r="I99" s="289">
        <v>7</v>
      </c>
      <c r="J99" s="303">
        <v>9</v>
      </c>
      <c r="K99" s="229">
        <v>12786825</v>
      </c>
      <c r="L99" s="230" t="s">
        <v>23</v>
      </c>
      <c r="M99" s="229" t="s">
        <v>368</v>
      </c>
      <c r="N99" s="231">
        <v>2200693.6</v>
      </c>
      <c r="O99" s="232">
        <v>2</v>
      </c>
      <c r="P99" s="233">
        <v>49</v>
      </c>
      <c r="Q99" s="232">
        <v>435</v>
      </c>
      <c r="R99" s="233">
        <v>4674</v>
      </c>
      <c r="S99" s="232">
        <v>45932</v>
      </c>
      <c r="T99" s="233">
        <v>447368</v>
      </c>
      <c r="V99" s="228"/>
      <c r="X99" s="304"/>
    </row>
    <row r="100" spans="1:24" x14ac:dyDescent="0.15">
      <c r="A100" s="172">
        <v>42</v>
      </c>
      <c r="B100" s="173" t="s">
        <v>204</v>
      </c>
      <c r="C100" s="174" t="s">
        <v>362</v>
      </c>
      <c r="D100" s="291">
        <v>7</v>
      </c>
      <c r="E100" s="291">
        <v>0</v>
      </c>
      <c r="F100" s="291">
        <v>8</v>
      </c>
      <c r="G100" s="291">
        <v>3</v>
      </c>
      <c r="H100" s="291">
        <v>4</v>
      </c>
      <c r="I100" s="291">
        <v>2</v>
      </c>
      <c r="J100" s="292">
        <v>3</v>
      </c>
      <c r="K100" s="222">
        <v>5524435</v>
      </c>
      <c r="L100" s="234" t="s">
        <v>23</v>
      </c>
      <c r="M100" s="224" t="s">
        <v>368</v>
      </c>
      <c r="N100" s="225">
        <v>2593480.9</v>
      </c>
      <c r="O100" s="226">
        <v>2</v>
      </c>
      <c r="P100" s="227">
        <v>17</v>
      </c>
      <c r="Q100" s="226">
        <v>211</v>
      </c>
      <c r="R100" s="227">
        <v>2144</v>
      </c>
      <c r="S100" s="226">
        <v>20820</v>
      </c>
      <c r="T100" s="227">
        <v>217164</v>
      </c>
      <c r="V100" s="228"/>
      <c r="X100" s="304"/>
    </row>
    <row r="101" spans="1:24" x14ac:dyDescent="0.15">
      <c r="A101" s="178"/>
      <c r="B101" s="179" t="s">
        <v>352</v>
      </c>
      <c r="C101" s="180" t="s">
        <v>363</v>
      </c>
      <c r="D101" s="289">
        <v>0</v>
      </c>
      <c r="E101" s="289">
        <v>2</v>
      </c>
      <c r="F101" s="289">
        <v>9</v>
      </c>
      <c r="G101" s="289">
        <v>0</v>
      </c>
      <c r="H101" s="289">
        <v>6</v>
      </c>
      <c r="I101" s="289">
        <v>6</v>
      </c>
      <c r="J101" s="303">
        <v>2</v>
      </c>
      <c r="K101" s="229">
        <v>12868307.5</v>
      </c>
      <c r="L101" s="237">
        <v>2</v>
      </c>
      <c r="M101" s="229">
        <v>1677777</v>
      </c>
      <c r="N101" s="231">
        <v>152863.6</v>
      </c>
      <c r="O101" s="232">
        <v>3</v>
      </c>
      <c r="P101" s="233">
        <v>45</v>
      </c>
      <c r="Q101" s="232">
        <v>386</v>
      </c>
      <c r="R101" s="233">
        <v>4062</v>
      </c>
      <c r="S101" s="232">
        <v>43172</v>
      </c>
      <c r="T101" s="233">
        <v>418084</v>
      </c>
      <c r="U101" s="228"/>
      <c r="V101" s="228"/>
      <c r="X101" s="304"/>
    </row>
    <row r="102" spans="1:24" x14ac:dyDescent="0.15">
      <c r="A102" s="172">
        <v>43</v>
      </c>
      <c r="B102" s="173" t="s">
        <v>205</v>
      </c>
      <c r="C102" s="174" t="s">
        <v>362</v>
      </c>
      <c r="D102" s="291">
        <v>6</v>
      </c>
      <c r="E102" s="291">
        <v>1</v>
      </c>
      <c r="F102" s="291">
        <v>9</v>
      </c>
      <c r="G102" s="291">
        <v>5</v>
      </c>
      <c r="H102" s="291">
        <v>0</v>
      </c>
      <c r="I102" s="291">
        <v>6</v>
      </c>
      <c r="J102" s="292">
        <v>7</v>
      </c>
      <c r="K102" s="222">
        <v>5725610</v>
      </c>
      <c r="L102" s="223" t="s">
        <v>23</v>
      </c>
      <c r="M102" s="224" t="s">
        <v>368</v>
      </c>
      <c r="N102" s="225">
        <v>559954.5</v>
      </c>
      <c r="O102" s="226">
        <v>1</v>
      </c>
      <c r="P102" s="227">
        <v>34</v>
      </c>
      <c r="Q102" s="226">
        <v>244</v>
      </c>
      <c r="R102" s="227">
        <v>2226</v>
      </c>
      <c r="S102" s="226">
        <v>24950</v>
      </c>
      <c r="T102" s="227">
        <v>251890</v>
      </c>
      <c r="V102" s="228"/>
      <c r="X102" s="304"/>
    </row>
    <row r="103" spans="1:24" x14ac:dyDescent="0.15">
      <c r="A103" s="178"/>
      <c r="B103" s="287" t="s">
        <v>353</v>
      </c>
      <c r="C103" s="180" t="s">
        <v>363</v>
      </c>
      <c r="D103" s="289">
        <v>7</v>
      </c>
      <c r="E103" s="289">
        <v>6</v>
      </c>
      <c r="F103" s="289">
        <v>0</v>
      </c>
      <c r="G103" s="289">
        <v>5</v>
      </c>
      <c r="H103" s="289">
        <v>3</v>
      </c>
      <c r="I103" s="289">
        <v>6</v>
      </c>
      <c r="J103" s="303">
        <v>0</v>
      </c>
      <c r="K103" s="229">
        <v>13154092.5</v>
      </c>
      <c r="L103" s="237">
        <v>1</v>
      </c>
      <c r="M103" s="229">
        <v>1477777</v>
      </c>
      <c r="N103" s="231">
        <v>17433.5</v>
      </c>
      <c r="O103" s="232">
        <v>2</v>
      </c>
      <c r="P103" s="233">
        <v>34</v>
      </c>
      <c r="Q103" s="232">
        <v>349</v>
      </c>
      <c r="R103" s="233">
        <v>3488</v>
      </c>
      <c r="S103" s="232">
        <v>35476</v>
      </c>
      <c r="T103" s="233">
        <v>352497</v>
      </c>
      <c r="V103" s="228"/>
      <c r="X103" s="304"/>
    </row>
    <row r="104" spans="1:24" x14ac:dyDescent="0.15">
      <c r="A104" s="172">
        <v>44</v>
      </c>
      <c r="B104" s="173" t="s">
        <v>206</v>
      </c>
      <c r="C104" s="174" t="s">
        <v>362</v>
      </c>
      <c r="D104" s="291">
        <v>9</v>
      </c>
      <c r="E104" s="291">
        <v>7</v>
      </c>
      <c r="F104" s="291">
        <v>3</v>
      </c>
      <c r="G104" s="291">
        <v>4</v>
      </c>
      <c r="H104" s="291">
        <v>6</v>
      </c>
      <c r="I104" s="291">
        <v>3</v>
      </c>
      <c r="J104" s="292">
        <v>3</v>
      </c>
      <c r="K104" s="222">
        <v>6049155</v>
      </c>
      <c r="L104" s="234" t="s">
        <v>23</v>
      </c>
      <c r="M104" s="224" t="s">
        <v>368</v>
      </c>
      <c r="N104" s="225">
        <v>447528.4</v>
      </c>
      <c r="O104" s="226">
        <v>3</v>
      </c>
      <c r="P104" s="227">
        <v>29</v>
      </c>
      <c r="Q104" s="226">
        <v>232</v>
      </c>
      <c r="R104" s="227">
        <v>2300</v>
      </c>
      <c r="S104" s="226">
        <v>24251</v>
      </c>
      <c r="T104" s="227">
        <v>236223</v>
      </c>
      <c r="V104" s="228"/>
      <c r="X104" s="304"/>
    </row>
    <row r="105" spans="1:24" x14ac:dyDescent="0.15">
      <c r="A105" s="178"/>
      <c r="B105" s="179" t="s">
        <v>354</v>
      </c>
      <c r="C105" s="180" t="s">
        <v>363</v>
      </c>
      <c r="D105" s="289">
        <v>9</v>
      </c>
      <c r="E105" s="289">
        <v>4</v>
      </c>
      <c r="F105" s="289">
        <v>4</v>
      </c>
      <c r="G105" s="289">
        <v>8</v>
      </c>
      <c r="H105" s="289">
        <v>7</v>
      </c>
      <c r="I105" s="289">
        <v>4</v>
      </c>
      <c r="J105" s="303">
        <v>2</v>
      </c>
      <c r="K105" s="229">
        <v>12791420</v>
      </c>
      <c r="L105" s="237" t="s">
        <v>23</v>
      </c>
      <c r="M105" s="229" t="s">
        <v>368</v>
      </c>
      <c r="N105" s="231">
        <v>1356998.4</v>
      </c>
      <c r="O105" s="232">
        <v>1</v>
      </c>
      <c r="P105" s="232">
        <v>43</v>
      </c>
      <c r="Q105" s="233">
        <v>450</v>
      </c>
      <c r="R105" s="232">
        <v>4394</v>
      </c>
      <c r="S105" s="233">
        <v>42473</v>
      </c>
      <c r="T105" s="232">
        <v>420537</v>
      </c>
      <c r="V105" s="228"/>
      <c r="X105" s="304"/>
    </row>
    <row r="106" spans="1:24" x14ac:dyDescent="0.15">
      <c r="A106" s="172">
        <v>45</v>
      </c>
      <c r="B106" s="173" t="s">
        <v>207</v>
      </c>
      <c r="C106" s="174" t="s">
        <v>362</v>
      </c>
      <c r="D106" s="291">
        <v>2</v>
      </c>
      <c r="E106" s="291">
        <v>3</v>
      </c>
      <c r="F106" s="291">
        <v>3</v>
      </c>
      <c r="G106" s="291">
        <v>7</v>
      </c>
      <c r="H106" s="291">
        <v>3</v>
      </c>
      <c r="I106" s="291">
        <v>4</v>
      </c>
      <c r="J106" s="292">
        <v>5</v>
      </c>
      <c r="K106" s="222">
        <v>5312227.5</v>
      </c>
      <c r="L106" s="223" t="s">
        <v>23</v>
      </c>
      <c r="M106" s="224" t="s">
        <v>368</v>
      </c>
      <c r="N106" s="225">
        <v>1734697.8</v>
      </c>
      <c r="O106" s="226">
        <v>4</v>
      </c>
      <c r="P106" s="227">
        <v>20</v>
      </c>
      <c r="Q106" s="226">
        <v>235</v>
      </c>
      <c r="R106" s="227">
        <v>2360</v>
      </c>
      <c r="S106" s="226">
        <v>23391</v>
      </c>
      <c r="T106" s="227">
        <v>224283</v>
      </c>
      <c r="V106" s="228"/>
      <c r="X106" s="304"/>
    </row>
    <row r="107" spans="1:24" x14ac:dyDescent="0.15">
      <c r="A107" s="178"/>
      <c r="B107" s="179" t="s">
        <v>355</v>
      </c>
      <c r="C107" s="180" t="s">
        <v>363</v>
      </c>
      <c r="D107" s="289">
        <v>4</v>
      </c>
      <c r="E107" s="289">
        <v>8</v>
      </c>
      <c r="F107" s="289">
        <v>7</v>
      </c>
      <c r="G107" s="289">
        <v>8</v>
      </c>
      <c r="H107" s="289">
        <v>5</v>
      </c>
      <c r="I107" s="289">
        <v>8</v>
      </c>
      <c r="J107" s="303">
        <v>3</v>
      </c>
      <c r="K107" s="229">
        <v>12748890</v>
      </c>
      <c r="L107" s="237" t="s">
        <v>23</v>
      </c>
      <c r="M107" s="229" t="s">
        <v>368</v>
      </c>
      <c r="N107" s="231">
        <v>2641143.9</v>
      </c>
      <c r="O107" s="232">
        <v>6</v>
      </c>
      <c r="P107" s="233">
        <v>48</v>
      </c>
      <c r="Q107" s="232">
        <v>477</v>
      </c>
      <c r="R107" s="233">
        <v>4920</v>
      </c>
      <c r="S107" s="232">
        <v>48080</v>
      </c>
      <c r="T107" s="233">
        <v>478481</v>
      </c>
      <c r="V107" s="228"/>
      <c r="X107" s="304"/>
    </row>
    <row r="108" spans="1:24" x14ac:dyDescent="0.15">
      <c r="A108" s="172">
        <v>46</v>
      </c>
      <c r="B108" s="173" t="s">
        <v>208</v>
      </c>
      <c r="C108" s="174" t="s">
        <v>362</v>
      </c>
      <c r="D108" s="291">
        <v>9</v>
      </c>
      <c r="E108" s="291">
        <v>9</v>
      </c>
      <c r="F108" s="291">
        <v>6</v>
      </c>
      <c r="G108" s="291">
        <v>5</v>
      </c>
      <c r="H108" s="291">
        <v>5</v>
      </c>
      <c r="I108" s="291">
        <v>3</v>
      </c>
      <c r="J108" s="292">
        <v>6</v>
      </c>
      <c r="K108" s="222">
        <v>5296017.5</v>
      </c>
      <c r="L108" s="234" t="s">
        <v>23</v>
      </c>
      <c r="M108" s="224" t="s">
        <v>368</v>
      </c>
      <c r="N108" s="225">
        <v>3017690.7</v>
      </c>
      <c r="O108" s="226">
        <v>3</v>
      </c>
      <c r="P108" s="227">
        <v>20</v>
      </c>
      <c r="Q108" s="226">
        <v>216</v>
      </c>
      <c r="R108" s="227">
        <v>2093</v>
      </c>
      <c r="S108" s="226">
        <v>19561</v>
      </c>
      <c r="T108" s="227">
        <v>196663</v>
      </c>
      <c r="V108" s="228"/>
      <c r="X108" s="304"/>
    </row>
    <row r="109" spans="1:24" x14ac:dyDescent="0.15">
      <c r="A109" s="178"/>
      <c r="B109" s="179" t="s">
        <v>356</v>
      </c>
      <c r="C109" s="180" t="s">
        <v>363</v>
      </c>
      <c r="D109" s="289">
        <v>6</v>
      </c>
      <c r="E109" s="289">
        <v>4</v>
      </c>
      <c r="F109" s="289">
        <v>2</v>
      </c>
      <c r="G109" s="289">
        <v>0</v>
      </c>
      <c r="H109" s="289">
        <v>8</v>
      </c>
      <c r="I109" s="289">
        <v>2</v>
      </c>
      <c r="J109" s="303">
        <v>9</v>
      </c>
      <c r="K109" s="229">
        <v>13018057.5</v>
      </c>
      <c r="L109" s="237">
        <v>1</v>
      </c>
      <c r="M109" s="229">
        <v>3877777</v>
      </c>
      <c r="N109" s="231">
        <v>65497.599999999999</v>
      </c>
      <c r="O109" s="232">
        <v>8</v>
      </c>
      <c r="P109" s="233">
        <v>52</v>
      </c>
      <c r="Q109" s="232">
        <v>467</v>
      </c>
      <c r="R109" s="233">
        <v>4484</v>
      </c>
      <c r="S109" s="232">
        <v>45585</v>
      </c>
      <c r="T109" s="233">
        <v>458021</v>
      </c>
      <c r="V109" s="228"/>
      <c r="X109" s="304"/>
    </row>
    <row r="110" spans="1:24" x14ac:dyDescent="0.15">
      <c r="A110" s="172">
        <v>47</v>
      </c>
      <c r="B110" s="173" t="s">
        <v>209</v>
      </c>
      <c r="C110" s="174" t="s">
        <v>362</v>
      </c>
      <c r="D110" s="291">
        <v>0</v>
      </c>
      <c r="E110" s="291">
        <v>5</v>
      </c>
      <c r="F110" s="291">
        <v>8</v>
      </c>
      <c r="G110" s="291">
        <v>6</v>
      </c>
      <c r="H110" s="291">
        <v>6</v>
      </c>
      <c r="I110" s="291">
        <v>6</v>
      </c>
      <c r="J110" s="292">
        <v>1</v>
      </c>
      <c r="K110" s="222">
        <v>5453840</v>
      </c>
      <c r="L110" s="234" t="s">
        <v>23</v>
      </c>
      <c r="M110" s="224" t="s">
        <v>368</v>
      </c>
      <c r="N110" s="225">
        <v>453265.6</v>
      </c>
      <c r="O110" s="226">
        <v>1</v>
      </c>
      <c r="P110" s="227">
        <v>7</v>
      </c>
      <c r="Q110" s="226">
        <v>172</v>
      </c>
      <c r="R110" s="227">
        <v>1653</v>
      </c>
      <c r="S110" s="226">
        <v>17126</v>
      </c>
      <c r="T110" s="227">
        <v>164136</v>
      </c>
      <c r="V110" s="228"/>
      <c r="X110" s="304"/>
    </row>
    <row r="111" spans="1:24" x14ac:dyDescent="0.15">
      <c r="A111" s="178"/>
      <c r="B111" s="179" t="s">
        <v>357</v>
      </c>
      <c r="C111" s="180" t="s">
        <v>363</v>
      </c>
      <c r="D111" s="289">
        <v>2</v>
      </c>
      <c r="E111" s="289">
        <v>1</v>
      </c>
      <c r="F111" s="289">
        <v>8</v>
      </c>
      <c r="G111" s="289">
        <v>4</v>
      </c>
      <c r="H111" s="289">
        <v>9</v>
      </c>
      <c r="I111" s="289">
        <v>7</v>
      </c>
      <c r="J111" s="303">
        <v>6</v>
      </c>
      <c r="K111" s="229">
        <v>12862127.5</v>
      </c>
      <c r="L111" s="230" t="s">
        <v>23</v>
      </c>
      <c r="M111" s="229" t="s">
        <v>368</v>
      </c>
      <c r="N111" s="231">
        <v>1367762.9</v>
      </c>
      <c r="O111" s="232">
        <v>4</v>
      </c>
      <c r="P111" s="233">
        <v>46</v>
      </c>
      <c r="Q111" s="232">
        <v>473</v>
      </c>
      <c r="R111" s="233">
        <v>4822</v>
      </c>
      <c r="S111" s="232">
        <v>47063</v>
      </c>
      <c r="T111" s="233">
        <v>472664</v>
      </c>
      <c r="V111" s="228"/>
      <c r="X111" s="304"/>
    </row>
    <row r="112" spans="1:24" x14ac:dyDescent="0.15">
      <c r="A112" s="172">
        <v>48</v>
      </c>
      <c r="B112" s="173" t="s">
        <v>210</v>
      </c>
      <c r="C112" s="174" t="s">
        <v>362</v>
      </c>
      <c r="D112" s="291">
        <v>4</v>
      </c>
      <c r="E112" s="291">
        <v>5</v>
      </c>
      <c r="F112" s="291">
        <v>5</v>
      </c>
      <c r="G112" s="291">
        <v>4</v>
      </c>
      <c r="H112" s="291">
        <v>3</v>
      </c>
      <c r="I112" s="291">
        <v>4</v>
      </c>
      <c r="J112" s="292">
        <v>5</v>
      </c>
      <c r="K112" s="222">
        <v>5688325</v>
      </c>
      <c r="L112" s="234" t="s">
        <v>23</v>
      </c>
      <c r="M112" s="224" t="s">
        <v>368</v>
      </c>
      <c r="N112" s="225">
        <v>1772202.8</v>
      </c>
      <c r="O112" s="226">
        <v>6</v>
      </c>
      <c r="P112" s="227">
        <v>22</v>
      </c>
      <c r="Q112" s="226">
        <v>273</v>
      </c>
      <c r="R112" s="227">
        <v>2605</v>
      </c>
      <c r="S112" s="226">
        <v>25206</v>
      </c>
      <c r="T112" s="227">
        <v>240470</v>
      </c>
      <c r="V112" s="228"/>
      <c r="X112" s="304"/>
    </row>
    <row r="113" spans="1:24" x14ac:dyDescent="0.15">
      <c r="A113" s="178"/>
      <c r="B113" s="179" t="s">
        <v>358</v>
      </c>
      <c r="C113" s="180" t="s">
        <v>363</v>
      </c>
      <c r="D113" s="289">
        <v>7</v>
      </c>
      <c r="E113" s="289">
        <v>0</v>
      </c>
      <c r="F113" s="289">
        <v>7</v>
      </c>
      <c r="G113" s="289">
        <v>6</v>
      </c>
      <c r="H113" s="289">
        <v>0</v>
      </c>
      <c r="I113" s="289">
        <v>8</v>
      </c>
      <c r="J113" s="303">
        <v>2</v>
      </c>
      <c r="K113" s="229">
        <v>13341020</v>
      </c>
      <c r="L113" s="230">
        <v>1</v>
      </c>
      <c r="M113" s="229">
        <v>2677777</v>
      </c>
      <c r="N113" s="231">
        <v>42972.3</v>
      </c>
      <c r="O113" s="232">
        <v>6</v>
      </c>
      <c r="P113" s="233">
        <v>32</v>
      </c>
      <c r="Q113" s="232">
        <v>443</v>
      </c>
      <c r="R113" s="233">
        <v>4158</v>
      </c>
      <c r="S113" s="232">
        <v>43839</v>
      </c>
      <c r="T113" s="233">
        <v>443361</v>
      </c>
      <c r="V113" s="228"/>
      <c r="X113" s="304"/>
    </row>
    <row r="114" spans="1:24" x14ac:dyDescent="0.15">
      <c r="A114" s="172">
        <v>49</v>
      </c>
      <c r="B114" s="173" t="s">
        <v>211</v>
      </c>
      <c r="C114" s="174" t="s">
        <v>362</v>
      </c>
      <c r="D114" s="291">
        <v>1</v>
      </c>
      <c r="E114" s="291">
        <v>1</v>
      </c>
      <c r="F114" s="291">
        <v>1</v>
      </c>
      <c r="G114" s="291">
        <v>3</v>
      </c>
      <c r="H114" s="291">
        <v>3</v>
      </c>
      <c r="I114" s="291">
        <v>8</v>
      </c>
      <c r="J114" s="292">
        <v>0</v>
      </c>
      <c r="K114" s="222">
        <v>6926287.5</v>
      </c>
      <c r="L114" s="234" t="s">
        <v>23</v>
      </c>
      <c r="M114" s="224" t="s">
        <v>368</v>
      </c>
      <c r="N114" s="225">
        <v>535431.30000000005</v>
      </c>
      <c r="O114" s="226" t="s">
        <v>17</v>
      </c>
      <c r="P114" s="227">
        <v>21</v>
      </c>
      <c r="Q114" s="226">
        <v>169</v>
      </c>
      <c r="R114" s="227">
        <v>1809</v>
      </c>
      <c r="S114" s="226">
        <v>19019</v>
      </c>
      <c r="T114" s="227">
        <v>193240</v>
      </c>
      <c r="V114" s="228"/>
      <c r="X114" s="304"/>
    </row>
    <row r="115" spans="1:24" x14ac:dyDescent="0.15">
      <c r="A115" s="178"/>
      <c r="B115" s="179" t="s">
        <v>438</v>
      </c>
      <c r="C115" s="180" t="s">
        <v>363</v>
      </c>
      <c r="D115" s="289">
        <v>2</v>
      </c>
      <c r="E115" s="289">
        <v>8</v>
      </c>
      <c r="F115" s="289">
        <v>6</v>
      </c>
      <c r="G115" s="289">
        <v>4</v>
      </c>
      <c r="H115" s="289">
        <v>8</v>
      </c>
      <c r="I115" s="289">
        <v>3</v>
      </c>
      <c r="J115" s="303">
        <v>2</v>
      </c>
      <c r="K115" s="229">
        <v>15529310</v>
      </c>
      <c r="L115" s="230" t="s">
        <v>23</v>
      </c>
      <c r="M115" s="229" t="s">
        <v>368</v>
      </c>
      <c r="N115" s="231">
        <v>1639565.2</v>
      </c>
      <c r="O115" s="232">
        <v>8</v>
      </c>
      <c r="P115" s="233">
        <v>65</v>
      </c>
      <c r="Q115" s="232">
        <v>539</v>
      </c>
      <c r="R115" s="233">
        <v>5262</v>
      </c>
      <c r="S115" s="232">
        <v>52861</v>
      </c>
      <c r="T115" s="233">
        <v>522877</v>
      </c>
      <c r="V115" s="228"/>
      <c r="X115" s="304"/>
    </row>
    <row r="116" spans="1:24" x14ac:dyDescent="0.15">
      <c r="A116" s="172">
        <v>50</v>
      </c>
      <c r="B116" s="173" t="s">
        <v>212</v>
      </c>
      <c r="C116" s="174" t="s">
        <v>362</v>
      </c>
      <c r="D116" s="291">
        <v>4</v>
      </c>
      <c r="E116" s="291">
        <v>2</v>
      </c>
      <c r="F116" s="291">
        <v>7</v>
      </c>
      <c r="G116" s="291">
        <v>6</v>
      </c>
      <c r="H116" s="291">
        <v>2</v>
      </c>
      <c r="I116" s="291">
        <v>7</v>
      </c>
      <c r="J116" s="292">
        <v>2</v>
      </c>
      <c r="K116" s="222">
        <v>5640775</v>
      </c>
      <c r="L116" s="234" t="s">
        <v>23</v>
      </c>
      <c r="M116" s="224" t="s">
        <v>368</v>
      </c>
      <c r="N116" s="225">
        <v>2040624.3</v>
      </c>
      <c r="O116" s="226">
        <v>1</v>
      </c>
      <c r="P116" s="227">
        <v>24</v>
      </c>
      <c r="Q116" s="226">
        <v>188</v>
      </c>
      <c r="R116" s="227">
        <v>1881</v>
      </c>
      <c r="S116" s="226">
        <v>19483</v>
      </c>
      <c r="T116" s="227">
        <v>191827</v>
      </c>
      <c r="V116" s="228"/>
      <c r="X116" s="304"/>
    </row>
    <row r="117" spans="1:24" x14ac:dyDescent="0.15">
      <c r="A117" s="178"/>
      <c r="B117" s="179" t="s">
        <v>439</v>
      </c>
      <c r="C117" s="180" t="s">
        <v>363</v>
      </c>
      <c r="D117" s="289">
        <v>9</v>
      </c>
      <c r="E117" s="289">
        <v>1</v>
      </c>
      <c r="F117" s="289">
        <v>5</v>
      </c>
      <c r="G117" s="289">
        <v>3</v>
      </c>
      <c r="H117" s="289">
        <v>7</v>
      </c>
      <c r="I117" s="289">
        <v>2</v>
      </c>
      <c r="J117" s="303">
        <v>9</v>
      </c>
      <c r="K117" s="229">
        <v>13071227.5</v>
      </c>
      <c r="L117" s="230" t="s">
        <v>23</v>
      </c>
      <c r="M117" s="229" t="s">
        <v>368</v>
      </c>
      <c r="N117" s="231">
        <v>2969988.6</v>
      </c>
      <c r="O117" s="232" t="s">
        <v>17</v>
      </c>
      <c r="P117" s="233">
        <v>45</v>
      </c>
      <c r="Q117" s="232">
        <v>424</v>
      </c>
      <c r="R117" s="233">
        <v>4792</v>
      </c>
      <c r="S117" s="232">
        <v>45826</v>
      </c>
      <c r="T117" s="233">
        <v>460126</v>
      </c>
      <c r="V117" s="228"/>
      <c r="X117" s="304"/>
    </row>
    <row r="118" spans="1:24" x14ac:dyDescent="0.15">
      <c r="A118" s="172">
        <v>51</v>
      </c>
      <c r="B118" s="173" t="s">
        <v>213</v>
      </c>
      <c r="C118" s="174" t="s">
        <v>362</v>
      </c>
      <c r="D118" s="291">
        <v>7</v>
      </c>
      <c r="E118" s="291">
        <v>7</v>
      </c>
      <c r="F118" s="291">
        <v>8</v>
      </c>
      <c r="G118" s="291">
        <v>3</v>
      </c>
      <c r="H118" s="291">
        <v>3</v>
      </c>
      <c r="I118" s="291">
        <v>9</v>
      </c>
      <c r="J118" s="292">
        <v>7</v>
      </c>
      <c r="K118" s="222">
        <v>5783170</v>
      </c>
      <c r="L118" s="234" t="s">
        <v>23</v>
      </c>
      <c r="M118" s="224" t="s">
        <v>368</v>
      </c>
      <c r="N118" s="225">
        <v>3381172</v>
      </c>
      <c r="O118" s="226">
        <v>2</v>
      </c>
      <c r="P118" s="227">
        <v>24</v>
      </c>
      <c r="Q118" s="226">
        <v>226</v>
      </c>
      <c r="R118" s="227">
        <v>2308</v>
      </c>
      <c r="S118" s="226">
        <v>22964</v>
      </c>
      <c r="T118" s="227">
        <v>253861</v>
      </c>
      <c r="V118" s="228"/>
      <c r="X118" s="304"/>
    </row>
    <row r="119" spans="1:24" x14ac:dyDescent="0.15">
      <c r="A119" s="178"/>
      <c r="B119" s="179" t="s">
        <v>440</v>
      </c>
      <c r="C119" s="180" t="s">
        <v>363</v>
      </c>
      <c r="D119" s="289">
        <v>3</v>
      </c>
      <c r="E119" s="289">
        <v>3</v>
      </c>
      <c r="F119" s="289">
        <v>2</v>
      </c>
      <c r="G119" s="289">
        <v>8</v>
      </c>
      <c r="H119" s="289">
        <v>9</v>
      </c>
      <c r="I119" s="289">
        <v>3</v>
      </c>
      <c r="J119" s="303">
        <v>9</v>
      </c>
      <c r="K119" s="229">
        <v>13238367.5</v>
      </c>
      <c r="L119" s="230" t="s">
        <v>23</v>
      </c>
      <c r="M119" s="229" t="s">
        <v>368</v>
      </c>
      <c r="N119" s="231">
        <v>4322419.9000000004</v>
      </c>
      <c r="O119" s="232">
        <v>7</v>
      </c>
      <c r="P119" s="233">
        <v>59</v>
      </c>
      <c r="Q119" s="232">
        <v>489</v>
      </c>
      <c r="R119" s="233">
        <v>4719</v>
      </c>
      <c r="S119" s="232">
        <v>46545</v>
      </c>
      <c r="T119" s="233">
        <v>469775</v>
      </c>
      <c r="V119" s="228"/>
      <c r="X119" s="304"/>
    </row>
    <row r="120" spans="1:24" x14ac:dyDescent="0.15">
      <c r="A120" s="172">
        <v>52</v>
      </c>
      <c r="B120" s="173">
        <v>42361</v>
      </c>
      <c r="C120" s="174" t="s">
        <v>362</v>
      </c>
      <c r="D120" s="291">
        <v>5</v>
      </c>
      <c r="E120" s="291">
        <v>2</v>
      </c>
      <c r="F120" s="291">
        <v>5</v>
      </c>
      <c r="G120" s="291">
        <v>5</v>
      </c>
      <c r="H120" s="291">
        <v>3</v>
      </c>
      <c r="I120" s="291">
        <v>4</v>
      </c>
      <c r="J120" s="292">
        <v>5</v>
      </c>
      <c r="K120" s="222">
        <v>6257310</v>
      </c>
      <c r="L120" s="223" t="s">
        <v>23</v>
      </c>
      <c r="M120" s="224" t="s">
        <v>368</v>
      </c>
      <c r="N120" s="225">
        <v>4767314.5999999996</v>
      </c>
      <c r="O120" s="226">
        <v>3</v>
      </c>
      <c r="P120" s="227">
        <v>26</v>
      </c>
      <c r="Q120" s="226">
        <v>288</v>
      </c>
      <c r="R120" s="227">
        <v>2910</v>
      </c>
      <c r="S120" s="226">
        <v>27644</v>
      </c>
      <c r="T120" s="227">
        <v>262430</v>
      </c>
      <c r="V120" s="228"/>
      <c r="X120" s="304"/>
    </row>
    <row r="121" spans="1:24" x14ac:dyDescent="0.15">
      <c r="A121" s="178"/>
      <c r="B121" s="179" t="s">
        <v>441</v>
      </c>
      <c r="C121" s="180" t="s">
        <v>363</v>
      </c>
      <c r="D121" s="307">
        <v>4</v>
      </c>
      <c r="E121" s="307">
        <v>2</v>
      </c>
      <c r="F121" s="307">
        <v>6</v>
      </c>
      <c r="G121" s="307">
        <v>2</v>
      </c>
      <c r="H121" s="307">
        <v>9</v>
      </c>
      <c r="I121" s="307">
        <v>2</v>
      </c>
      <c r="J121" s="308">
        <v>0</v>
      </c>
      <c r="K121" s="229">
        <v>12982472.5</v>
      </c>
      <c r="L121" s="237">
        <v>1</v>
      </c>
      <c r="M121" s="229">
        <v>5677777</v>
      </c>
      <c r="N121" s="231">
        <v>12591.4</v>
      </c>
      <c r="O121" s="232">
        <v>2</v>
      </c>
      <c r="P121" s="233">
        <v>36</v>
      </c>
      <c r="Q121" s="232">
        <v>339</v>
      </c>
      <c r="R121" s="233">
        <v>3419</v>
      </c>
      <c r="S121" s="232">
        <v>33073</v>
      </c>
      <c r="T121" s="233">
        <v>354445</v>
      </c>
      <c r="V121" s="228"/>
      <c r="X121" s="304"/>
    </row>
    <row r="122" spans="1:24" x14ac:dyDescent="0.15">
      <c r="A122" s="172">
        <v>53</v>
      </c>
      <c r="B122" s="173">
        <v>42368</v>
      </c>
      <c r="C122" s="174" t="s">
        <v>362</v>
      </c>
      <c r="D122" s="291">
        <v>6</v>
      </c>
      <c r="E122" s="291">
        <v>7</v>
      </c>
      <c r="F122" s="291">
        <v>3</v>
      </c>
      <c r="G122" s="291">
        <v>7</v>
      </c>
      <c r="H122" s="291">
        <v>8</v>
      </c>
      <c r="I122" s="291">
        <v>9</v>
      </c>
      <c r="J122" s="292">
        <v>4</v>
      </c>
      <c r="K122" s="222">
        <v>6172950</v>
      </c>
      <c r="L122" s="223" t="s">
        <v>23</v>
      </c>
      <c r="M122" s="224" t="s">
        <v>368</v>
      </c>
      <c r="N122" s="225">
        <v>451488.1</v>
      </c>
      <c r="O122" s="226" t="s">
        <v>17</v>
      </c>
      <c r="P122" s="227">
        <v>10</v>
      </c>
      <c r="Q122" s="226">
        <v>190</v>
      </c>
      <c r="R122" s="227">
        <v>1939</v>
      </c>
      <c r="S122" s="226">
        <v>18859</v>
      </c>
      <c r="T122" s="227">
        <v>206049</v>
      </c>
      <c r="V122" s="228"/>
      <c r="X122" s="304"/>
    </row>
    <row r="123" spans="1:24" x14ac:dyDescent="0.15">
      <c r="A123" s="178"/>
      <c r="B123" s="179">
        <v>42371</v>
      </c>
      <c r="C123" s="180" t="s">
        <v>363</v>
      </c>
      <c r="D123" s="307">
        <v>6</v>
      </c>
      <c r="E123" s="307">
        <v>2</v>
      </c>
      <c r="F123" s="307">
        <v>8</v>
      </c>
      <c r="G123" s="307">
        <v>7</v>
      </c>
      <c r="H123" s="307">
        <v>0</v>
      </c>
      <c r="I123" s="307">
        <v>5</v>
      </c>
      <c r="J123" s="308">
        <v>7</v>
      </c>
      <c r="K123" s="229">
        <v>13715635</v>
      </c>
      <c r="L123" s="230" t="s">
        <v>23</v>
      </c>
      <c r="M123" s="229" t="s">
        <v>368</v>
      </c>
      <c r="N123" s="231">
        <v>1426669.7</v>
      </c>
      <c r="O123" s="232">
        <v>4</v>
      </c>
      <c r="P123" s="233">
        <v>55</v>
      </c>
      <c r="Q123" s="232">
        <v>583</v>
      </c>
      <c r="R123" s="233">
        <v>5417</v>
      </c>
      <c r="S123" s="232">
        <v>60425</v>
      </c>
      <c r="T123" s="233">
        <v>588886</v>
      </c>
      <c r="V123" s="228"/>
      <c r="X123" s="304"/>
    </row>
    <row r="124" spans="1:24" x14ac:dyDescent="0.15">
      <c r="A124" s="45"/>
      <c r="B124" s="46"/>
      <c r="C124" s="46"/>
      <c r="D124" s="309"/>
      <c r="E124" s="309"/>
      <c r="F124" s="309"/>
      <c r="G124" s="309"/>
      <c r="H124" s="309"/>
      <c r="I124" s="309" t="s">
        <v>24</v>
      </c>
      <c r="J124" s="309"/>
      <c r="K124" s="277"/>
      <c r="L124" s="278">
        <f>SUM(L70:L123)</f>
        <v>22</v>
      </c>
      <c r="M124" s="229"/>
      <c r="N124" s="278"/>
      <c r="O124" s="278">
        <f t="shared" ref="O124:T124" si="1">SUM(O70:O123)</f>
        <v>191</v>
      </c>
      <c r="P124" s="278">
        <f t="shared" si="1"/>
        <v>1887</v>
      </c>
      <c r="Q124" s="278">
        <f t="shared" si="1"/>
        <v>18737</v>
      </c>
      <c r="R124" s="278">
        <f t="shared" si="1"/>
        <v>186666</v>
      </c>
      <c r="S124" s="278">
        <f t="shared" si="1"/>
        <v>1880387</v>
      </c>
      <c r="T124" s="272">
        <f t="shared" si="1"/>
        <v>18789943</v>
      </c>
      <c r="V124" s="228"/>
      <c r="X124" s="304"/>
    </row>
    <row r="125" spans="1:24" x14ac:dyDescent="0.15">
      <c r="K125" s="222"/>
      <c r="V125" s="280"/>
      <c r="X125" s="304"/>
    </row>
  </sheetData>
  <printOptions horizontalCentered="1" verticalCentered="1"/>
  <pageMargins left="0" right="0" top="0" bottom="0.39370078740157483" header="0.23622047244094491" footer="0.23622047244094491"/>
  <pageSetup paperSize="9" scale="84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X124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8" customWidth="1"/>
    <col min="10" max="10" width="5" style="298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4" ht="14.1" customHeight="1" x14ac:dyDescent="0.2">
      <c r="A2" s="1" t="s">
        <v>364</v>
      </c>
      <c r="T2" s="3" t="s">
        <v>442</v>
      </c>
    </row>
    <row r="3" spans="1:24" ht="11.1" customHeight="1" x14ac:dyDescent="0.15">
      <c r="A3" s="6" t="s">
        <v>2</v>
      </c>
    </row>
    <row r="4" spans="1:24" ht="11.1" customHeight="1" x14ac:dyDescent="0.15">
      <c r="A4" s="7"/>
      <c r="B4" s="8"/>
      <c r="C4" s="177"/>
      <c r="D4" s="299"/>
      <c r="E4" s="299"/>
      <c r="F4" s="299"/>
      <c r="G4" s="299"/>
      <c r="H4" s="299"/>
      <c r="I4" s="299"/>
      <c r="J4" s="30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4" ht="11.1" customHeight="1" x14ac:dyDescent="0.15">
      <c r="A5" s="13"/>
      <c r="B5" s="14"/>
      <c r="C5" s="125"/>
      <c r="D5" s="301" t="s">
        <v>4</v>
      </c>
      <c r="E5" s="302"/>
      <c r="F5" s="302"/>
      <c r="G5" s="302"/>
      <c r="H5" s="302"/>
      <c r="I5" s="302"/>
      <c r="J5" s="290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4" ht="11.1" customHeight="1" x14ac:dyDescent="0.15">
      <c r="A6" s="13" t="s">
        <v>428</v>
      </c>
      <c r="B6" s="14">
        <v>2016</v>
      </c>
      <c r="C6" s="220" t="s">
        <v>361</v>
      </c>
      <c r="D6" s="289"/>
      <c r="E6" s="289"/>
      <c r="F6" s="289"/>
      <c r="G6" s="289"/>
      <c r="H6" s="289"/>
      <c r="I6" s="289"/>
      <c r="J6" s="290" t="s">
        <v>13</v>
      </c>
      <c r="K6" s="14"/>
      <c r="L6" s="6" t="s">
        <v>371</v>
      </c>
      <c r="M6" s="18"/>
      <c r="N6" s="13" t="s">
        <v>367</v>
      </c>
      <c r="O6" s="239">
        <v>77777</v>
      </c>
      <c r="P6" s="239">
        <v>7777</v>
      </c>
      <c r="Q6" s="239">
        <v>777</v>
      </c>
      <c r="R6" s="239">
        <v>77</v>
      </c>
      <c r="S6" s="239">
        <v>17</v>
      </c>
      <c r="T6" s="239">
        <v>5</v>
      </c>
    </row>
    <row r="7" spans="1:24" ht="10.5" customHeight="1" x14ac:dyDescent="0.15">
      <c r="A7" s="39"/>
      <c r="B7" s="21"/>
      <c r="C7" s="220"/>
      <c r="D7" s="289"/>
      <c r="E7" s="289"/>
      <c r="F7" s="289"/>
      <c r="G7" s="289"/>
      <c r="H7" s="289"/>
      <c r="I7" s="289"/>
      <c r="J7" s="30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4" x14ac:dyDescent="0.15">
      <c r="A8" s="172">
        <v>1</v>
      </c>
      <c r="B8" s="284" t="s">
        <v>217</v>
      </c>
      <c r="C8" s="174" t="s">
        <v>362</v>
      </c>
      <c r="D8" s="291">
        <v>7</v>
      </c>
      <c r="E8" s="291">
        <v>1</v>
      </c>
      <c r="F8" s="291">
        <v>8</v>
      </c>
      <c r="G8" s="291">
        <v>2</v>
      </c>
      <c r="H8" s="291">
        <v>0</v>
      </c>
      <c r="I8" s="291">
        <v>7</v>
      </c>
      <c r="J8" s="292">
        <v>3</v>
      </c>
      <c r="K8" s="222">
        <v>5743955</v>
      </c>
      <c r="L8" s="223">
        <v>1</v>
      </c>
      <c r="M8" s="224">
        <v>1777777</v>
      </c>
      <c r="N8" s="224">
        <v>57287.9</v>
      </c>
      <c r="O8" s="226">
        <v>4</v>
      </c>
      <c r="P8" s="227">
        <v>17</v>
      </c>
      <c r="Q8" s="226">
        <v>195</v>
      </c>
      <c r="R8" s="227">
        <v>2106</v>
      </c>
      <c r="S8" s="226">
        <v>23090</v>
      </c>
      <c r="T8" s="227">
        <v>225010</v>
      </c>
      <c r="V8" s="228"/>
      <c r="X8" s="304"/>
    </row>
    <row r="9" spans="1:24" x14ac:dyDescent="0.15">
      <c r="A9" s="178"/>
      <c r="B9" s="179" t="s">
        <v>384</v>
      </c>
      <c r="C9" s="180" t="s">
        <v>363</v>
      </c>
      <c r="D9" s="289">
        <v>6</v>
      </c>
      <c r="E9" s="289">
        <v>0</v>
      </c>
      <c r="F9" s="289">
        <v>4</v>
      </c>
      <c r="G9" s="289">
        <v>4</v>
      </c>
      <c r="H9" s="289">
        <v>6</v>
      </c>
      <c r="I9" s="289">
        <v>4</v>
      </c>
      <c r="J9" s="303">
        <v>2</v>
      </c>
      <c r="K9" s="229">
        <v>13493132.5</v>
      </c>
      <c r="L9" s="237">
        <v>1</v>
      </c>
      <c r="M9" s="229">
        <v>977777</v>
      </c>
      <c r="N9" s="231">
        <v>38872.6</v>
      </c>
      <c r="O9" s="232">
        <v>9</v>
      </c>
      <c r="P9" s="233">
        <v>44</v>
      </c>
      <c r="Q9" s="232">
        <v>464</v>
      </c>
      <c r="R9" s="233">
        <v>4714</v>
      </c>
      <c r="S9" s="232">
        <v>46170</v>
      </c>
      <c r="T9" s="233">
        <v>453113</v>
      </c>
      <c r="U9">
        <v>737224</v>
      </c>
      <c r="V9" s="228"/>
      <c r="X9" s="304"/>
    </row>
    <row r="10" spans="1:24" x14ac:dyDescent="0.15">
      <c r="A10" s="172">
        <v>2</v>
      </c>
      <c r="B10" s="173" t="s">
        <v>218</v>
      </c>
      <c r="C10" s="174" t="s">
        <v>362</v>
      </c>
      <c r="D10" s="305">
        <v>3</v>
      </c>
      <c r="E10" s="291">
        <v>3</v>
      </c>
      <c r="F10" s="291">
        <v>6</v>
      </c>
      <c r="G10" s="291">
        <v>4</v>
      </c>
      <c r="H10" s="291">
        <v>3</v>
      </c>
      <c r="I10" s="291">
        <v>9</v>
      </c>
      <c r="J10" s="292">
        <v>8</v>
      </c>
      <c r="K10" s="222">
        <v>5370457.5</v>
      </c>
      <c r="L10" s="234" t="s">
        <v>23</v>
      </c>
      <c r="M10" s="224" t="s">
        <v>368</v>
      </c>
      <c r="N10" s="225">
        <v>420712.1</v>
      </c>
      <c r="O10" s="226">
        <v>7</v>
      </c>
      <c r="P10" s="227">
        <v>12</v>
      </c>
      <c r="Q10" s="226">
        <v>197</v>
      </c>
      <c r="R10" s="227">
        <v>1937</v>
      </c>
      <c r="S10" s="226">
        <v>18402</v>
      </c>
      <c r="T10" s="227">
        <v>204823</v>
      </c>
      <c r="V10" s="228"/>
      <c r="X10" s="304"/>
    </row>
    <row r="11" spans="1:24" x14ac:dyDescent="0.15">
      <c r="A11" s="178"/>
      <c r="B11" s="179" t="s">
        <v>60</v>
      </c>
      <c r="C11" s="180" t="s">
        <v>363</v>
      </c>
      <c r="D11" s="306">
        <v>7</v>
      </c>
      <c r="E11" s="306">
        <v>1</v>
      </c>
      <c r="F11" s="306">
        <v>5</v>
      </c>
      <c r="G11" s="306">
        <v>0</v>
      </c>
      <c r="H11" s="306">
        <v>9</v>
      </c>
      <c r="I11" s="306">
        <v>9</v>
      </c>
      <c r="J11" s="303">
        <v>0</v>
      </c>
      <c r="K11" s="229">
        <v>12756250</v>
      </c>
      <c r="L11" s="237" t="s">
        <v>23</v>
      </c>
      <c r="M11" s="229" t="s">
        <v>368</v>
      </c>
      <c r="N11" s="229">
        <v>1327681.5</v>
      </c>
      <c r="O11" s="232" t="s">
        <v>17</v>
      </c>
      <c r="P11" s="233">
        <v>32</v>
      </c>
      <c r="Q11" s="232">
        <v>325</v>
      </c>
      <c r="R11" s="233">
        <v>3260</v>
      </c>
      <c r="S11" s="232">
        <v>32009</v>
      </c>
      <c r="T11" s="233">
        <v>345572</v>
      </c>
      <c r="V11" s="228"/>
      <c r="X11" s="304"/>
    </row>
    <row r="12" spans="1:24" x14ac:dyDescent="0.15">
      <c r="A12" s="172">
        <v>3</v>
      </c>
      <c r="B12" s="173" t="s">
        <v>219</v>
      </c>
      <c r="C12" s="174" t="s">
        <v>362</v>
      </c>
      <c r="D12" s="291">
        <v>4</v>
      </c>
      <c r="E12" s="291">
        <v>0</v>
      </c>
      <c r="F12" s="291">
        <v>4</v>
      </c>
      <c r="G12" s="291">
        <v>9</v>
      </c>
      <c r="H12" s="291">
        <v>7</v>
      </c>
      <c r="I12" s="291">
        <v>0</v>
      </c>
      <c r="J12" s="292">
        <v>2</v>
      </c>
      <c r="K12" s="222">
        <v>5219122.5</v>
      </c>
      <c r="L12" s="234" t="s">
        <v>23</v>
      </c>
      <c r="M12" s="224" t="s">
        <v>368</v>
      </c>
      <c r="N12" s="225">
        <v>1698761.1</v>
      </c>
      <c r="O12" s="226">
        <v>1</v>
      </c>
      <c r="P12" s="227">
        <v>15</v>
      </c>
      <c r="Q12" s="226">
        <v>146</v>
      </c>
      <c r="R12" s="227">
        <v>1650</v>
      </c>
      <c r="S12" s="226">
        <v>15145</v>
      </c>
      <c r="T12" s="227">
        <v>180374</v>
      </c>
      <c r="V12" s="228"/>
      <c r="X12" s="304"/>
    </row>
    <row r="13" spans="1:24" x14ac:dyDescent="0.15">
      <c r="A13" s="178"/>
      <c r="B13" s="179" t="s">
        <v>61</v>
      </c>
      <c r="C13" s="180" t="s">
        <v>363</v>
      </c>
      <c r="D13" s="289">
        <v>5</v>
      </c>
      <c r="E13" s="289">
        <v>8</v>
      </c>
      <c r="F13" s="289">
        <v>2</v>
      </c>
      <c r="G13" s="289">
        <v>8</v>
      </c>
      <c r="H13" s="289">
        <v>3</v>
      </c>
      <c r="I13" s="289">
        <v>8</v>
      </c>
      <c r="J13" s="303">
        <v>3</v>
      </c>
      <c r="K13" s="229">
        <v>12566497.5</v>
      </c>
      <c r="L13" s="230" t="s">
        <v>23</v>
      </c>
      <c r="M13" s="229" t="s">
        <v>368</v>
      </c>
      <c r="N13" s="231">
        <v>2592239.1</v>
      </c>
      <c r="O13" s="232">
        <v>3</v>
      </c>
      <c r="P13" s="233">
        <v>61</v>
      </c>
      <c r="Q13" s="232">
        <v>504</v>
      </c>
      <c r="R13" s="233">
        <v>4813</v>
      </c>
      <c r="S13" s="232">
        <v>47146</v>
      </c>
      <c r="T13" s="233">
        <v>465839</v>
      </c>
      <c r="V13" s="228"/>
      <c r="X13" s="304"/>
    </row>
    <row r="14" spans="1:24" x14ac:dyDescent="0.15">
      <c r="A14" s="172">
        <v>4</v>
      </c>
      <c r="B14" s="173" t="s">
        <v>220</v>
      </c>
      <c r="C14" s="174" t="s">
        <v>362</v>
      </c>
      <c r="D14" s="291">
        <v>7</v>
      </c>
      <c r="E14" s="291">
        <v>1</v>
      </c>
      <c r="F14" s="291">
        <v>7</v>
      </c>
      <c r="G14" s="291">
        <v>1</v>
      </c>
      <c r="H14" s="291">
        <v>5</v>
      </c>
      <c r="I14" s="291">
        <v>3</v>
      </c>
      <c r="J14" s="292">
        <v>8</v>
      </c>
      <c r="K14" s="222">
        <v>5430830</v>
      </c>
      <c r="L14" s="234">
        <v>1</v>
      </c>
      <c r="M14" s="224">
        <v>2977777</v>
      </c>
      <c r="N14" s="225">
        <v>594.1</v>
      </c>
      <c r="O14" s="226">
        <v>1</v>
      </c>
      <c r="P14" s="227">
        <v>14</v>
      </c>
      <c r="Q14" s="226">
        <v>220</v>
      </c>
      <c r="R14" s="227">
        <v>2189</v>
      </c>
      <c r="S14" s="226">
        <v>20823</v>
      </c>
      <c r="T14" s="227">
        <v>207711</v>
      </c>
      <c r="V14" s="228"/>
      <c r="X14" s="304"/>
    </row>
    <row r="15" spans="1:24" x14ac:dyDescent="0.15">
      <c r="A15" s="178"/>
      <c r="B15" s="179" t="s">
        <v>62</v>
      </c>
      <c r="C15" s="180" t="s">
        <v>363</v>
      </c>
      <c r="D15" s="289">
        <v>9</v>
      </c>
      <c r="E15" s="289">
        <v>5</v>
      </c>
      <c r="F15" s="289">
        <v>3</v>
      </c>
      <c r="G15" s="289">
        <v>8</v>
      </c>
      <c r="H15" s="289">
        <v>6</v>
      </c>
      <c r="I15" s="289">
        <v>9</v>
      </c>
      <c r="J15" s="303">
        <v>0</v>
      </c>
      <c r="K15" s="229">
        <v>13083285</v>
      </c>
      <c r="L15" s="230" t="s">
        <v>23</v>
      </c>
      <c r="M15" s="229" t="s">
        <v>368</v>
      </c>
      <c r="N15" s="231">
        <v>930815.7</v>
      </c>
      <c r="O15" s="232">
        <v>3</v>
      </c>
      <c r="P15" s="233">
        <v>27</v>
      </c>
      <c r="Q15" s="232">
        <v>323</v>
      </c>
      <c r="R15" s="233">
        <v>3447</v>
      </c>
      <c r="S15" s="232">
        <v>34138</v>
      </c>
      <c r="T15" s="233">
        <v>363983</v>
      </c>
      <c r="V15" s="228"/>
      <c r="X15" s="304"/>
    </row>
    <row r="16" spans="1:24" x14ac:dyDescent="0.15">
      <c r="A16" s="172">
        <v>5</v>
      </c>
      <c r="B16" s="173" t="s">
        <v>221</v>
      </c>
      <c r="C16" s="174" t="s">
        <v>362</v>
      </c>
      <c r="D16" s="291">
        <v>6</v>
      </c>
      <c r="E16" s="291">
        <v>1</v>
      </c>
      <c r="F16" s="291">
        <v>5</v>
      </c>
      <c r="G16" s="291">
        <v>7</v>
      </c>
      <c r="H16" s="291">
        <v>1</v>
      </c>
      <c r="I16" s="291">
        <v>9</v>
      </c>
      <c r="J16" s="292">
        <v>8</v>
      </c>
      <c r="K16" s="222">
        <v>5858882.5</v>
      </c>
      <c r="L16" s="223" t="s">
        <v>23</v>
      </c>
      <c r="M16" s="224" t="s">
        <v>368</v>
      </c>
      <c r="N16" s="224">
        <v>1347382.2</v>
      </c>
      <c r="O16" s="226">
        <v>4</v>
      </c>
      <c r="P16" s="226">
        <v>22</v>
      </c>
      <c r="Q16" s="226">
        <v>207</v>
      </c>
      <c r="R16" s="226">
        <v>2046</v>
      </c>
      <c r="S16" s="226">
        <v>20924</v>
      </c>
      <c r="T16" s="226">
        <v>225915</v>
      </c>
      <c r="V16" s="228"/>
      <c r="X16" s="304"/>
    </row>
    <row r="17" spans="1:24" x14ac:dyDescent="0.15">
      <c r="A17" s="178"/>
      <c r="B17" s="179" t="s">
        <v>63</v>
      </c>
      <c r="C17" s="180" t="s">
        <v>363</v>
      </c>
      <c r="D17" s="289">
        <v>0</v>
      </c>
      <c r="E17" s="289">
        <v>5</v>
      </c>
      <c r="F17" s="289">
        <v>2</v>
      </c>
      <c r="G17" s="289">
        <v>9</v>
      </c>
      <c r="H17" s="289">
        <v>0</v>
      </c>
      <c r="I17" s="289">
        <v>2</v>
      </c>
      <c r="J17" s="303">
        <v>5</v>
      </c>
      <c r="K17" s="229">
        <v>13492137.5</v>
      </c>
      <c r="L17" s="230" t="s">
        <v>23</v>
      </c>
      <c r="M17" s="229" t="s">
        <v>368</v>
      </c>
      <c r="N17" s="229">
        <v>2306673.2000000002</v>
      </c>
      <c r="O17" s="232">
        <v>3</v>
      </c>
      <c r="P17" s="233">
        <v>46</v>
      </c>
      <c r="Q17" s="232">
        <v>537</v>
      </c>
      <c r="R17" s="233">
        <v>5350</v>
      </c>
      <c r="S17" s="232">
        <v>59854</v>
      </c>
      <c r="T17" s="233">
        <v>570545</v>
      </c>
      <c r="V17" s="228"/>
      <c r="X17" s="304"/>
    </row>
    <row r="18" spans="1:24" x14ac:dyDescent="0.15">
      <c r="A18" s="172">
        <v>6</v>
      </c>
      <c r="B18" s="173" t="s">
        <v>222</v>
      </c>
      <c r="C18" s="174" t="s">
        <v>362</v>
      </c>
      <c r="D18" s="291">
        <v>9</v>
      </c>
      <c r="E18" s="291">
        <v>1</v>
      </c>
      <c r="F18" s="291">
        <v>6</v>
      </c>
      <c r="G18" s="291">
        <v>8</v>
      </c>
      <c r="H18" s="291">
        <v>8</v>
      </c>
      <c r="I18" s="291">
        <v>0</v>
      </c>
      <c r="J18" s="292">
        <v>0</v>
      </c>
      <c r="K18" s="222">
        <v>6146702.5</v>
      </c>
      <c r="L18" s="223" t="s">
        <v>23</v>
      </c>
      <c r="M18" s="224" t="s">
        <v>368</v>
      </c>
      <c r="N18" s="224">
        <v>2743703.7</v>
      </c>
      <c r="O18" s="226">
        <v>5</v>
      </c>
      <c r="P18" s="227">
        <v>19</v>
      </c>
      <c r="Q18" s="226">
        <v>229</v>
      </c>
      <c r="R18" s="227">
        <v>1812</v>
      </c>
      <c r="S18" s="226">
        <v>21252</v>
      </c>
      <c r="T18" s="227">
        <v>172057</v>
      </c>
      <c r="V18" s="228"/>
      <c r="X18" s="304"/>
    </row>
    <row r="19" spans="1:24" x14ac:dyDescent="0.15">
      <c r="A19" s="178"/>
      <c r="B19" s="179" t="s">
        <v>64</v>
      </c>
      <c r="C19" s="180" t="s">
        <v>363</v>
      </c>
      <c r="D19" s="289">
        <v>2</v>
      </c>
      <c r="E19" s="289">
        <v>4</v>
      </c>
      <c r="F19" s="289">
        <v>3</v>
      </c>
      <c r="G19" s="289">
        <v>6</v>
      </c>
      <c r="H19" s="289">
        <v>6</v>
      </c>
      <c r="I19" s="289">
        <v>8</v>
      </c>
      <c r="J19" s="303">
        <v>5</v>
      </c>
      <c r="K19" s="229">
        <v>14089455</v>
      </c>
      <c r="L19" s="230" t="s">
        <v>23</v>
      </c>
      <c r="M19" s="229" t="s">
        <v>368</v>
      </c>
      <c r="N19" s="231">
        <v>3745464</v>
      </c>
      <c r="O19" s="232" t="s">
        <v>17</v>
      </c>
      <c r="P19" s="233">
        <v>53</v>
      </c>
      <c r="Q19" s="232">
        <v>616</v>
      </c>
      <c r="R19" s="233">
        <v>5906</v>
      </c>
      <c r="S19" s="232">
        <v>58469</v>
      </c>
      <c r="T19" s="233">
        <v>594670</v>
      </c>
      <c r="V19" s="228"/>
      <c r="X19" s="304"/>
    </row>
    <row r="20" spans="1:24" x14ac:dyDescent="0.15">
      <c r="A20" s="172">
        <v>7</v>
      </c>
      <c r="B20" s="173" t="s">
        <v>223</v>
      </c>
      <c r="C20" s="174" t="s">
        <v>362</v>
      </c>
      <c r="D20" s="291">
        <v>9</v>
      </c>
      <c r="E20" s="291">
        <v>8</v>
      </c>
      <c r="F20" s="291">
        <v>0</v>
      </c>
      <c r="G20" s="291">
        <v>9</v>
      </c>
      <c r="H20" s="291">
        <v>7</v>
      </c>
      <c r="I20" s="291">
        <v>2</v>
      </c>
      <c r="J20" s="292">
        <v>1</v>
      </c>
      <c r="K20" s="222">
        <v>5484742.5</v>
      </c>
      <c r="L20" s="223" t="s">
        <v>23</v>
      </c>
      <c r="M20" s="224" t="s">
        <v>368</v>
      </c>
      <c r="N20" s="225">
        <v>4135429.2</v>
      </c>
      <c r="O20" s="226">
        <v>1</v>
      </c>
      <c r="P20" s="227">
        <v>16</v>
      </c>
      <c r="Q20" s="226">
        <v>174</v>
      </c>
      <c r="R20" s="227">
        <v>1746</v>
      </c>
      <c r="S20" s="226">
        <v>17097</v>
      </c>
      <c r="T20" s="227">
        <v>164253</v>
      </c>
      <c r="V20" s="228"/>
      <c r="X20" s="304"/>
    </row>
    <row r="21" spans="1:24" x14ac:dyDescent="0.15">
      <c r="A21" s="178"/>
      <c r="B21" s="179" t="s">
        <v>65</v>
      </c>
      <c r="C21" s="180" t="s">
        <v>363</v>
      </c>
      <c r="D21" s="289">
        <v>0</v>
      </c>
      <c r="E21" s="289">
        <v>7</v>
      </c>
      <c r="F21" s="289">
        <v>3</v>
      </c>
      <c r="G21" s="289">
        <v>3</v>
      </c>
      <c r="H21" s="289">
        <v>5</v>
      </c>
      <c r="I21" s="289">
        <v>0</v>
      </c>
      <c r="J21" s="303">
        <v>4</v>
      </c>
      <c r="K21" s="229">
        <v>12878822.5</v>
      </c>
      <c r="L21" s="230" t="s">
        <v>23</v>
      </c>
      <c r="M21" s="229" t="s">
        <v>368</v>
      </c>
      <c r="N21" s="231">
        <v>5051113.5</v>
      </c>
      <c r="O21" s="232">
        <v>3</v>
      </c>
      <c r="P21" s="233">
        <v>37</v>
      </c>
      <c r="Q21" s="232">
        <v>418</v>
      </c>
      <c r="R21" s="233">
        <v>3703</v>
      </c>
      <c r="S21" s="232">
        <v>37371</v>
      </c>
      <c r="T21" s="233">
        <v>431484</v>
      </c>
      <c r="U21" s="240"/>
      <c r="V21" s="228"/>
      <c r="X21" s="304"/>
    </row>
    <row r="22" spans="1:24" x14ac:dyDescent="0.15">
      <c r="A22" s="172">
        <v>8</v>
      </c>
      <c r="B22" s="173" t="s">
        <v>224</v>
      </c>
      <c r="C22" s="174" t="s">
        <v>362</v>
      </c>
      <c r="D22" s="291">
        <v>9</v>
      </c>
      <c r="E22" s="291">
        <v>6</v>
      </c>
      <c r="F22" s="291">
        <v>1</v>
      </c>
      <c r="G22" s="291">
        <v>6</v>
      </c>
      <c r="H22" s="291">
        <v>6</v>
      </c>
      <c r="I22" s="291">
        <v>0</v>
      </c>
      <c r="J22" s="292">
        <v>4</v>
      </c>
      <c r="K22" s="222">
        <v>5347827.5</v>
      </c>
      <c r="L22" s="223" t="s">
        <v>23</v>
      </c>
      <c r="M22" s="224" t="s">
        <v>368</v>
      </c>
      <c r="N22" s="225">
        <v>5431344</v>
      </c>
      <c r="O22" s="226" t="s">
        <v>17</v>
      </c>
      <c r="P22" s="227">
        <v>18</v>
      </c>
      <c r="Q22" s="226">
        <v>143</v>
      </c>
      <c r="R22" s="227">
        <v>1590</v>
      </c>
      <c r="S22" s="226">
        <v>16143</v>
      </c>
      <c r="T22" s="227">
        <v>178441</v>
      </c>
      <c r="V22" s="228"/>
      <c r="X22" s="304"/>
    </row>
    <row r="23" spans="1:24" x14ac:dyDescent="0.15">
      <c r="A23" s="178"/>
      <c r="B23" s="179" t="s">
        <v>66</v>
      </c>
      <c r="C23" s="180" t="s">
        <v>363</v>
      </c>
      <c r="D23" s="289">
        <v>0</v>
      </c>
      <c r="E23" s="289">
        <v>9</v>
      </c>
      <c r="F23" s="289">
        <v>8</v>
      </c>
      <c r="G23" s="289">
        <v>1</v>
      </c>
      <c r="H23" s="289">
        <v>9</v>
      </c>
      <c r="I23" s="289">
        <v>1</v>
      </c>
      <c r="J23" s="303">
        <v>1</v>
      </c>
      <c r="K23" s="229">
        <v>12979037.5</v>
      </c>
      <c r="L23" s="230" t="s">
        <v>23</v>
      </c>
      <c r="M23" s="229" t="s">
        <v>368</v>
      </c>
      <c r="N23" s="231">
        <v>6354153.5999999996</v>
      </c>
      <c r="O23" s="232">
        <v>10</v>
      </c>
      <c r="P23" s="233">
        <v>43</v>
      </c>
      <c r="Q23" s="232">
        <v>439</v>
      </c>
      <c r="R23" s="233">
        <v>4267</v>
      </c>
      <c r="S23" s="232">
        <v>40341</v>
      </c>
      <c r="T23" s="233">
        <v>386527</v>
      </c>
      <c r="V23" s="228"/>
      <c r="X23" s="304"/>
    </row>
    <row r="24" spans="1:24" x14ac:dyDescent="0.15">
      <c r="A24" s="172">
        <v>9</v>
      </c>
      <c r="B24" s="173" t="s">
        <v>225</v>
      </c>
      <c r="C24" s="174" t="s">
        <v>362</v>
      </c>
      <c r="D24" s="291">
        <v>2</v>
      </c>
      <c r="E24" s="291">
        <v>2</v>
      </c>
      <c r="F24" s="291">
        <v>2</v>
      </c>
      <c r="G24" s="291">
        <v>4</v>
      </c>
      <c r="H24" s="291">
        <v>3</v>
      </c>
      <c r="I24" s="291">
        <v>1</v>
      </c>
      <c r="J24" s="292">
        <v>7</v>
      </c>
      <c r="K24" s="222">
        <v>5485577.5</v>
      </c>
      <c r="L24" s="223" t="s">
        <v>23</v>
      </c>
      <c r="M24" s="224" t="s">
        <v>368</v>
      </c>
      <c r="N24" s="225">
        <v>6744178.2000000002</v>
      </c>
      <c r="O24" s="226" t="s">
        <v>17</v>
      </c>
      <c r="P24" s="227">
        <v>23</v>
      </c>
      <c r="Q24" s="226">
        <v>248</v>
      </c>
      <c r="R24" s="227">
        <v>2401</v>
      </c>
      <c r="S24" s="226">
        <v>23691</v>
      </c>
      <c r="T24" s="227">
        <v>237264</v>
      </c>
      <c r="V24" s="228"/>
      <c r="X24" s="304"/>
    </row>
    <row r="25" spans="1:24" x14ac:dyDescent="0.15">
      <c r="A25" s="178"/>
      <c r="B25" s="179" t="s">
        <v>119</v>
      </c>
      <c r="C25" s="180" t="s">
        <v>363</v>
      </c>
      <c r="D25" s="289">
        <v>1</v>
      </c>
      <c r="E25" s="289">
        <v>7</v>
      </c>
      <c r="F25" s="289">
        <v>3</v>
      </c>
      <c r="G25" s="289">
        <v>4</v>
      </c>
      <c r="H25" s="289">
        <v>2</v>
      </c>
      <c r="I25" s="289">
        <v>9</v>
      </c>
      <c r="J25" s="303">
        <v>5</v>
      </c>
      <c r="K25" s="229">
        <v>13279440</v>
      </c>
      <c r="L25" s="230" t="s">
        <v>23</v>
      </c>
      <c r="M25" s="229" t="s">
        <v>368</v>
      </c>
      <c r="N25" s="231">
        <v>7688346.4000000004</v>
      </c>
      <c r="O25" s="232">
        <v>5</v>
      </c>
      <c r="P25" s="233">
        <v>40</v>
      </c>
      <c r="Q25" s="232">
        <v>540</v>
      </c>
      <c r="R25" s="233">
        <v>5279</v>
      </c>
      <c r="S25" s="232">
        <v>53064</v>
      </c>
      <c r="T25" s="233">
        <v>573207</v>
      </c>
      <c r="V25" s="228"/>
      <c r="X25" s="304"/>
    </row>
    <row r="26" spans="1:24" x14ac:dyDescent="0.15">
      <c r="A26" s="172">
        <v>10</v>
      </c>
      <c r="B26" s="173" t="s">
        <v>226</v>
      </c>
      <c r="C26" s="174" t="s">
        <v>362</v>
      </c>
      <c r="D26" s="291">
        <v>7</v>
      </c>
      <c r="E26" s="291">
        <v>8</v>
      </c>
      <c r="F26" s="291">
        <v>5</v>
      </c>
      <c r="G26" s="291">
        <v>1</v>
      </c>
      <c r="H26" s="291">
        <v>4</v>
      </c>
      <c r="I26" s="291">
        <v>5</v>
      </c>
      <c r="J26" s="292">
        <v>3</v>
      </c>
      <c r="K26" s="222">
        <v>5833080</v>
      </c>
      <c r="L26" s="223" t="s">
        <v>23</v>
      </c>
      <c r="M26" s="224" t="s">
        <v>368</v>
      </c>
      <c r="N26" s="225">
        <v>8103078.4000000004</v>
      </c>
      <c r="O26" s="226" t="s">
        <v>17</v>
      </c>
      <c r="P26" s="227">
        <v>29</v>
      </c>
      <c r="Q26" s="226">
        <v>232</v>
      </c>
      <c r="R26" s="227">
        <v>2497</v>
      </c>
      <c r="S26" s="226">
        <v>24469</v>
      </c>
      <c r="T26" s="227">
        <v>227931</v>
      </c>
      <c r="V26" s="228"/>
      <c r="X26" s="304"/>
    </row>
    <row r="27" spans="1:24" x14ac:dyDescent="0.15">
      <c r="A27" s="178"/>
      <c r="B27" s="179" t="s">
        <v>120</v>
      </c>
      <c r="C27" s="180" t="s">
        <v>363</v>
      </c>
      <c r="D27" s="289">
        <v>0</v>
      </c>
      <c r="E27" s="289">
        <v>8</v>
      </c>
      <c r="F27" s="289">
        <v>7</v>
      </c>
      <c r="G27" s="289">
        <v>4</v>
      </c>
      <c r="H27" s="289">
        <v>8</v>
      </c>
      <c r="I27" s="289">
        <v>4</v>
      </c>
      <c r="J27" s="303">
        <v>9</v>
      </c>
      <c r="K27" s="229">
        <v>13698380</v>
      </c>
      <c r="L27" s="230" t="s">
        <v>23</v>
      </c>
      <c r="M27" s="229" t="s">
        <v>368</v>
      </c>
      <c r="N27" s="231">
        <v>0.4</v>
      </c>
      <c r="O27" s="232">
        <v>11</v>
      </c>
      <c r="P27" s="233">
        <v>41</v>
      </c>
      <c r="Q27" s="232">
        <v>535</v>
      </c>
      <c r="R27" s="233">
        <v>5082</v>
      </c>
      <c r="S27" s="232">
        <v>48873</v>
      </c>
      <c r="T27" s="233">
        <v>477033</v>
      </c>
      <c r="V27" s="228"/>
      <c r="X27" s="304"/>
    </row>
    <row r="28" spans="1:24" x14ac:dyDescent="0.15">
      <c r="A28" s="172">
        <v>11</v>
      </c>
      <c r="B28" s="173" t="s">
        <v>227</v>
      </c>
      <c r="C28" s="174" t="s">
        <v>362</v>
      </c>
      <c r="D28" s="291">
        <v>8</v>
      </c>
      <c r="E28" s="291">
        <v>6</v>
      </c>
      <c r="F28" s="291">
        <v>5</v>
      </c>
      <c r="G28" s="291">
        <v>7</v>
      </c>
      <c r="H28" s="291">
        <v>0</v>
      </c>
      <c r="I28" s="291">
        <v>9</v>
      </c>
      <c r="J28" s="292">
        <v>9</v>
      </c>
      <c r="K28" s="222">
        <v>5453432.5</v>
      </c>
      <c r="L28" s="223" t="s">
        <v>23</v>
      </c>
      <c r="M28" s="224" t="s">
        <v>368</v>
      </c>
      <c r="N28" s="225">
        <v>387739.5</v>
      </c>
      <c r="O28" s="226">
        <v>2</v>
      </c>
      <c r="P28" s="227">
        <v>19</v>
      </c>
      <c r="Q28" s="226">
        <v>182</v>
      </c>
      <c r="R28" s="227">
        <v>1734</v>
      </c>
      <c r="S28" s="226">
        <v>18872</v>
      </c>
      <c r="T28" s="227">
        <v>181188</v>
      </c>
      <c r="V28" s="228"/>
      <c r="X28" s="304"/>
    </row>
    <row r="29" spans="1:24" x14ac:dyDescent="0.15">
      <c r="A29" s="178"/>
      <c r="B29" s="179" t="s">
        <v>121</v>
      </c>
      <c r="C29" s="180" t="s">
        <v>363</v>
      </c>
      <c r="D29" s="289">
        <v>7</v>
      </c>
      <c r="E29" s="289">
        <v>3</v>
      </c>
      <c r="F29" s="289">
        <v>5</v>
      </c>
      <c r="G29" s="289">
        <v>3</v>
      </c>
      <c r="H29" s="289">
        <v>2</v>
      </c>
      <c r="I29" s="289">
        <v>9</v>
      </c>
      <c r="J29" s="303">
        <v>9</v>
      </c>
      <c r="K29" s="229">
        <v>13219932.5</v>
      </c>
      <c r="L29" s="230" t="s">
        <v>23</v>
      </c>
      <c r="M29" s="229" t="s">
        <v>368</v>
      </c>
      <c r="N29" s="231">
        <v>1327676.7</v>
      </c>
      <c r="O29" s="232">
        <v>7</v>
      </c>
      <c r="P29" s="233">
        <v>56</v>
      </c>
      <c r="Q29" s="232">
        <v>397</v>
      </c>
      <c r="R29" s="233">
        <v>4441</v>
      </c>
      <c r="S29" s="232">
        <v>45982</v>
      </c>
      <c r="T29" s="233">
        <v>467241</v>
      </c>
      <c r="V29" s="228"/>
      <c r="X29" s="304"/>
    </row>
    <row r="30" spans="1:24" x14ac:dyDescent="0.15">
      <c r="A30" s="172">
        <v>12</v>
      </c>
      <c r="B30" s="173" t="s">
        <v>228</v>
      </c>
      <c r="C30" s="174" t="s">
        <v>362</v>
      </c>
      <c r="D30" s="291">
        <v>2</v>
      </c>
      <c r="E30" s="291">
        <v>2</v>
      </c>
      <c r="F30" s="291">
        <v>3</v>
      </c>
      <c r="G30" s="291">
        <v>7</v>
      </c>
      <c r="H30" s="291">
        <v>3</v>
      </c>
      <c r="I30" s="291">
        <v>0</v>
      </c>
      <c r="J30" s="292">
        <v>3</v>
      </c>
      <c r="K30" s="222">
        <v>5672112.5</v>
      </c>
      <c r="L30" s="223" t="s">
        <v>23</v>
      </c>
      <c r="M30" s="224" t="s">
        <v>368</v>
      </c>
      <c r="N30" s="225">
        <v>1730963.9</v>
      </c>
      <c r="O30" s="226">
        <v>2</v>
      </c>
      <c r="P30" s="227">
        <v>22</v>
      </c>
      <c r="Q30" s="226">
        <v>214</v>
      </c>
      <c r="R30" s="227">
        <v>1949</v>
      </c>
      <c r="S30" s="226">
        <v>18718</v>
      </c>
      <c r="T30" s="227">
        <v>228616</v>
      </c>
      <c r="V30" s="228"/>
      <c r="X30" s="304"/>
    </row>
    <row r="31" spans="1:24" x14ac:dyDescent="0.15">
      <c r="A31" s="178"/>
      <c r="B31" s="179" t="s">
        <v>122</v>
      </c>
      <c r="C31" s="180" t="s">
        <v>363</v>
      </c>
      <c r="D31" s="289">
        <v>9</v>
      </c>
      <c r="E31" s="289">
        <v>1</v>
      </c>
      <c r="F31" s="289">
        <v>9</v>
      </c>
      <c r="G31" s="289">
        <v>8</v>
      </c>
      <c r="H31" s="289">
        <v>9</v>
      </c>
      <c r="I31" s="289">
        <v>0</v>
      </c>
      <c r="J31" s="303">
        <v>9</v>
      </c>
      <c r="K31" s="229">
        <v>13149320</v>
      </c>
      <c r="L31" s="230" t="s">
        <v>23</v>
      </c>
      <c r="M31" s="229" t="s">
        <v>368</v>
      </c>
      <c r="N31" s="231">
        <v>2665880.6</v>
      </c>
      <c r="O31" s="232">
        <v>3</v>
      </c>
      <c r="P31" s="233">
        <v>46</v>
      </c>
      <c r="Q31" s="232">
        <v>412</v>
      </c>
      <c r="R31" s="233">
        <v>4178</v>
      </c>
      <c r="S31" s="232">
        <v>40830</v>
      </c>
      <c r="T31" s="233">
        <v>473073</v>
      </c>
      <c r="V31" s="228"/>
      <c r="X31" s="304"/>
    </row>
    <row r="32" spans="1:24" x14ac:dyDescent="0.15">
      <c r="A32" s="172">
        <v>13</v>
      </c>
      <c r="B32" s="173" t="s">
        <v>229</v>
      </c>
      <c r="C32" s="174" t="s">
        <v>362</v>
      </c>
      <c r="D32" s="291">
        <v>2</v>
      </c>
      <c r="E32" s="291">
        <v>8</v>
      </c>
      <c r="F32" s="291">
        <v>6</v>
      </c>
      <c r="G32" s="291">
        <v>3</v>
      </c>
      <c r="H32" s="291">
        <v>4</v>
      </c>
      <c r="I32" s="291">
        <v>1</v>
      </c>
      <c r="J32" s="292">
        <v>0</v>
      </c>
      <c r="K32" s="222">
        <v>5183332.5</v>
      </c>
      <c r="L32" s="223" t="s">
        <v>23</v>
      </c>
      <c r="M32" s="224" t="s">
        <v>368</v>
      </c>
      <c r="N32" s="225">
        <v>3034415.5</v>
      </c>
      <c r="O32" s="226">
        <v>1</v>
      </c>
      <c r="P32" s="227">
        <v>12</v>
      </c>
      <c r="Q32" s="226">
        <v>135</v>
      </c>
      <c r="R32" s="227">
        <v>1382</v>
      </c>
      <c r="S32" s="226">
        <v>14416</v>
      </c>
      <c r="T32" s="227">
        <v>145748</v>
      </c>
      <c r="V32" s="228"/>
      <c r="X32" s="304"/>
    </row>
    <row r="33" spans="1:24" x14ac:dyDescent="0.15">
      <c r="A33" s="178"/>
      <c r="B33" s="179" t="s">
        <v>123</v>
      </c>
      <c r="C33" s="180" t="s">
        <v>363</v>
      </c>
      <c r="D33" s="289">
        <v>5</v>
      </c>
      <c r="E33" s="289">
        <v>0</v>
      </c>
      <c r="F33" s="289">
        <v>8</v>
      </c>
      <c r="G33" s="289">
        <v>0</v>
      </c>
      <c r="H33" s="289">
        <v>1</v>
      </c>
      <c r="I33" s="289">
        <v>1</v>
      </c>
      <c r="J33" s="303">
        <v>5</v>
      </c>
      <c r="K33" s="229">
        <v>12543455</v>
      </c>
      <c r="L33" s="230" t="s">
        <v>23</v>
      </c>
      <c r="M33" s="229" t="s">
        <v>368</v>
      </c>
      <c r="N33" s="231">
        <v>3926255.2</v>
      </c>
      <c r="O33" s="232">
        <v>1</v>
      </c>
      <c r="P33" s="233">
        <v>64</v>
      </c>
      <c r="Q33" s="232">
        <v>473</v>
      </c>
      <c r="R33" s="233">
        <v>5007</v>
      </c>
      <c r="S33" s="232">
        <v>53618</v>
      </c>
      <c r="T33" s="233">
        <v>545734</v>
      </c>
      <c r="U33" s="240"/>
      <c r="V33" s="228"/>
      <c r="X33" s="304"/>
    </row>
    <row r="34" spans="1:24" x14ac:dyDescent="0.15">
      <c r="A34" s="172">
        <v>14</v>
      </c>
      <c r="B34" s="173" t="s">
        <v>230</v>
      </c>
      <c r="C34" s="174" t="s">
        <v>362</v>
      </c>
      <c r="D34" s="291">
        <v>3</v>
      </c>
      <c r="E34" s="291">
        <v>8</v>
      </c>
      <c r="F34" s="291">
        <v>3</v>
      </c>
      <c r="G34" s="291">
        <v>1</v>
      </c>
      <c r="H34" s="291">
        <v>3</v>
      </c>
      <c r="I34" s="291">
        <v>0</v>
      </c>
      <c r="J34" s="292">
        <v>1</v>
      </c>
      <c r="K34" s="222">
        <v>5365260</v>
      </c>
      <c r="L34" s="223" t="s">
        <v>23</v>
      </c>
      <c r="M34" s="224" t="s">
        <v>368</v>
      </c>
      <c r="N34" s="225">
        <v>4307725.2</v>
      </c>
      <c r="O34" s="226" t="s">
        <v>17</v>
      </c>
      <c r="P34" s="227">
        <v>18</v>
      </c>
      <c r="Q34" s="226">
        <v>135</v>
      </c>
      <c r="R34" s="227">
        <v>1441</v>
      </c>
      <c r="S34" s="226">
        <v>14437</v>
      </c>
      <c r="T34" s="227">
        <v>160988</v>
      </c>
      <c r="V34" s="228"/>
      <c r="X34" s="304"/>
    </row>
    <row r="35" spans="1:24" x14ac:dyDescent="0.15">
      <c r="A35" s="178"/>
      <c r="B35" s="179" t="s">
        <v>124</v>
      </c>
      <c r="C35" s="180" t="s">
        <v>363</v>
      </c>
      <c r="D35" s="289">
        <v>0</v>
      </c>
      <c r="E35" s="289">
        <v>1</v>
      </c>
      <c r="F35" s="289">
        <v>7</v>
      </c>
      <c r="G35" s="289">
        <v>7</v>
      </c>
      <c r="H35" s="289">
        <v>1</v>
      </c>
      <c r="I35" s="289">
        <v>8</v>
      </c>
      <c r="J35" s="303">
        <v>4</v>
      </c>
      <c r="K35" s="229">
        <v>12756160</v>
      </c>
      <c r="L35" s="230">
        <v>3</v>
      </c>
      <c r="M35" s="229">
        <v>1677777</v>
      </c>
      <c r="N35" s="231">
        <v>181357.2</v>
      </c>
      <c r="O35" s="232">
        <v>3</v>
      </c>
      <c r="P35" s="233">
        <v>54</v>
      </c>
      <c r="Q35" s="232">
        <v>424</v>
      </c>
      <c r="R35" s="233">
        <v>4251</v>
      </c>
      <c r="S35" s="232">
        <v>42830</v>
      </c>
      <c r="T35" s="233">
        <v>420972</v>
      </c>
      <c r="V35" s="228"/>
      <c r="X35" s="304"/>
    </row>
    <row r="36" spans="1:24" x14ac:dyDescent="0.15">
      <c r="A36" s="172">
        <v>15</v>
      </c>
      <c r="B36" s="173" t="s">
        <v>231</v>
      </c>
      <c r="C36" s="174" t="s">
        <v>362</v>
      </c>
      <c r="D36" s="291">
        <v>2</v>
      </c>
      <c r="E36" s="291">
        <v>3</v>
      </c>
      <c r="F36" s="291">
        <v>7</v>
      </c>
      <c r="G36" s="291">
        <v>4</v>
      </c>
      <c r="H36" s="291">
        <v>7</v>
      </c>
      <c r="I36" s="291">
        <v>1</v>
      </c>
      <c r="J36" s="292">
        <v>7</v>
      </c>
      <c r="K36" s="222">
        <v>5462777.5</v>
      </c>
      <c r="L36" s="234" t="s">
        <v>23</v>
      </c>
      <c r="M36" s="224" t="s">
        <v>368</v>
      </c>
      <c r="N36" s="225">
        <v>569760.69999999995</v>
      </c>
      <c r="O36" s="226">
        <v>2</v>
      </c>
      <c r="P36" s="227">
        <v>25</v>
      </c>
      <c r="Q36" s="226">
        <v>271</v>
      </c>
      <c r="R36" s="227">
        <v>2571</v>
      </c>
      <c r="S36" s="226">
        <v>23543</v>
      </c>
      <c r="T36" s="227">
        <v>237494</v>
      </c>
      <c r="V36" s="228"/>
      <c r="X36" s="304"/>
    </row>
    <row r="37" spans="1:24" x14ac:dyDescent="0.15">
      <c r="A37" s="178"/>
      <c r="B37" s="179" t="s">
        <v>125</v>
      </c>
      <c r="C37" s="180" t="s">
        <v>363</v>
      </c>
      <c r="D37" s="289">
        <v>6</v>
      </c>
      <c r="E37" s="289">
        <v>9</v>
      </c>
      <c r="F37" s="289">
        <v>8</v>
      </c>
      <c r="G37" s="289">
        <v>3</v>
      </c>
      <c r="H37" s="289">
        <v>7</v>
      </c>
      <c r="I37" s="289">
        <v>3</v>
      </c>
      <c r="J37" s="303">
        <v>8</v>
      </c>
      <c r="K37" s="229">
        <v>12997507.5</v>
      </c>
      <c r="L37" s="230">
        <v>1</v>
      </c>
      <c r="M37" s="229">
        <v>1477777</v>
      </c>
      <c r="N37" s="231">
        <v>16106.5</v>
      </c>
      <c r="O37" s="232">
        <v>3</v>
      </c>
      <c r="P37" s="233">
        <v>58</v>
      </c>
      <c r="Q37" s="232">
        <v>541</v>
      </c>
      <c r="R37" s="233">
        <v>5222</v>
      </c>
      <c r="S37" s="232">
        <v>52490</v>
      </c>
      <c r="T37" s="233">
        <v>519453</v>
      </c>
      <c r="V37" s="228"/>
      <c r="X37" s="304"/>
    </row>
    <row r="38" spans="1:24" x14ac:dyDescent="0.15">
      <c r="A38" s="172">
        <v>16</v>
      </c>
      <c r="B38" s="173" t="s">
        <v>232</v>
      </c>
      <c r="C38" s="174" t="s">
        <v>362</v>
      </c>
      <c r="D38" s="291">
        <v>1</v>
      </c>
      <c r="E38" s="291">
        <v>4</v>
      </c>
      <c r="F38" s="291">
        <v>2</v>
      </c>
      <c r="G38" s="291">
        <v>9</v>
      </c>
      <c r="H38" s="291">
        <v>8</v>
      </c>
      <c r="I38" s="291">
        <v>7</v>
      </c>
      <c r="J38" s="292">
        <v>9</v>
      </c>
      <c r="K38" s="222">
        <v>5780262.5</v>
      </c>
      <c r="L38" s="234" t="s">
        <v>23</v>
      </c>
      <c r="M38" s="224" t="s">
        <v>368</v>
      </c>
      <c r="N38" s="225">
        <v>427083.2</v>
      </c>
      <c r="O38" s="226">
        <v>3</v>
      </c>
      <c r="P38" s="227">
        <v>17</v>
      </c>
      <c r="Q38" s="226">
        <v>172</v>
      </c>
      <c r="R38" s="227">
        <v>2039</v>
      </c>
      <c r="S38" s="226">
        <v>19687</v>
      </c>
      <c r="T38" s="227">
        <v>194989</v>
      </c>
      <c r="V38" s="228"/>
      <c r="X38" s="304"/>
    </row>
    <row r="39" spans="1:24" x14ac:dyDescent="0.15">
      <c r="A39" s="178"/>
      <c r="B39" s="179" t="s">
        <v>126</v>
      </c>
      <c r="C39" s="180" t="s">
        <v>363</v>
      </c>
      <c r="D39" s="289">
        <v>9</v>
      </c>
      <c r="E39" s="289">
        <v>3</v>
      </c>
      <c r="F39" s="289">
        <v>3</v>
      </c>
      <c r="G39" s="289">
        <v>2</v>
      </c>
      <c r="H39" s="289">
        <v>0</v>
      </c>
      <c r="I39" s="289">
        <v>8</v>
      </c>
      <c r="J39" s="303">
        <v>7</v>
      </c>
      <c r="K39" s="229">
        <v>13334325</v>
      </c>
      <c r="L39" s="230">
        <v>1</v>
      </c>
      <c r="M39" s="229">
        <v>1277777</v>
      </c>
      <c r="N39" s="231">
        <v>97376.7</v>
      </c>
      <c r="O39" s="232">
        <v>9</v>
      </c>
      <c r="P39" s="233">
        <v>50</v>
      </c>
      <c r="Q39" s="232">
        <v>512</v>
      </c>
      <c r="R39" s="233">
        <v>5016</v>
      </c>
      <c r="S39" s="232">
        <v>55986</v>
      </c>
      <c r="T39" s="233">
        <v>576496</v>
      </c>
      <c r="V39" s="228"/>
      <c r="X39" s="304"/>
    </row>
    <row r="40" spans="1:24" x14ac:dyDescent="0.15">
      <c r="A40" s="172">
        <v>17</v>
      </c>
      <c r="B40" s="173" t="s">
        <v>233</v>
      </c>
      <c r="C40" s="174" t="s">
        <v>362</v>
      </c>
      <c r="D40" s="291">
        <v>8</v>
      </c>
      <c r="E40" s="291">
        <v>6</v>
      </c>
      <c r="F40" s="291">
        <v>3</v>
      </c>
      <c r="G40" s="291">
        <v>7</v>
      </c>
      <c r="H40" s="291">
        <v>0</v>
      </c>
      <c r="I40" s="291">
        <v>1</v>
      </c>
      <c r="J40" s="292">
        <v>8</v>
      </c>
      <c r="K40" s="222">
        <v>6172895</v>
      </c>
      <c r="L40" s="223">
        <v>1</v>
      </c>
      <c r="M40" s="224">
        <v>477777</v>
      </c>
      <c r="N40" s="225">
        <v>58492.5</v>
      </c>
      <c r="O40" s="226">
        <v>1</v>
      </c>
      <c r="P40" s="227">
        <v>18</v>
      </c>
      <c r="Q40" s="226">
        <v>194</v>
      </c>
      <c r="R40" s="227">
        <v>2107</v>
      </c>
      <c r="S40" s="226">
        <v>23676</v>
      </c>
      <c r="T40" s="227">
        <v>237566</v>
      </c>
      <c r="V40" s="228"/>
      <c r="X40" s="304"/>
    </row>
    <row r="41" spans="1:24" x14ac:dyDescent="0.15">
      <c r="A41" s="178"/>
      <c r="B41" s="179" t="s">
        <v>127</v>
      </c>
      <c r="C41" s="180" t="s">
        <v>363</v>
      </c>
      <c r="D41" s="289">
        <v>2</v>
      </c>
      <c r="E41" s="289">
        <v>8</v>
      </c>
      <c r="F41" s="289">
        <v>4</v>
      </c>
      <c r="G41" s="289">
        <v>6</v>
      </c>
      <c r="H41" s="289">
        <v>0</v>
      </c>
      <c r="I41" s="289">
        <v>8</v>
      </c>
      <c r="J41" s="303">
        <v>4</v>
      </c>
      <c r="K41" s="229">
        <v>14070347.5</v>
      </c>
      <c r="L41" s="230" t="s">
        <v>23</v>
      </c>
      <c r="M41" s="229" t="s">
        <v>368</v>
      </c>
      <c r="N41" s="231">
        <v>1058894.2</v>
      </c>
      <c r="O41" s="232">
        <v>5</v>
      </c>
      <c r="P41" s="233">
        <v>51</v>
      </c>
      <c r="Q41" s="232">
        <v>435</v>
      </c>
      <c r="R41" s="233">
        <v>4519</v>
      </c>
      <c r="S41" s="232">
        <v>48458</v>
      </c>
      <c r="T41" s="233">
        <v>473345</v>
      </c>
      <c r="V41" s="228"/>
      <c r="X41" s="304"/>
    </row>
    <row r="42" spans="1:24" x14ac:dyDescent="0.15">
      <c r="A42" s="172">
        <v>18</v>
      </c>
      <c r="B42" s="173" t="s">
        <v>234</v>
      </c>
      <c r="C42" s="174" t="s">
        <v>362</v>
      </c>
      <c r="D42" s="291">
        <v>5</v>
      </c>
      <c r="E42" s="291">
        <v>2</v>
      </c>
      <c r="F42" s="291">
        <v>6</v>
      </c>
      <c r="G42" s="291">
        <v>4</v>
      </c>
      <c r="H42" s="291">
        <v>7</v>
      </c>
      <c r="I42" s="291">
        <v>3</v>
      </c>
      <c r="J42" s="292">
        <v>6</v>
      </c>
      <c r="K42" s="222">
        <v>6832702.5</v>
      </c>
      <c r="L42" s="234" t="s">
        <v>23</v>
      </c>
      <c r="M42" s="224" t="s">
        <v>368</v>
      </c>
      <c r="N42" s="225">
        <v>1544699.3</v>
      </c>
      <c r="O42" s="226">
        <v>3</v>
      </c>
      <c r="P42" s="227">
        <v>21</v>
      </c>
      <c r="Q42" s="226">
        <v>265</v>
      </c>
      <c r="R42" s="227">
        <v>2593</v>
      </c>
      <c r="S42" s="226">
        <v>25349</v>
      </c>
      <c r="T42" s="227">
        <v>252222</v>
      </c>
      <c r="V42" s="228"/>
      <c r="X42" s="304"/>
    </row>
    <row r="43" spans="1:24" x14ac:dyDescent="0.15">
      <c r="A43" s="178"/>
      <c r="B43" s="179" t="s">
        <v>128</v>
      </c>
      <c r="C43" s="180" t="s">
        <v>363</v>
      </c>
      <c r="D43" s="289">
        <v>7</v>
      </c>
      <c r="E43" s="289">
        <v>8</v>
      </c>
      <c r="F43" s="289">
        <v>7</v>
      </c>
      <c r="G43" s="289">
        <v>8</v>
      </c>
      <c r="H43" s="289">
        <v>2</v>
      </c>
      <c r="I43" s="289">
        <v>9</v>
      </c>
      <c r="J43" s="303">
        <v>6</v>
      </c>
      <c r="K43" s="229">
        <v>13747760</v>
      </c>
      <c r="L43" s="237" t="s">
        <v>23</v>
      </c>
      <c r="M43" s="229" t="s">
        <v>368</v>
      </c>
      <c r="N43" s="231">
        <v>2522165</v>
      </c>
      <c r="O43" s="232">
        <v>4</v>
      </c>
      <c r="P43" s="233">
        <v>60</v>
      </c>
      <c r="Q43" s="232">
        <v>468</v>
      </c>
      <c r="R43" s="233">
        <v>4985</v>
      </c>
      <c r="S43" s="232">
        <v>49698</v>
      </c>
      <c r="T43" s="233">
        <v>512039</v>
      </c>
      <c r="V43" s="228"/>
      <c r="X43" s="304"/>
    </row>
    <row r="44" spans="1:24" x14ac:dyDescent="0.15">
      <c r="A44" s="172">
        <v>19</v>
      </c>
      <c r="B44" s="173" t="s">
        <v>235</v>
      </c>
      <c r="C44" s="174" t="s">
        <v>362</v>
      </c>
      <c r="D44" s="291">
        <v>9</v>
      </c>
      <c r="E44" s="291">
        <v>8</v>
      </c>
      <c r="F44" s="291">
        <v>6</v>
      </c>
      <c r="G44" s="291">
        <v>2</v>
      </c>
      <c r="H44" s="291">
        <v>2</v>
      </c>
      <c r="I44" s="291">
        <v>7</v>
      </c>
      <c r="J44" s="292">
        <v>7</v>
      </c>
      <c r="K44" s="222">
        <v>7252182.5</v>
      </c>
      <c r="L44" s="234" t="s">
        <v>23</v>
      </c>
      <c r="M44" s="224" t="s">
        <v>368</v>
      </c>
      <c r="N44" s="225">
        <v>3037795.2</v>
      </c>
      <c r="O44" s="226">
        <v>5</v>
      </c>
      <c r="P44" s="227">
        <v>43</v>
      </c>
      <c r="Q44" s="226">
        <v>388</v>
      </c>
      <c r="R44" s="227">
        <v>3502</v>
      </c>
      <c r="S44" s="226">
        <v>39326</v>
      </c>
      <c r="T44" s="227">
        <v>303132</v>
      </c>
      <c r="V44" s="228"/>
      <c r="X44" s="304"/>
    </row>
    <row r="45" spans="1:24" x14ac:dyDescent="0.15">
      <c r="A45" s="178"/>
      <c r="B45" s="179" t="s">
        <v>129</v>
      </c>
      <c r="C45" s="180" t="s">
        <v>363</v>
      </c>
      <c r="D45" s="289">
        <v>2</v>
      </c>
      <c r="E45" s="289">
        <v>9</v>
      </c>
      <c r="F45" s="289">
        <v>8</v>
      </c>
      <c r="G45" s="289">
        <v>1</v>
      </c>
      <c r="H45" s="289">
        <v>7</v>
      </c>
      <c r="I45" s="289">
        <v>9</v>
      </c>
      <c r="J45" s="303">
        <v>3</v>
      </c>
      <c r="K45" s="229">
        <v>16131730</v>
      </c>
      <c r="L45" s="237">
        <v>1</v>
      </c>
      <c r="M45" s="229">
        <v>4177777</v>
      </c>
      <c r="N45" s="285">
        <v>6984.2</v>
      </c>
      <c r="O45" s="232">
        <v>3</v>
      </c>
      <c r="P45" s="233">
        <v>64</v>
      </c>
      <c r="Q45" s="232">
        <v>595</v>
      </c>
      <c r="R45" s="233">
        <v>5579</v>
      </c>
      <c r="S45" s="232">
        <v>55576</v>
      </c>
      <c r="T45" s="233">
        <v>608846</v>
      </c>
      <c r="V45" s="228"/>
      <c r="X45" s="304"/>
    </row>
    <row r="46" spans="1:24" x14ac:dyDescent="0.15">
      <c r="A46" s="172">
        <v>20</v>
      </c>
      <c r="B46" s="173" t="s">
        <v>236</v>
      </c>
      <c r="C46" s="174" t="s">
        <v>362</v>
      </c>
      <c r="D46" s="291">
        <v>1</v>
      </c>
      <c r="E46" s="291">
        <v>6</v>
      </c>
      <c r="F46" s="291">
        <v>5</v>
      </c>
      <c r="G46" s="291">
        <v>9</v>
      </c>
      <c r="H46" s="291">
        <v>6</v>
      </c>
      <c r="I46" s="291">
        <v>6</v>
      </c>
      <c r="J46" s="292">
        <v>6</v>
      </c>
      <c r="K46" s="222">
        <v>5463820</v>
      </c>
      <c r="L46" s="234" t="s">
        <v>23</v>
      </c>
      <c r="M46" s="222" t="s">
        <v>368</v>
      </c>
      <c r="N46" s="225">
        <v>395461.8</v>
      </c>
      <c r="O46" s="226">
        <v>4</v>
      </c>
      <c r="P46" s="227">
        <v>27</v>
      </c>
      <c r="Q46" s="226">
        <v>330</v>
      </c>
      <c r="R46" s="227">
        <v>3713</v>
      </c>
      <c r="S46" s="226">
        <v>21984</v>
      </c>
      <c r="T46" s="227">
        <v>202810</v>
      </c>
      <c r="V46" s="228"/>
      <c r="X46" s="304"/>
    </row>
    <row r="47" spans="1:24" x14ac:dyDescent="0.15">
      <c r="A47" s="178"/>
      <c r="B47" s="179" t="s">
        <v>130</v>
      </c>
      <c r="C47" s="180" t="s">
        <v>363</v>
      </c>
      <c r="D47" s="289">
        <v>2</v>
      </c>
      <c r="E47" s="289">
        <v>2</v>
      </c>
      <c r="F47" s="289">
        <v>9</v>
      </c>
      <c r="G47" s="289">
        <v>1</v>
      </c>
      <c r="H47" s="289">
        <v>8</v>
      </c>
      <c r="I47" s="289">
        <v>8</v>
      </c>
      <c r="J47" s="303">
        <v>5</v>
      </c>
      <c r="K47" s="229">
        <v>12358405</v>
      </c>
      <c r="L47" s="230">
        <v>1</v>
      </c>
      <c r="M47" s="286">
        <v>1177777</v>
      </c>
      <c r="N47" s="231">
        <v>96367.4</v>
      </c>
      <c r="O47" s="232">
        <v>5</v>
      </c>
      <c r="P47" s="233">
        <v>48</v>
      </c>
      <c r="Q47" s="232">
        <v>516</v>
      </c>
      <c r="R47" s="233">
        <v>5036</v>
      </c>
      <c r="S47" s="232">
        <v>53802</v>
      </c>
      <c r="T47" s="233">
        <v>539577</v>
      </c>
      <c r="V47" s="228"/>
      <c r="X47" s="304"/>
    </row>
    <row r="48" spans="1:24" x14ac:dyDescent="0.15">
      <c r="A48" s="172">
        <v>21</v>
      </c>
      <c r="B48" s="173" t="s">
        <v>237</v>
      </c>
      <c r="C48" s="174" t="s">
        <v>362</v>
      </c>
      <c r="D48" s="305">
        <v>6</v>
      </c>
      <c r="E48" s="291">
        <v>0</v>
      </c>
      <c r="F48" s="291">
        <v>8</v>
      </c>
      <c r="G48" s="291">
        <v>4</v>
      </c>
      <c r="H48" s="291">
        <v>4</v>
      </c>
      <c r="I48" s="291">
        <v>5</v>
      </c>
      <c r="J48" s="292">
        <v>6</v>
      </c>
      <c r="K48" s="222">
        <v>5430037.5</v>
      </c>
      <c r="L48" s="234">
        <v>1</v>
      </c>
      <c r="M48" s="224">
        <v>477777</v>
      </c>
      <c r="N48" s="285">
        <v>4666.1000000000004</v>
      </c>
      <c r="O48" s="226" t="s">
        <v>17</v>
      </c>
      <c r="P48" s="227">
        <v>23</v>
      </c>
      <c r="Q48" s="226">
        <v>197</v>
      </c>
      <c r="R48" s="227">
        <v>2303</v>
      </c>
      <c r="S48" s="226">
        <v>21727</v>
      </c>
      <c r="T48" s="227">
        <v>205010</v>
      </c>
      <c r="V48" s="228"/>
      <c r="X48" s="304"/>
    </row>
    <row r="49" spans="1:24" x14ac:dyDescent="0.15">
      <c r="A49" s="178"/>
      <c r="B49" s="179" t="s">
        <v>131</v>
      </c>
      <c r="C49" s="180" t="s">
        <v>363</v>
      </c>
      <c r="D49" s="306">
        <v>3</v>
      </c>
      <c r="E49" s="306">
        <v>9</v>
      </c>
      <c r="F49" s="306">
        <v>1</v>
      </c>
      <c r="G49" s="306">
        <v>5</v>
      </c>
      <c r="H49" s="306">
        <v>6</v>
      </c>
      <c r="I49" s="306">
        <v>2</v>
      </c>
      <c r="J49" s="303">
        <v>1</v>
      </c>
      <c r="K49" s="229">
        <v>12348812.5</v>
      </c>
      <c r="L49" s="237">
        <v>1</v>
      </c>
      <c r="M49" s="229">
        <v>877777</v>
      </c>
      <c r="N49" s="231">
        <v>4889.7</v>
      </c>
      <c r="O49" s="232">
        <v>12</v>
      </c>
      <c r="P49" s="233">
        <v>34</v>
      </c>
      <c r="Q49" s="232">
        <v>369</v>
      </c>
      <c r="R49" s="233">
        <v>3709</v>
      </c>
      <c r="S49" s="232">
        <v>37802</v>
      </c>
      <c r="T49" s="233">
        <v>360774</v>
      </c>
      <c r="V49" s="228"/>
      <c r="X49" s="304"/>
    </row>
    <row r="50" spans="1:24" x14ac:dyDescent="0.15">
      <c r="A50" s="172">
        <v>22</v>
      </c>
      <c r="B50" s="173" t="s">
        <v>238</v>
      </c>
      <c r="C50" s="174" t="s">
        <v>362</v>
      </c>
      <c r="D50" s="291">
        <v>6</v>
      </c>
      <c r="E50" s="291">
        <v>3</v>
      </c>
      <c r="F50" s="291">
        <v>2</v>
      </c>
      <c r="G50" s="291">
        <v>0</v>
      </c>
      <c r="H50" s="291">
        <v>9</v>
      </c>
      <c r="I50" s="291">
        <v>9</v>
      </c>
      <c r="J50" s="292">
        <v>3</v>
      </c>
      <c r="K50" s="222">
        <v>5586997.5</v>
      </c>
      <c r="L50" s="234" t="s">
        <v>23</v>
      </c>
      <c r="M50" s="224" t="s">
        <v>368</v>
      </c>
      <c r="N50" s="225">
        <v>402125.2</v>
      </c>
      <c r="O50" s="226">
        <v>1</v>
      </c>
      <c r="P50" s="227">
        <v>22</v>
      </c>
      <c r="Q50" s="226">
        <v>170</v>
      </c>
      <c r="R50" s="227">
        <v>1896</v>
      </c>
      <c r="S50" s="226">
        <v>19647</v>
      </c>
      <c r="T50" s="227">
        <v>220197</v>
      </c>
      <c r="V50" s="228"/>
      <c r="X50" s="304"/>
    </row>
    <row r="51" spans="1:24" x14ac:dyDescent="0.15">
      <c r="A51" s="178"/>
      <c r="B51" s="179" t="s">
        <v>132</v>
      </c>
      <c r="C51" s="180" t="s">
        <v>363</v>
      </c>
      <c r="D51" s="289">
        <v>2</v>
      </c>
      <c r="E51" s="289">
        <v>7</v>
      </c>
      <c r="F51" s="289">
        <v>6</v>
      </c>
      <c r="G51" s="289">
        <v>3</v>
      </c>
      <c r="H51" s="289">
        <v>0</v>
      </c>
      <c r="I51" s="289">
        <v>4</v>
      </c>
      <c r="J51" s="303">
        <v>3</v>
      </c>
      <c r="K51" s="229">
        <v>12411795</v>
      </c>
      <c r="L51" s="237" t="s">
        <v>23</v>
      </c>
      <c r="M51" s="229" t="s">
        <v>368</v>
      </c>
      <c r="N51" s="231">
        <v>1284603.8</v>
      </c>
      <c r="O51" s="232">
        <v>2</v>
      </c>
      <c r="P51" s="233">
        <v>41</v>
      </c>
      <c r="Q51" s="232">
        <v>421</v>
      </c>
      <c r="R51" s="233">
        <v>4244</v>
      </c>
      <c r="S51" s="232">
        <v>45027</v>
      </c>
      <c r="T51" s="233">
        <v>461427</v>
      </c>
      <c r="V51" s="228"/>
      <c r="X51" s="304"/>
    </row>
    <row r="52" spans="1:24" x14ac:dyDescent="0.15">
      <c r="A52" s="172">
        <v>23</v>
      </c>
      <c r="B52" s="173" t="s">
        <v>239</v>
      </c>
      <c r="C52" s="174" t="s">
        <v>362</v>
      </c>
      <c r="D52" s="291">
        <v>3</v>
      </c>
      <c r="E52" s="291">
        <v>5</v>
      </c>
      <c r="F52" s="291">
        <v>0</v>
      </c>
      <c r="G52" s="291">
        <v>9</v>
      </c>
      <c r="H52" s="291">
        <v>2</v>
      </c>
      <c r="I52" s="291">
        <v>8</v>
      </c>
      <c r="J52" s="292">
        <v>0</v>
      </c>
      <c r="K52" s="222">
        <v>5279622.5</v>
      </c>
      <c r="L52" s="234" t="s">
        <v>23</v>
      </c>
      <c r="M52" s="224" t="s">
        <v>368</v>
      </c>
      <c r="N52" s="225">
        <v>1659985</v>
      </c>
      <c r="O52" s="226">
        <v>1</v>
      </c>
      <c r="P52" s="227">
        <v>12</v>
      </c>
      <c r="Q52" s="226">
        <v>149</v>
      </c>
      <c r="R52" s="227">
        <v>1421</v>
      </c>
      <c r="S52" s="226">
        <v>14414</v>
      </c>
      <c r="T52" s="227">
        <v>146975</v>
      </c>
      <c r="V52" s="228"/>
      <c r="X52" s="304"/>
    </row>
    <row r="53" spans="1:24" x14ac:dyDescent="0.15">
      <c r="A53" s="178"/>
      <c r="B53" s="179" t="s">
        <v>133</v>
      </c>
      <c r="C53" s="180" t="s">
        <v>363</v>
      </c>
      <c r="D53" s="289">
        <v>6</v>
      </c>
      <c r="E53" s="289">
        <v>1</v>
      </c>
      <c r="F53" s="289">
        <v>5</v>
      </c>
      <c r="G53" s="289">
        <v>3</v>
      </c>
      <c r="H53" s="289">
        <v>0</v>
      </c>
      <c r="I53" s="289">
        <v>2</v>
      </c>
      <c r="J53" s="303">
        <v>4</v>
      </c>
      <c r="K53" s="229">
        <v>12427747.5</v>
      </c>
      <c r="L53" s="237">
        <v>1</v>
      </c>
      <c r="M53" s="229">
        <v>2477777</v>
      </c>
      <c r="N53" s="231">
        <v>65820.800000000003</v>
      </c>
      <c r="O53" s="232">
        <v>3</v>
      </c>
      <c r="P53" s="233">
        <v>41</v>
      </c>
      <c r="Q53" s="232">
        <v>379</v>
      </c>
      <c r="R53" s="233">
        <v>3875</v>
      </c>
      <c r="S53" s="232">
        <v>43206</v>
      </c>
      <c r="T53" s="233">
        <v>415481</v>
      </c>
      <c r="V53" s="228"/>
      <c r="X53" s="304"/>
    </row>
    <row r="54" spans="1:24" x14ac:dyDescent="0.15">
      <c r="A54" s="172">
        <v>24</v>
      </c>
      <c r="B54" s="173" t="s">
        <v>240</v>
      </c>
      <c r="C54" s="174" t="s">
        <v>362</v>
      </c>
      <c r="D54" s="291">
        <v>9</v>
      </c>
      <c r="E54" s="291">
        <v>4</v>
      </c>
      <c r="F54" s="291">
        <v>5</v>
      </c>
      <c r="G54" s="291">
        <v>3</v>
      </c>
      <c r="H54" s="291">
        <v>2</v>
      </c>
      <c r="I54" s="291">
        <v>5</v>
      </c>
      <c r="J54" s="292">
        <v>4</v>
      </c>
      <c r="K54" s="222">
        <v>5454712.5</v>
      </c>
      <c r="L54" s="223" t="s">
        <v>23</v>
      </c>
      <c r="M54" s="224" t="s">
        <v>368</v>
      </c>
      <c r="N54" s="225">
        <v>453650.9</v>
      </c>
      <c r="O54" s="226">
        <v>1</v>
      </c>
      <c r="P54" s="227">
        <v>27</v>
      </c>
      <c r="Q54" s="226">
        <v>164</v>
      </c>
      <c r="R54" s="227">
        <v>1922</v>
      </c>
      <c r="S54" s="226">
        <v>19363</v>
      </c>
      <c r="T54" s="227">
        <v>182881</v>
      </c>
      <c r="V54" s="228"/>
      <c r="X54" s="304"/>
    </row>
    <row r="55" spans="1:24" x14ac:dyDescent="0.15">
      <c r="A55" s="178"/>
      <c r="B55" s="179" t="s">
        <v>134</v>
      </c>
      <c r="C55" s="180" t="s">
        <v>363</v>
      </c>
      <c r="D55" s="289">
        <v>6</v>
      </c>
      <c r="E55" s="289">
        <v>6</v>
      </c>
      <c r="F55" s="289">
        <v>6</v>
      </c>
      <c r="G55" s="289">
        <v>7</v>
      </c>
      <c r="H55" s="289">
        <v>2</v>
      </c>
      <c r="I55" s="289">
        <v>7</v>
      </c>
      <c r="J55" s="303">
        <v>9</v>
      </c>
      <c r="K55" s="229">
        <v>12224207.5</v>
      </c>
      <c r="L55" s="230">
        <v>1</v>
      </c>
      <c r="M55" s="229">
        <v>1277777</v>
      </c>
      <c r="N55" s="231">
        <v>45015.1</v>
      </c>
      <c r="O55" s="232">
        <v>5</v>
      </c>
      <c r="P55" s="233">
        <v>42</v>
      </c>
      <c r="Q55" s="232">
        <v>419</v>
      </c>
      <c r="R55" s="233">
        <v>4626</v>
      </c>
      <c r="S55" s="232">
        <v>44780</v>
      </c>
      <c r="T55" s="233">
        <v>435672</v>
      </c>
      <c r="V55" s="228"/>
      <c r="X55" s="304"/>
    </row>
    <row r="56" spans="1:24" x14ac:dyDescent="0.15">
      <c r="A56" s="172">
        <v>25</v>
      </c>
      <c r="B56" s="173" t="s">
        <v>241</v>
      </c>
      <c r="C56" s="174" t="s">
        <v>362</v>
      </c>
      <c r="D56" s="291">
        <v>9</v>
      </c>
      <c r="E56" s="291">
        <v>4</v>
      </c>
      <c r="F56" s="291">
        <v>7</v>
      </c>
      <c r="G56" s="291">
        <v>0</v>
      </c>
      <c r="H56" s="291">
        <v>5</v>
      </c>
      <c r="I56" s="291">
        <v>9</v>
      </c>
      <c r="J56" s="292">
        <v>3</v>
      </c>
      <c r="K56" s="222">
        <v>5000297.5</v>
      </c>
      <c r="L56" s="234">
        <v>1</v>
      </c>
      <c r="M56" s="224">
        <v>377777</v>
      </c>
      <c r="N56" s="225">
        <v>22759.3</v>
      </c>
      <c r="O56" s="226" t="s">
        <v>17</v>
      </c>
      <c r="P56" s="227">
        <v>16</v>
      </c>
      <c r="Q56" s="226">
        <v>177</v>
      </c>
      <c r="R56" s="227">
        <v>1817</v>
      </c>
      <c r="S56" s="226">
        <v>17827</v>
      </c>
      <c r="T56" s="227">
        <v>201289</v>
      </c>
      <c r="U56" s="240"/>
      <c r="V56" s="275"/>
      <c r="X56" s="304"/>
    </row>
    <row r="57" spans="1:24" x14ac:dyDescent="0.15">
      <c r="A57" s="178"/>
      <c r="B57" s="179" t="s">
        <v>135</v>
      </c>
      <c r="C57" s="180" t="s">
        <v>363</v>
      </c>
      <c r="D57" s="289">
        <v>6</v>
      </c>
      <c r="E57" s="289">
        <v>0</v>
      </c>
      <c r="F57" s="289">
        <v>9</v>
      </c>
      <c r="G57" s="289">
        <v>8</v>
      </c>
      <c r="H57" s="289">
        <v>9</v>
      </c>
      <c r="I57" s="289">
        <v>8</v>
      </c>
      <c r="J57" s="303">
        <v>4</v>
      </c>
      <c r="K57" s="229">
        <v>11976570</v>
      </c>
      <c r="L57" s="230">
        <v>1</v>
      </c>
      <c r="M57" s="229">
        <v>777777</v>
      </c>
      <c r="N57" s="231">
        <v>96516.4</v>
      </c>
      <c r="O57" s="232">
        <v>3</v>
      </c>
      <c r="P57" s="233">
        <v>54</v>
      </c>
      <c r="Q57" s="232">
        <v>396</v>
      </c>
      <c r="R57" s="233">
        <v>4175</v>
      </c>
      <c r="S57" s="232">
        <v>41488</v>
      </c>
      <c r="T57" s="233">
        <v>402567</v>
      </c>
      <c r="V57" s="228"/>
      <c r="X57" s="304"/>
    </row>
    <row r="58" spans="1:24" x14ac:dyDescent="0.15">
      <c r="A58" s="172">
        <v>26</v>
      </c>
      <c r="B58" s="173" t="s">
        <v>242</v>
      </c>
      <c r="C58" s="174" t="s">
        <v>362</v>
      </c>
      <c r="D58" s="291">
        <v>6</v>
      </c>
      <c r="E58" s="291">
        <v>3</v>
      </c>
      <c r="F58" s="291">
        <v>7</v>
      </c>
      <c r="G58" s="291">
        <v>9</v>
      </c>
      <c r="H58" s="291">
        <v>5</v>
      </c>
      <c r="I58" s="291">
        <v>2</v>
      </c>
      <c r="J58" s="292">
        <v>6</v>
      </c>
      <c r="K58" s="222">
        <v>5162052.5</v>
      </c>
      <c r="L58" s="223" t="s">
        <v>23</v>
      </c>
      <c r="M58" s="224" t="s">
        <v>368</v>
      </c>
      <c r="N58" s="225">
        <v>463538.3</v>
      </c>
      <c r="O58" s="226">
        <v>3</v>
      </c>
      <c r="P58" s="227">
        <v>17</v>
      </c>
      <c r="Q58" s="226">
        <v>191</v>
      </c>
      <c r="R58" s="227">
        <v>2046</v>
      </c>
      <c r="S58" s="226">
        <v>20005</v>
      </c>
      <c r="T58" s="227">
        <v>197590</v>
      </c>
      <c r="V58" s="228"/>
      <c r="X58" s="304"/>
    </row>
    <row r="59" spans="1:24" x14ac:dyDescent="0.15">
      <c r="A59" s="178"/>
      <c r="B59" s="179" t="s">
        <v>136</v>
      </c>
      <c r="C59" s="180" t="s">
        <v>363</v>
      </c>
      <c r="D59" s="307">
        <v>2</v>
      </c>
      <c r="E59" s="307">
        <v>7</v>
      </c>
      <c r="F59" s="307">
        <v>7</v>
      </c>
      <c r="G59" s="307">
        <v>0</v>
      </c>
      <c r="H59" s="307">
        <v>4</v>
      </c>
      <c r="I59" s="307">
        <v>2</v>
      </c>
      <c r="J59" s="308">
        <v>6</v>
      </c>
      <c r="K59" s="229">
        <v>12779732.5</v>
      </c>
      <c r="L59" s="230" t="s">
        <v>23</v>
      </c>
      <c r="M59" s="229" t="s">
        <v>368</v>
      </c>
      <c r="N59" s="231">
        <v>1372177.3</v>
      </c>
      <c r="O59" s="232">
        <v>6</v>
      </c>
      <c r="P59" s="233">
        <v>42</v>
      </c>
      <c r="Q59" s="232">
        <v>497</v>
      </c>
      <c r="R59" s="233">
        <v>5121</v>
      </c>
      <c r="S59" s="232">
        <v>48525</v>
      </c>
      <c r="T59" s="233">
        <v>482779</v>
      </c>
      <c r="V59" s="228"/>
      <c r="X59" s="304"/>
    </row>
    <row r="60" spans="1:24" x14ac:dyDescent="0.15">
      <c r="A60" s="45"/>
      <c r="B60" s="46"/>
      <c r="C60" s="46"/>
      <c r="D60" s="309"/>
      <c r="E60" s="309"/>
      <c r="F60" s="309"/>
      <c r="G60" s="309"/>
      <c r="H60" s="309"/>
      <c r="I60" s="309" t="s">
        <v>24</v>
      </c>
      <c r="J60" s="309"/>
      <c r="K60" s="277"/>
      <c r="L60" s="278">
        <f>SUM(L8:L59)</f>
        <v>17</v>
      </c>
      <c r="M60" s="229"/>
      <c r="N60" s="278"/>
      <c r="O60" s="278">
        <f t="shared" ref="O60:T60" si="0">SUM(O8:O59)</f>
        <v>173</v>
      </c>
      <c r="P60" s="278">
        <f t="shared" si="0"/>
        <v>1753</v>
      </c>
      <c r="Q60" s="278">
        <f t="shared" si="0"/>
        <v>17280</v>
      </c>
      <c r="R60" s="278">
        <f t="shared" si="0"/>
        <v>174215</v>
      </c>
      <c r="S60" s="278">
        <f t="shared" si="0"/>
        <v>1751560</v>
      </c>
      <c r="T60" s="272">
        <f t="shared" si="0"/>
        <v>17679923</v>
      </c>
      <c r="V60" s="228"/>
      <c r="X60" s="304"/>
    </row>
    <row r="63" spans="1:24" x14ac:dyDescent="0.15">
      <c r="K63" s="254"/>
    </row>
    <row r="64" spans="1:24" ht="12.75" x14ac:dyDescent="0.2">
      <c r="A64" s="1" t="s">
        <v>364</v>
      </c>
      <c r="T64" s="3" t="s">
        <v>443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299"/>
      <c r="E66" s="299"/>
      <c r="F66" s="299"/>
      <c r="G66" s="299"/>
      <c r="H66" s="299"/>
      <c r="I66" s="299"/>
      <c r="J66" s="30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301" t="s">
        <v>4</v>
      </c>
      <c r="E67" s="302"/>
      <c r="F67" s="302"/>
      <c r="G67" s="302"/>
      <c r="H67" s="302"/>
      <c r="I67" s="302"/>
      <c r="J67" s="290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2016</v>
      </c>
      <c r="C68" s="220" t="s">
        <v>361</v>
      </c>
      <c r="D68" s="289"/>
      <c r="E68" s="289"/>
      <c r="F68" s="289"/>
      <c r="G68" s="289"/>
      <c r="H68" s="289"/>
      <c r="I68" s="289"/>
      <c r="J68" s="290" t="s">
        <v>13</v>
      </c>
      <c r="K68" s="14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4" ht="11.1" customHeight="1" x14ac:dyDescent="0.15">
      <c r="A69" s="39"/>
      <c r="B69" s="21"/>
      <c r="C69" s="220"/>
      <c r="D69" s="289"/>
      <c r="E69" s="289"/>
      <c r="F69" s="289"/>
      <c r="G69" s="289"/>
      <c r="H69" s="289"/>
      <c r="I69" s="289"/>
      <c r="J69" s="30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 t="s">
        <v>243</v>
      </c>
      <c r="C70" s="174" t="s">
        <v>362</v>
      </c>
      <c r="D70" s="291">
        <v>8</v>
      </c>
      <c r="E70" s="291">
        <v>3</v>
      </c>
      <c r="F70" s="291">
        <v>7</v>
      </c>
      <c r="G70" s="291">
        <v>1</v>
      </c>
      <c r="H70" s="291">
        <v>5</v>
      </c>
      <c r="I70" s="291">
        <v>8</v>
      </c>
      <c r="J70" s="292">
        <v>7</v>
      </c>
      <c r="K70" s="222">
        <v>5656577.5</v>
      </c>
      <c r="L70" s="223">
        <v>1</v>
      </c>
      <c r="M70" s="224">
        <v>1677777</v>
      </c>
      <c r="N70" s="225">
        <v>96583</v>
      </c>
      <c r="O70" s="226">
        <v>2</v>
      </c>
      <c r="P70" s="227">
        <v>35</v>
      </c>
      <c r="Q70" s="226">
        <v>257</v>
      </c>
      <c r="R70" s="227">
        <v>2433</v>
      </c>
      <c r="S70" s="226">
        <v>23046</v>
      </c>
      <c r="T70" s="227">
        <v>248853</v>
      </c>
      <c r="U70" s="240"/>
      <c r="V70" s="275"/>
      <c r="X70" s="304"/>
    </row>
    <row r="71" spans="1:24" x14ac:dyDescent="0.15">
      <c r="A71" s="178"/>
      <c r="B71" s="179" t="s">
        <v>137</v>
      </c>
      <c r="C71" s="180" t="s">
        <v>363</v>
      </c>
      <c r="D71" s="289">
        <v>3</v>
      </c>
      <c r="E71" s="289">
        <v>2</v>
      </c>
      <c r="F71" s="289">
        <v>2</v>
      </c>
      <c r="G71" s="289">
        <v>3</v>
      </c>
      <c r="H71" s="289">
        <v>8</v>
      </c>
      <c r="I71" s="289">
        <v>8</v>
      </c>
      <c r="J71" s="303">
        <v>5</v>
      </c>
      <c r="K71" s="229">
        <v>13060042.5</v>
      </c>
      <c r="L71" s="230" t="s">
        <v>23</v>
      </c>
      <c r="M71" s="229" t="s">
        <v>368</v>
      </c>
      <c r="N71" s="231">
        <v>1025152</v>
      </c>
      <c r="O71" s="232">
        <v>9</v>
      </c>
      <c r="P71" s="233">
        <v>52</v>
      </c>
      <c r="Q71" s="232">
        <v>566</v>
      </c>
      <c r="R71" s="233">
        <v>5363</v>
      </c>
      <c r="S71" s="232">
        <v>56889</v>
      </c>
      <c r="T71" s="233">
        <v>567395</v>
      </c>
      <c r="V71" s="228"/>
      <c r="X71" s="304"/>
    </row>
    <row r="72" spans="1:24" x14ac:dyDescent="0.15">
      <c r="A72" s="172">
        <v>28</v>
      </c>
      <c r="B72" s="173" t="s">
        <v>244</v>
      </c>
      <c r="C72" s="174" t="s">
        <v>362</v>
      </c>
      <c r="D72" s="291">
        <v>1</v>
      </c>
      <c r="E72" s="291">
        <v>9</v>
      </c>
      <c r="F72" s="291">
        <v>7</v>
      </c>
      <c r="G72" s="291">
        <v>6</v>
      </c>
      <c r="H72" s="291">
        <v>4</v>
      </c>
      <c r="I72" s="291">
        <v>2</v>
      </c>
      <c r="J72" s="292">
        <v>0</v>
      </c>
      <c r="K72" s="222">
        <v>5915522.5</v>
      </c>
      <c r="L72" s="223" t="s">
        <v>23</v>
      </c>
      <c r="M72" s="224" t="s">
        <v>368</v>
      </c>
      <c r="N72" s="225">
        <v>1445745.6</v>
      </c>
      <c r="O72" s="226">
        <v>1</v>
      </c>
      <c r="P72" s="227">
        <v>14</v>
      </c>
      <c r="Q72" s="226">
        <v>146</v>
      </c>
      <c r="R72" s="227">
        <v>1464</v>
      </c>
      <c r="S72" s="226">
        <v>15211</v>
      </c>
      <c r="T72" s="227">
        <v>163820</v>
      </c>
      <c r="V72" s="228"/>
      <c r="X72" s="304"/>
    </row>
    <row r="73" spans="1:24" x14ac:dyDescent="0.15">
      <c r="A73" s="178"/>
      <c r="B73" s="179" t="s">
        <v>138</v>
      </c>
      <c r="C73" s="180" t="s">
        <v>363</v>
      </c>
      <c r="D73" s="289">
        <v>1</v>
      </c>
      <c r="E73" s="289">
        <v>9</v>
      </c>
      <c r="F73" s="289">
        <v>9</v>
      </c>
      <c r="G73" s="289">
        <v>5</v>
      </c>
      <c r="H73" s="289">
        <v>8</v>
      </c>
      <c r="I73" s="289">
        <v>3</v>
      </c>
      <c r="J73" s="303">
        <v>7</v>
      </c>
      <c r="K73" s="229">
        <v>13508767.5</v>
      </c>
      <c r="L73" s="237" t="s">
        <v>23</v>
      </c>
      <c r="M73" s="229" t="s">
        <v>368</v>
      </c>
      <c r="N73" s="231">
        <v>2406219</v>
      </c>
      <c r="O73" s="232">
        <v>2</v>
      </c>
      <c r="P73" s="233">
        <v>63</v>
      </c>
      <c r="Q73" s="232">
        <v>546</v>
      </c>
      <c r="R73" s="233">
        <v>5669</v>
      </c>
      <c r="S73" s="232">
        <v>56476</v>
      </c>
      <c r="T73" s="233">
        <v>582852</v>
      </c>
      <c r="V73" s="228"/>
      <c r="X73" s="304"/>
    </row>
    <row r="74" spans="1:24" x14ac:dyDescent="0.15">
      <c r="A74" s="172">
        <v>29</v>
      </c>
      <c r="B74" s="173" t="s">
        <v>245</v>
      </c>
      <c r="C74" s="174" t="s">
        <v>362</v>
      </c>
      <c r="D74" s="291">
        <v>8</v>
      </c>
      <c r="E74" s="291">
        <v>6</v>
      </c>
      <c r="F74" s="291">
        <v>7</v>
      </c>
      <c r="G74" s="291">
        <v>1</v>
      </c>
      <c r="H74" s="291">
        <v>6</v>
      </c>
      <c r="I74" s="291">
        <v>3</v>
      </c>
      <c r="J74" s="292">
        <v>1</v>
      </c>
      <c r="K74" s="222">
        <v>6215245</v>
      </c>
      <c r="L74" s="223">
        <v>1</v>
      </c>
      <c r="M74" s="224">
        <v>2777777</v>
      </c>
      <c r="N74" s="225">
        <v>70345.899999999994</v>
      </c>
      <c r="O74" s="226">
        <v>1</v>
      </c>
      <c r="P74" s="227">
        <v>18</v>
      </c>
      <c r="Q74" s="226">
        <v>201</v>
      </c>
      <c r="R74" s="227">
        <v>1865</v>
      </c>
      <c r="S74" s="226">
        <v>18926</v>
      </c>
      <c r="T74" s="227">
        <v>185110</v>
      </c>
      <c r="V74" s="228"/>
      <c r="X74" s="304"/>
    </row>
    <row r="75" spans="1:24" x14ac:dyDescent="0.15">
      <c r="A75" s="178"/>
      <c r="B75" s="179" t="s">
        <v>139</v>
      </c>
      <c r="C75" s="180" t="s">
        <v>363</v>
      </c>
      <c r="D75" s="289">
        <v>8</v>
      </c>
      <c r="E75" s="289">
        <v>9</v>
      </c>
      <c r="F75" s="289">
        <v>7</v>
      </c>
      <c r="G75" s="289">
        <v>6</v>
      </c>
      <c r="H75" s="289">
        <v>5</v>
      </c>
      <c r="I75" s="289">
        <v>2</v>
      </c>
      <c r="J75" s="303">
        <v>2</v>
      </c>
      <c r="K75" s="229">
        <v>13853545</v>
      </c>
      <c r="L75" s="230" t="s">
        <v>23</v>
      </c>
      <c r="M75" s="229" t="s">
        <v>368</v>
      </c>
      <c r="N75" s="231">
        <v>1055332.8999999999</v>
      </c>
      <c r="O75" s="232">
        <v>5</v>
      </c>
      <c r="P75" s="233">
        <v>49</v>
      </c>
      <c r="Q75" s="232">
        <v>427</v>
      </c>
      <c r="R75" s="233">
        <v>4578</v>
      </c>
      <c r="S75" s="232">
        <v>45047</v>
      </c>
      <c r="T75" s="233">
        <v>447520</v>
      </c>
      <c r="V75" s="228"/>
      <c r="X75" s="304"/>
    </row>
    <row r="76" spans="1:24" x14ac:dyDescent="0.15">
      <c r="A76" s="172">
        <v>30</v>
      </c>
      <c r="B76" s="173" t="s">
        <v>246</v>
      </c>
      <c r="C76" s="174" t="s">
        <v>362</v>
      </c>
      <c r="D76" s="291">
        <v>1</v>
      </c>
      <c r="E76" s="291">
        <v>3</v>
      </c>
      <c r="F76" s="291">
        <v>1</v>
      </c>
      <c r="G76" s="291">
        <v>7</v>
      </c>
      <c r="H76" s="291">
        <v>2</v>
      </c>
      <c r="I76" s="291">
        <v>4</v>
      </c>
      <c r="J76" s="292">
        <v>9</v>
      </c>
      <c r="K76" s="222">
        <v>6549885</v>
      </c>
      <c r="L76" s="223" t="s">
        <v>23</v>
      </c>
      <c r="M76" s="224" t="s">
        <v>368</v>
      </c>
      <c r="N76" s="225">
        <v>1521029.7</v>
      </c>
      <c r="O76" s="226">
        <v>1</v>
      </c>
      <c r="P76" s="227">
        <v>21</v>
      </c>
      <c r="Q76" s="226">
        <v>200</v>
      </c>
      <c r="R76" s="227">
        <v>2331</v>
      </c>
      <c r="S76" s="226">
        <v>22204</v>
      </c>
      <c r="T76" s="227">
        <v>221876</v>
      </c>
      <c r="V76" s="228"/>
      <c r="X76" s="304"/>
    </row>
    <row r="77" spans="1:24" x14ac:dyDescent="0.15">
      <c r="A77" s="178"/>
      <c r="B77" s="179" t="s">
        <v>140</v>
      </c>
      <c r="C77" s="180" t="s">
        <v>363</v>
      </c>
      <c r="D77" s="289">
        <v>6</v>
      </c>
      <c r="E77" s="289">
        <v>5</v>
      </c>
      <c r="F77" s="289">
        <v>0</v>
      </c>
      <c r="G77" s="289">
        <v>2</v>
      </c>
      <c r="H77" s="289">
        <v>0</v>
      </c>
      <c r="I77" s="289">
        <v>3</v>
      </c>
      <c r="J77" s="303">
        <v>2</v>
      </c>
      <c r="K77" s="229">
        <v>14875950</v>
      </c>
      <c r="L77" s="230">
        <v>3</v>
      </c>
      <c r="M77" s="229">
        <v>777777</v>
      </c>
      <c r="N77" s="231">
        <v>245378.7</v>
      </c>
      <c r="O77" s="232">
        <v>6</v>
      </c>
      <c r="P77" s="233">
        <v>44</v>
      </c>
      <c r="Q77" s="232">
        <v>453</v>
      </c>
      <c r="R77" s="233">
        <v>4628</v>
      </c>
      <c r="S77" s="232">
        <v>49028</v>
      </c>
      <c r="T77" s="233">
        <v>483146</v>
      </c>
      <c r="V77" s="228"/>
      <c r="X77" s="304"/>
    </row>
    <row r="78" spans="1:24" x14ac:dyDescent="0.15">
      <c r="A78" s="172">
        <v>31</v>
      </c>
      <c r="B78" s="173" t="s">
        <v>247</v>
      </c>
      <c r="C78" s="174" t="s">
        <v>362</v>
      </c>
      <c r="D78" s="291">
        <v>5</v>
      </c>
      <c r="E78" s="291">
        <v>9</v>
      </c>
      <c r="F78" s="291">
        <v>1</v>
      </c>
      <c r="G78" s="291">
        <v>5</v>
      </c>
      <c r="H78" s="291">
        <v>6</v>
      </c>
      <c r="I78" s="291">
        <v>1</v>
      </c>
      <c r="J78" s="292">
        <v>4</v>
      </c>
      <c r="K78" s="222">
        <v>5426092.5</v>
      </c>
      <c r="L78" s="223" t="s">
        <v>23</v>
      </c>
      <c r="M78" s="224" t="s">
        <v>368</v>
      </c>
      <c r="N78" s="225">
        <v>631173.9</v>
      </c>
      <c r="O78" s="226" t="s">
        <v>17</v>
      </c>
      <c r="P78" s="227">
        <v>14</v>
      </c>
      <c r="Q78" s="226">
        <v>209</v>
      </c>
      <c r="R78" s="227">
        <v>1871</v>
      </c>
      <c r="S78" s="226">
        <v>18429</v>
      </c>
      <c r="T78" s="227">
        <v>183685</v>
      </c>
      <c r="V78" s="228"/>
      <c r="X78" s="304"/>
    </row>
    <row r="79" spans="1:24" x14ac:dyDescent="0.15">
      <c r="A79" s="178"/>
      <c r="B79" s="179" t="s">
        <v>141</v>
      </c>
      <c r="C79" s="180" t="s">
        <v>363</v>
      </c>
      <c r="D79" s="289">
        <v>5</v>
      </c>
      <c r="E79" s="289">
        <v>8</v>
      </c>
      <c r="F79" s="289">
        <v>5</v>
      </c>
      <c r="G79" s="289">
        <v>5</v>
      </c>
      <c r="H79" s="289">
        <v>9</v>
      </c>
      <c r="I79" s="289">
        <v>6</v>
      </c>
      <c r="J79" s="303">
        <v>8</v>
      </c>
      <c r="K79" s="229">
        <v>12454940</v>
      </c>
      <c r="L79" s="230">
        <v>1</v>
      </c>
      <c r="M79" s="229">
        <v>1477777</v>
      </c>
      <c r="N79" s="231">
        <v>38943.1</v>
      </c>
      <c r="O79" s="232">
        <v>4</v>
      </c>
      <c r="P79" s="233">
        <v>60</v>
      </c>
      <c r="Q79" s="232">
        <v>469</v>
      </c>
      <c r="R79" s="233">
        <v>5492</v>
      </c>
      <c r="S79" s="232">
        <v>51400</v>
      </c>
      <c r="T79" s="233">
        <v>488362</v>
      </c>
      <c r="V79" s="228"/>
      <c r="X79" s="304"/>
    </row>
    <row r="80" spans="1:24" x14ac:dyDescent="0.15">
      <c r="A80" s="172">
        <v>32</v>
      </c>
      <c r="B80" s="173" t="s">
        <v>248</v>
      </c>
      <c r="C80" s="174" t="s">
        <v>362</v>
      </c>
      <c r="D80" s="291">
        <v>6</v>
      </c>
      <c r="E80" s="291">
        <v>6</v>
      </c>
      <c r="F80" s="291">
        <v>8</v>
      </c>
      <c r="G80" s="291">
        <v>4</v>
      </c>
      <c r="H80" s="291">
        <v>7</v>
      </c>
      <c r="I80" s="291">
        <v>6</v>
      </c>
      <c r="J80" s="292">
        <v>8</v>
      </c>
      <c r="K80" s="222">
        <v>5388152.5</v>
      </c>
      <c r="L80" s="234" t="s">
        <v>23</v>
      </c>
      <c r="M80" s="224" t="s">
        <v>368</v>
      </c>
      <c r="N80" s="225">
        <v>422040.7</v>
      </c>
      <c r="O80" s="236">
        <v>1</v>
      </c>
      <c r="P80" s="227">
        <v>17</v>
      </c>
      <c r="Q80" s="226">
        <v>198</v>
      </c>
      <c r="R80" s="227">
        <v>2123</v>
      </c>
      <c r="S80" s="226">
        <v>21398</v>
      </c>
      <c r="T80" s="227">
        <v>205059</v>
      </c>
      <c r="V80" s="228"/>
      <c r="X80" s="304"/>
    </row>
    <row r="81" spans="1:24" x14ac:dyDescent="0.15">
      <c r="A81" s="178"/>
      <c r="B81" s="179" t="s">
        <v>142</v>
      </c>
      <c r="C81" s="180" t="s">
        <v>363</v>
      </c>
      <c r="D81" s="289">
        <v>3</v>
      </c>
      <c r="E81" s="289">
        <v>8</v>
      </c>
      <c r="F81" s="289">
        <v>6</v>
      </c>
      <c r="G81" s="289">
        <v>5</v>
      </c>
      <c r="H81" s="289">
        <v>7</v>
      </c>
      <c r="I81" s="289">
        <v>4</v>
      </c>
      <c r="J81" s="303">
        <v>4</v>
      </c>
      <c r="K81" s="229">
        <v>12571440</v>
      </c>
      <c r="L81" s="230" t="s">
        <v>23</v>
      </c>
      <c r="M81" s="229" t="s">
        <v>368</v>
      </c>
      <c r="N81" s="231">
        <v>1315870.1000000001</v>
      </c>
      <c r="O81" s="232">
        <v>3</v>
      </c>
      <c r="P81" s="233">
        <v>49</v>
      </c>
      <c r="Q81" s="232">
        <v>417</v>
      </c>
      <c r="R81" s="233">
        <v>4209</v>
      </c>
      <c r="S81" s="232">
        <v>43315</v>
      </c>
      <c r="T81" s="233">
        <v>424532</v>
      </c>
      <c r="V81" s="228"/>
      <c r="X81" s="304"/>
    </row>
    <row r="82" spans="1:24" x14ac:dyDescent="0.15">
      <c r="A82" s="172">
        <v>33</v>
      </c>
      <c r="B82" s="173" t="s">
        <v>249</v>
      </c>
      <c r="C82" s="174" t="s">
        <v>362</v>
      </c>
      <c r="D82" s="291">
        <v>8</v>
      </c>
      <c r="E82" s="291">
        <v>9</v>
      </c>
      <c r="F82" s="291">
        <v>1</v>
      </c>
      <c r="G82" s="291">
        <v>0</v>
      </c>
      <c r="H82" s="291">
        <v>2</v>
      </c>
      <c r="I82" s="291">
        <v>2</v>
      </c>
      <c r="J82" s="292">
        <v>7</v>
      </c>
      <c r="K82" s="222">
        <v>5546700</v>
      </c>
      <c r="L82" s="223" t="s">
        <v>23</v>
      </c>
      <c r="M82" s="279" t="s">
        <v>368</v>
      </c>
      <c r="N82" s="225">
        <v>1710240.5</v>
      </c>
      <c r="O82" s="226">
        <v>2</v>
      </c>
      <c r="P82" s="227">
        <v>25</v>
      </c>
      <c r="Q82" s="226">
        <v>246</v>
      </c>
      <c r="R82" s="227">
        <v>2330</v>
      </c>
      <c r="S82" s="226">
        <v>24317</v>
      </c>
      <c r="T82" s="227">
        <v>245382</v>
      </c>
      <c r="V82" s="228"/>
      <c r="X82" s="304"/>
    </row>
    <row r="83" spans="1:24" x14ac:dyDescent="0.15">
      <c r="A83" s="178"/>
      <c r="B83" s="179" t="s">
        <v>143</v>
      </c>
      <c r="C83" s="180" t="s">
        <v>363</v>
      </c>
      <c r="D83" s="289">
        <v>6</v>
      </c>
      <c r="E83" s="289">
        <v>0</v>
      </c>
      <c r="F83" s="289">
        <v>5</v>
      </c>
      <c r="G83" s="289">
        <v>4</v>
      </c>
      <c r="H83" s="289">
        <v>2</v>
      </c>
      <c r="I83" s="289">
        <v>7</v>
      </c>
      <c r="J83" s="303">
        <v>3</v>
      </c>
      <c r="K83" s="229">
        <v>12813735</v>
      </c>
      <c r="L83" s="230">
        <v>1</v>
      </c>
      <c r="M83" s="229">
        <v>2577777</v>
      </c>
      <c r="N83" s="231">
        <v>43520.1</v>
      </c>
      <c r="O83" s="232">
        <v>8</v>
      </c>
      <c r="P83" s="233">
        <v>47</v>
      </c>
      <c r="Q83" s="232">
        <v>501</v>
      </c>
      <c r="R83" s="233">
        <v>4800</v>
      </c>
      <c r="S83" s="232">
        <v>49015</v>
      </c>
      <c r="T83" s="233">
        <v>482818</v>
      </c>
      <c r="V83" s="228"/>
      <c r="X83" s="304"/>
    </row>
    <row r="84" spans="1:24" x14ac:dyDescent="0.15">
      <c r="A84" s="172">
        <v>34</v>
      </c>
      <c r="B84" s="173" t="s">
        <v>250</v>
      </c>
      <c r="C84" s="174" t="s">
        <v>362</v>
      </c>
      <c r="D84" s="291">
        <v>9</v>
      </c>
      <c r="E84" s="291">
        <v>9</v>
      </c>
      <c r="F84" s="291">
        <v>3</v>
      </c>
      <c r="G84" s="291">
        <v>2</v>
      </c>
      <c r="H84" s="291">
        <v>6</v>
      </c>
      <c r="I84" s="291">
        <v>4</v>
      </c>
      <c r="J84" s="292">
        <v>6</v>
      </c>
      <c r="K84" s="222">
        <v>5691957.5</v>
      </c>
      <c r="L84" s="223" t="s">
        <v>23</v>
      </c>
      <c r="M84" s="224" t="s">
        <v>368</v>
      </c>
      <c r="N84" s="225">
        <v>448218.3</v>
      </c>
      <c r="O84" s="226">
        <v>3</v>
      </c>
      <c r="P84" s="227">
        <v>21</v>
      </c>
      <c r="Q84" s="226">
        <v>210</v>
      </c>
      <c r="R84" s="227">
        <v>2214</v>
      </c>
      <c r="S84" s="226">
        <v>22268</v>
      </c>
      <c r="T84" s="227">
        <v>217781</v>
      </c>
      <c r="V84" s="228"/>
      <c r="X84" s="304"/>
    </row>
    <row r="85" spans="1:24" x14ac:dyDescent="0.15">
      <c r="A85" s="178"/>
      <c r="B85" s="179" t="s">
        <v>144</v>
      </c>
      <c r="C85" s="180" t="s">
        <v>363</v>
      </c>
      <c r="D85" s="289">
        <v>0</v>
      </c>
      <c r="E85" s="289">
        <v>6</v>
      </c>
      <c r="F85" s="289">
        <v>8</v>
      </c>
      <c r="G85" s="289">
        <v>1</v>
      </c>
      <c r="H85" s="289">
        <v>5</v>
      </c>
      <c r="I85" s="289">
        <v>0</v>
      </c>
      <c r="J85" s="303">
        <v>2</v>
      </c>
      <c r="K85" s="229">
        <v>12889435</v>
      </c>
      <c r="L85" s="230">
        <v>1</v>
      </c>
      <c r="M85" s="229">
        <v>1277777</v>
      </c>
      <c r="N85" s="231">
        <v>86880.1</v>
      </c>
      <c r="O85" s="232">
        <v>2</v>
      </c>
      <c r="P85" s="233">
        <v>45</v>
      </c>
      <c r="Q85" s="232">
        <v>388</v>
      </c>
      <c r="R85" s="233">
        <v>3895</v>
      </c>
      <c r="S85" s="232">
        <v>36620</v>
      </c>
      <c r="T85" s="233">
        <v>423584</v>
      </c>
      <c r="V85" s="228"/>
      <c r="X85" s="304"/>
    </row>
    <row r="86" spans="1:24" x14ac:dyDescent="0.15">
      <c r="A86" s="172">
        <v>35</v>
      </c>
      <c r="B86" s="173" t="s">
        <v>251</v>
      </c>
      <c r="C86" s="174" t="s">
        <v>362</v>
      </c>
      <c r="D86" s="291">
        <v>9</v>
      </c>
      <c r="E86" s="291">
        <v>3</v>
      </c>
      <c r="F86" s="291">
        <v>8</v>
      </c>
      <c r="G86" s="291">
        <v>0</v>
      </c>
      <c r="H86" s="291">
        <v>2</v>
      </c>
      <c r="I86" s="291">
        <v>1</v>
      </c>
      <c r="J86" s="292">
        <v>0</v>
      </c>
      <c r="K86" s="222">
        <v>6159835</v>
      </c>
      <c r="L86" s="223" t="s">
        <v>23</v>
      </c>
      <c r="M86" s="224" t="s">
        <v>368</v>
      </c>
      <c r="N86" s="225">
        <v>524844.4</v>
      </c>
      <c r="O86" s="226">
        <v>3</v>
      </c>
      <c r="P86" s="227">
        <v>13</v>
      </c>
      <c r="Q86" s="226">
        <v>169</v>
      </c>
      <c r="R86" s="227">
        <v>1772</v>
      </c>
      <c r="S86" s="226">
        <v>16839</v>
      </c>
      <c r="T86" s="227">
        <v>171604</v>
      </c>
      <c r="V86" s="228"/>
      <c r="X86" s="304"/>
    </row>
    <row r="87" spans="1:24" x14ac:dyDescent="0.15">
      <c r="A87" s="178"/>
      <c r="B87" s="179" t="s">
        <v>145</v>
      </c>
      <c r="C87" s="180" t="s">
        <v>363</v>
      </c>
      <c r="D87" s="289">
        <v>6</v>
      </c>
      <c r="E87" s="289">
        <v>8</v>
      </c>
      <c r="F87" s="289">
        <v>9</v>
      </c>
      <c r="G87" s="289">
        <v>2</v>
      </c>
      <c r="H87" s="289">
        <v>5</v>
      </c>
      <c r="I87" s="289">
        <v>4</v>
      </c>
      <c r="J87" s="303">
        <v>7</v>
      </c>
      <c r="K87" s="229">
        <v>13812632.5</v>
      </c>
      <c r="L87" s="230">
        <v>1</v>
      </c>
      <c r="M87" s="229">
        <v>1477777</v>
      </c>
      <c r="N87" s="231">
        <v>29145.599999999999</v>
      </c>
      <c r="O87" s="232">
        <v>10</v>
      </c>
      <c r="P87" s="233">
        <v>55</v>
      </c>
      <c r="Q87" s="232">
        <v>648</v>
      </c>
      <c r="R87" s="233">
        <v>6129</v>
      </c>
      <c r="S87" s="232">
        <v>60279</v>
      </c>
      <c r="T87" s="233">
        <v>595528</v>
      </c>
      <c r="V87" s="228"/>
      <c r="X87" s="304"/>
    </row>
    <row r="88" spans="1:24" x14ac:dyDescent="0.15">
      <c r="A88" s="172">
        <v>36</v>
      </c>
      <c r="B88" s="173" t="s">
        <v>252</v>
      </c>
      <c r="C88" s="174" t="s">
        <v>362</v>
      </c>
      <c r="D88" s="291">
        <v>0</v>
      </c>
      <c r="E88" s="291">
        <v>9</v>
      </c>
      <c r="F88" s="291">
        <v>2</v>
      </c>
      <c r="G88" s="291">
        <v>7</v>
      </c>
      <c r="H88" s="291">
        <v>0</v>
      </c>
      <c r="I88" s="291">
        <v>0</v>
      </c>
      <c r="J88" s="292">
        <v>3</v>
      </c>
      <c r="K88" s="222">
        <v>6498075</v>
      </c>
      <c r="L88" s="234">
        <v>1</v>
      </c>
      <c r="M88" s="224">
        <v>477777</v>
      </c>
      <c r="N88" s="225">
        <v>13381.7</v>
      </c>
      <c r="O88" s="226">
        <v>1</v>
      </c>
      <c r="P88" s="227">
        <v>21</v>
      </c>
      <c r="Q88" s="226">
        <v>176</v>
      </c>
      <c r="R88" s="227">
        <v>1976</v>
      </c>
      <c r="S88" s="226">
        <v>21543</v>
      </c>
      <c r="T88" s="227">
        <v>258667</v>
      </c>
      <c r="V88" s="228"/>
      <c r="X88" s="304"/>
    </row>
    <row r="89" spans="1:24" x14ac:dyDescent="0.15">
      <c r="A89" s="178"/>
      <c r="B89" s="179" t="s">
        <v>146</v>
      </c>
      <c r="C89" s="180" t="s">
        <v>363</v>
      </c>
      <c r="D89" s="289">
        <v>1</v>
      </c>
      <c r="E89" s="289">
        <v>4</v>
      </c>
      <c r="F89" s="289">
        <v>9</v>
      </c>
      <c r="G89" s="289">
        <v>3</v>
      </c>
      <c r="H89" s="289">
        <v>6</v>
      </c>
      <c r="I89" s="289">
        <v>8</v>
      </c>
      <c r="J89" s="303">
        <v>1</v>
      </c>
      <c r="K89" s="229">
        <v>14141017.5</v>
      </c>
      <c r="L89" s="237" t="s">
        <v>23</v>
      </c>
      <c r="M89" s="229" t="s">
        <v>368</v>
      </c>
      <c r="N89" s="231">
        <v>1018808</v>
      </c>
      <c r="O89" s="232">
        <v>5</v>
      </c>
      <c r="P89" s="233">
        <v>41</v>
      </c>
      <c r="Q89" s="232">
        <v>444</v>
      </c>
      <c r="R89" s="233">
        <v>4342</v>
      </c>
      <c r="S89" s="232">
        <v>41916</v>
      </c>
      <c r="T89" s="233">
        <v>420034</v>
      </c>
      <c r="V89" s="228"/>
      <c r="X89" s="304"/>
    </row>
    <row r="90" spans="1:24" x14ac:dyDescent="0.15">
      <c r="A90" s="172">
        <v>37</v>
      </c>
      <c r="B90" s="173" t="s">
        <v>253</v>
      </c>
      <c r="C90" s="174" t="s">
        <v>362</v>
      </c>
      <c r="D90" s="291">
        <v>8</v>
      </c>
      <c r="E90" s="291">
        <v>2</v>
      </c>
      <c r="F90" s="291">
        <v>6</v>
      </c>
      <c r="G90" s="291">
        <v>0</v>
      </c>
      <c r="H90" s="291">
        <v>1</v>
      </c>
      <c r="I90" s="291">
        <v>7</v>
      </c>
      <c r="J90" s="292">
        <v>0</v>
      </c>
      <c r="K90" s="222">
        <v>7788737.5</v>
      </c>
      <c r="L90" s="234" t="s">
        <v>23</v>
      </c>
      <c r="M90" s="224" t="s">
        <v>368</v>
      </c>
      <c r="N90" s="225">
        <v>1572587.2</v>
      </c>
      <c r="O90" s="226">
        <v>2</v>
      </c>
      <c r="P90" s="227">
        <v>16</v>
      </c>
      <c r="Q90" s="226">
        <v>240</v>
      </c>
      <c r="R90" s="227">
        <v>2153</v>
      </c>
      <c r="S90" s="226">
        <v>21400</v>
      </c>
      <c r="T90" s="227">
        <v>218526</v>
      </c>
      <c r="V90" s="228"/>
      <c r="X90" s="304"/>
    </row>
    <row r="91" spans="1:24" x14ac:dyDescent="0.15">
      <c r="A91" s="178"/>
      <c r="B91" s="179" t="s">
        <v>147</v>
      </c>
      <c r="C91" s="180" t="s">
        <v>363</v>
      </c>
      <c r="D91" s="289">
        <v>7</v>
      </c>
      <c r="E91" s="289">
        <v>9</v>
      </c>
      <c r="F91" s="289">
        <v>1</v>
      </c>
      <c r="G91" s="289">
        <v>8</v>
      </c>
      <c r="H91" s="289">
        <v>6</v>
      </c>
      <c r="I91" s="289">
        <v>8</v>
      </c>
      <c r="J91" s="303">
        <v>3</v>
      </c>
      <c r="K91" s="229">
        <v>13166575</v>
      </c>
      <c r="L91" s="230" t="s">
        <v>23</v>
      </c>
      <c r="M91" s="229" t="s">
        <v>368</v>
      </c>
      <c r="N91" s="231">
        <v>2508730.7000000002</v>
      </c>
      <c r="O91" s="232">
        <v>6</v>
      </c>
      <c r="P91" s="233">
        <v>53</v>
      </c>
      <c r="Q91" s="232">
        <v>471</v>
      </c>
      <c r="R91" s="233">
        <v>5173</v>
      </c>
      <c r="S91" s="232">
        <v>50273</v>
      </c>
      <c r="T91" s="233">
        <v>493487</v>
      </c>
      <c r="V91" s="228"/>
      <c r="X91" s="304"/>
    </row>
    <row r="92" spans="1:24" x14ac:dyDescent="0.15">
      <c r="A92" s="172">
        <v>38</v>
      </c>
      <c r="B92" s="173" t="s">
        <v>254</v>
      </c>
      <c r="C92" s="174" t="s">
        <v>362</v>
      </c>
      <c r="D92" s="291">
        <v>8</v>
      </c>
      <c r="E92" s="291">
        <v>7</v>
      </c>
      <c r="F92" s="291">
        <v>2</v>
      </c>
      <c r="G92" s="291">
        <v>3</v>
      </c>
      <c r="H92" s="291">
        <v>9</v>
      </c>
      <c r="I92" s="291">
        <v>0</v>
      </c>
      <c r="J92" s="292">
        <v>4</v>
      </c>
      <c r="K92" s="222">
        <v>5365637.5</v>
      </c>
      <c r="L92" s="223">
        <v>1</v>
      </c>
      <c r="M92" s="224">
        <v>2877777</v>
      </c>
      <c r="N92" s="225">
        <v>12450.5</v>
      </c>
      <c r="O92" s="226" t="s">
        <v>17</v>
      </c>
      <c r="P92" s="226">
        <v>16</v>
      </c>
      <c r="Q92" s="227">
        <v>165</v>
      </c>
      <c r="R92" s="226">
        <v>1630</v>
      </c>
      <c r="S92" s="227">
        <v>16732</v>
      </c>
      <c r="T92" s="226">
        <v>184634</v>
      </c>
      <c r="V92" s="228"/>
      <c r="X92" s="304"/>
    </row>
    <row r="93" spans="1:24" x14ac:dyDescent="0.15">
      <c r="A93" s="178"/>
      <c r="B93" s="179" t="s">
        <v>148</v>
      </c>
      <c r="C93" s="180" t="s">
        <v>363</v>
      </c>
      <c r="D93" s="289">
        <v>9</v>
      </c>
      <c r="E93" s="289">
        <v>2</v>
      </c>
      <c r="F93" s="289">
        <v>9</v>
      </c>
      <c r="G93" s="289">
        <v>8</v>
      </c>
      <c r="H93" s="289">
        <v>3</v>
      </c>
      <c r="I93" s="289">
        <v>2</v>
      </c>
      <c r="J93" s="303">
        <v>9</v>
      </c>
      <c r="K93" s="229">
        <v>12899002.5</v>
      </c>
      <c r="L93" s="237" t="s">
        <v>23</v>
      </c>
      <c r="M93" s="229" t="s">
        <v>368</v>
      </c>
      <c r="N93" s="231">
        <v>929569.6</v>
      </c>
      <c r="O93" s="232">
        <v>4</v>
      </c>
      <c r="P93" s="232">
        <v>58</v>
      </c>
      <c r="Q93" s="233">
        <v>450</v>
      </c>
      <c r="R93" s="232">
        <v>4656</v>
      </c>
      <c r="S93" s="233">
        <v>45704</v>
      </c>
      <c r="T93" s="232">
        <v>454877</v>
      </c>
      <c r="V93" s="228"/>
      <c r="X93" s="304"/>
    </row>
    <row r="94" spans="1:24" x14ac:dyDescent="0.15">
      <c r="A94" s="172">
        <v>39</v>
      </c>
      <c r="B94" s="173" t="s">
        <v>255</v>
      </c>
      <c r="C94" s="174" t="s">
        <v>362</v>
      </c>
      <c r="D94" s="291">
        <v>3</v>
      </c>
      <c r="E94" s="291">
        <v>7</v>
      </c>
      <c r="F94" s="291">
        <v>9</v>
      </c>
      <c r="G94" s="291">
        <v>4</v>
      </c>
      <c r="H94" s="291">
        <v>1</v>
      </c>
      <c r="I94" s="291">
        <v>3</v>
      </c>
      <c r="J94" s="292">
        <v>4</v>
      </c>
      <c r="K94" s="222">
        <v>5145077.5</v>
      </c>
      <c r="L94" s="234" t="s">
        <v>23</v>
      </c>
      <c r="M94" s="224" t="s">
        <v>368</v>
      </c>
      <c r="N94" s="225">
        <v>1295384.6000000001</v>
      </c>
      <c r="O94" s="226">
        <v>2</v>
      </c>
      <c r="P94" s="226">
        <v>21</v>
      </c>
      <c r="Q94" s="227">
        <v>167</v>
      </c>
      <c r="R94" s="226">
        <v>1788</v>
      </c>
      <c r="S94" s="227">
        <v>16827</v>
      </c>
      <c r="T94" s="226">
        <v>173370</v>
      </c>
      <c r="V94" s="228"/>
      <c r="X94" s="304"/>
    </row>
    <row r="95" spans="1:24" x14ac:dyDescent="0.15">
      <c r="A95" s="178"/>
      <c r="B95" s="179" t="s">
        <v>149</v>
      </c>
      <c r="C95" s="180" t="s">
        <v>363</v>
      </c>
      <c r="D95" s="289">
        <v>1</v>
      </c>
      <c r="E95" s="289">
        <v>3</v>
      </c>
      <c r="F95" s="289">
        <v>2</v>
      </c>
      <c r="G95" s="289">
        <v>4</v>
      </c>
      <c r="H95" s="289">
        <v>9</v>
      </c>
      <c r="I95" s="289">
        <v>4</v>
      </c>
      <c r="J95" s="303">
        <v>5</v>
      </c>
      <c r="K95" s="229">
        <v>13259190</v>
      </c>
      <c r="L95" s="230">
        <v>1</v>
      </c>
      <c r="M95" s="229">
        <v>2177777</v>
      </c>
      <c r="N95" s="231">
        <v>60336</v>
      </c>
      <c r="O95" s="232">
        <v>6</v>
      </c>
      <c r="P95" s="233">
        <v>61</v>
      </c>
      <c r="Q95" s="232">
        <v>625</v>
      </c>
      <c r="R95" s="233">
        <v>6160</v>
      </c>
      <c r="S95" s="232">
        <v>60025</v>
      </c>
      <c r="T95" s="233">
        <v>569700</v>
      </c>
      <c r="V95" s="228"/>
      <c r="X95" s="304"/>
    </row>
    <row r="96" spans="1:24" x14ac:dyDescent="0.15">
      <c r="A96" s="172">
        <v>40</v>
      </c>
      <c r="B96" s="173" t="s">
        <v>256</v>
      </c>
      <c r="C96" s="174" t="s">
        <v>362</v>
      </c>
      <c r="D96" s="291">
        <v>7</v>
      </c>
      <c r="E96" s="291">
        <v>2</v>
      </c>
      <c r="F96" s="291">
        <v>3</v>
      </c>
      <c r="G96" s="291">
        <v>9</v>
      </c>
      <c r="H96" s="291">
        <v>6</v>
      </c>
      <c r="I96" s="291">
        <v>1</v>
      </c>
      <c r="J96" s="292">
        <v>9</v>
      </c>
      <c r="K96" s="222">
        <v>5333212.5</v>
      </c>
      <c r="L96" s="234" t="s">
        <v>23</v>
      </c>
      <c r="M96" s="224" t="s">
        <v>368</v>
      </c>
      <c r="N96" s="225">
        <v>439527.4</v>
      </c>
      <c r="O96" s="226">
        <v>2</v>
      </c>
      <c r="P96" s="226">
        <v>11</v>
      </c>
      <c r="Q96" s="227">
        <v>144</v>
      </c>
      <c r="R96" s="226">
        <v>1692</v>
      </c>
      <c r="S96" s="227">
        <v>16609</v>
      </c>
      <c r="T96" s="226">
        <v>180252</v>
      </c>
      <c r="V96" s="228"/>
      <c r="X96" s="304"/>
    </row>
    <row r="97" spans="1:24" x14ac:dyDescent="0.15">
      <c r="A97" s="178"/>
      <c r="B97" s="179" t="s">
        <v>150</v>
      </c>
      <c r="C97" s="180" t="s">
        <v>363</v>
      </c>
      <c r="D97" s="289">
        <v>5</v>
      </c>
      <c r="E97" s="289">
        <v>2</v>
      </c>
      <c r="F97" s="289">
        <v>1</v>
      </c>
      <c r="G97" s="289">
        <v>4</v>
      </c>
      <c r="H97" s="289">
        <v>7</v>
      </c>
      <c r="I97" s="289">
        <v>1</v>
      </c>
      <c r="J97" s="303">
        <v>7</v>
      </c>
      <c r="K97" s="229">
        <v>13812632.5</v>
      </c>
      <c r="L97" s="237">
        <v>2</v>
      </c>
      <c r="M97" s="229">
        <v>677777</v>
      </c>
      <c r="N97" s="231">
        <v>66051.600000000006</v>
      </c>
      <c r="O97" s="232">
        <v>10</v>
      </c>
      <c r="P97" s="233">
        <v>73</v>
      </c>
      <c r="Q97" s="232">
        <v>594</v>
      </c>
      <c r="R97" s="233">
        <v>6380</v>
      </c>
      <c r="S97" s="232">
        <v>58478</v>
      </c>
      <c r="T97" s="233">
        <v>597929</v>
      </c>
      <c r="V97" s="228"/>
      <c r="X97" s="304"/>
    </row>
    <row r="98" spans="1:24" x14ac:dyDescent="0.15">
      <c r="A98" s="172">
        <v>41</v>
      </c>
      <c r="B98" s="173" t="s">
        <v>257</v>
      </c>
      <c r="C98" s="174" t="s">
        <v>362</v>
      </c>
      <c r="D98" s="291">
        <v>6</v>
      </c>
      <c r="E98" s="291">
        <v>6</v>
      </c>
      <c r="F98" s="291">
        <v>6</v>
      </c>
      <c r="G98" s="291">
        <v>9</v>
      </c>
      <c r="H98" s="291">
        <v>8</v>
      </c>
      <c r="I98" s="291">
        <v>2</v>
      </c>
      <c r="J98" s="292">
        <v>3</v>
      </c>
      <c r="K98" s="222">
        <v>5692677.5</v>
      </c>
      <c r="L98" s="223">
        <v>2</v>
      </c>
      <c r="M98" s="224">
        <v>177777</v>
      </c>
      <c r="N98" s="225">
        <v>115247</v>
      </c>
      <c r="O98" s="226">
        <v>4</v>
      </c>
      <c r="P98" s="227">
        <v>22</v>
      </c>
      <c r="Q98" s="226">
        <v>217</v>
      </c>
      <c r="R98" s="227">
        <v>2225</v>
      </c>
      <c r="S98" s="226">
        <v>21948</v>
      </c>
      <c r="T98" s="227">
        <v>225780</v>
      </c>
      <c r="V98" s="228"/>
      <c r="X98" s="304"/>
    </row>
    <row r="99" spans="1:24" x14ac:dyDescent="0.15">
      <c r="A99" s="178"/>
      <c r="B99" s="179" t="s">
        <v>151</v>
      </c>
      <c r="C99" s="180" t="s">
        <v>363</v>
      </c>
      <c r="D99" s="289">
        <v>5</v>
      </c>
      <c r="E99" s="289">
        <v>3</v>
      </c>
      <c r="F99" s="289">
        <v>3</v>
      </c>
      <c r="G99" s="289">
        <v>9</v>
      </c>
      <c r="H99" s="289">
        <v>1</v>
      </c>
      <c r="I99" s="289">
        <v>1</v>
      </c>
      <c r="J99" s="303">
        <v>7</v>
      </c>
      <c r="K99" s="229">
        <v>14038850</v>
      </c>
      <c r="L99" s="230">
        <v>1</v>
      </c>
      <c r="M99" s="229">
        <v>1077777</v>
      </c>
      <c r="N99" s="231">
        <v>35632.199999999997</v>
      </c>
      <c r="O99" s="232">
        <v>6</v>
      </c>
      <c r="P99" s="233">
        <v>57</v>
      </c>
      <c r="Q99" s="232">
        <v>570</v>
      </c>
      <c r="R99" s="233">
        <v>5894</v>
      </c>
      <c r="S99" s="232">
        <v>60891</v>
      </c>
      <c r="T99" s="233">
        <v>608431</v>
      </c>
      <c r="V99" s="228"/>
      <c r="X99" s="304"/>
    </row>
    <row r="100" spans="1:24" x14ac:dyDescent="0.15">
      <c r="A100" s="172">
        <v>42</v>
      </c>
      <c r="B100" s="173" t="s">
        <v>258</v>
      </c>
      <c r="C100" s="174" t="s">
        <v>362</v>
      </c>
      <c r="D100" s="291">
        <v>3</v>
      </c>
      <c r="E100" s="291">
        <v>1</v>
      </c>
      <c r="F100" s="291">
        <v>3</v>
      </c>
      <c r="G100" s="291">
        <v>0</v>
      </c>
      <c r="H100" s="291">
        <v>8</v>
      </c>
      <c r="I100" s="291">
        <v>0</v>
      </c>
      <c r="J100" s="292">
        <v>9</v>
      </c>
      <c r="K100" s="222">
        <v>5215467.5</v>
      </c>
      <c r="L100" s="234">
        <v>1</v>
      </c>
      <c r="M100" s="224">
        <v>377777</v>
      </c>
      <c r="N100" s="225">
        <v>28674.9</v>
      </c>
      <c r="O100" s="226">
        <v>3</v>
      </c>
      <c r="P100" s="227">
        <v>13</v>
      </c>
      <c r="Q100" s="226">
        <v>148</v>
      </c>
      <c r="R100" s="227">
        <v>1588</v>
      </c>
      <c r="S100" s="226">
        <v>15698</v>
      </c>
      <c r="T100" s="227">
        <v>178143</v>
      </c>
      <c r="V100" s="228"/>
      <c r="X100" s="304"/>
    </row>
    <row r="101" spans="1:24" x14ac:dyDescent="0.15">
      <c r="A101" s="178"/>
      <c r="B101" s="179" t="s">
        <v>152</v>
      </c>
      <c r="C101" s="180" t="s">
        <v>363</v>
      </c>
      <c r="D101" s="289">
        <v>4</v>
      </c>
      <c r="E101" s="289">
        <v>7</v>
      </c>
      <c r="F101" s="289">
        <v>7</v>
      </c>
      <c r="G101" s="289">
        <v>4</v>
      </c>
      <c r="H101" s="289">
        <v>1</v>
      </c>
      <c r="I101" s="289">
        <v>7</v>
      </c>
      <c r="J101" s="303">
        <v>9</v>
      </c>
      <c r="K101" s="229">
        <v>12450422.5</v>
      </c>
      <c r="L101" s="237" t="s">
        <v>23</v>
      </c>
      <c r="M101" s="229" t="s">
        <v>368</v>
      </c>
      <c r="N101" s="231">
        <v>913899.9</v>
      </c>
      <c r="O101" s="232">
        <v>6</v>
      </c>
      <c r="P101" s="233">
        <v>46</v>
      </c>
      <c r="Q101" s="232">
        <v>488</v>
      </c>
      <c r="R101" s="233">
        <v>4691</v>
      </c>
      <c r="S101" s="232">
        <v>45725</v>
      </c>
      <c r="T101" s="233">
        <v>441105</v>
      </c>
      <c r="U101" s="228"/>
      <c r="V101" s="228"/>
      <c r="X101" s="304"/>
    </row>
    <row r="102" spans="1:24" x14ac:dyDescent="0.15">
      <c r="A102" s="172">
        <v>43</v>
      </c>
      <c r="B102" s="173" t="s">
        <v>259</v>
      </c>
      <c r="C102" s="174" t="s">
        <v>362</v>
      </c>
      <c r="D102" s="291">
        <v>1</v>
      </c>
      <c r="E102" s="291">
        <v>7</v>
      </c>
      <c r="F102" s="291">
        <v>3</v>
      </c>
      <c r="G102" s="291">
        <v>4</v>
      </c>
      <c r="H102" s="291">
        <v>3</v>
      </c>
      <c r="I102" s="291">
        <v>4</v>
      </c>
      <c r="J102" s="292">
        <v>2</v>
      </c>
      <c r="K102" s="222">
        <v>5240980</v>
      </c>
      <c r="L102" s="223" t="s">
        <v>23</v>
      </c>
      <c r="M102" s="224" t="s">
        <v>368</v>
      </c>
      <c r="N102" s="225">
        <v>1286533.6000000001</v>
      </c>
      <c r="O102" s="226">
        <v>3</v>
      </c>
      <c r="P102" s="227">
        <v>14</v>
      </c>
      <c r="Q102" s="226">
        <v>177</v>
      </c>
      <c r="R102" s="227">
        <v>1745</v>
      </c>
      <c r="S102" s="226">
        <v>16834</v>
      </c>
      <c r="T102" s="227">
        <v>167872</v>
      </c>
      <c r="V102" s="228"/>
      <c r="X102" s="304"/>
    </row>
    <row r="103" spans="1:24" x14ac:dyDescent="0.15">
      <c r="A103" s="178"/>
      <c r="B103" s="287" t="s">
        <v>153</v>
      </c>
      <c r="C103" s="180" t="s">
        <v>363</v>
      </c>
      <c r="D103" s="289">
        <v>0</v>
      </c>
      <c r="E103" s="289">
        <v>6</v>
      </c>
      <c r="F103" s="289">
        <v>3</v>
      </c>
      <c r="G103" s="289">
        <v>1</v>
      </c>
      <c r="H103" s="289">
        <v>3</v>
      </c>
      <c r="I103" s="289">
        <v>2</v>
      </c>
      <c r="J103" s="303">
        <v>0</v>
      </c>
      <c r="K103" s="229">
        <v>12694160</v>
      </c>
      <c r="L103" s="237" t="s">
        <v>23</v>
      </c>
      <c r="M103" s="229" t="s">
        <v>368</v>
      </c>
      <c r="N103" s="231">
        <v>2189088.4</v>
      </c>
      <c r="O103" s="232">
        <v>4</v>
      </c>
      <c r="P103" s="233">
        <v>32</v>
      </c>
      <c r="Q103" s="232">
        <v>323</v>
      </c>
      <c r="R103" s="233">
        <v>3286</v>
      </c>
      <c r="S103" s="232">
        <v>32420</v>
      </c>
      <c r="T103" s="233">
        <v>342994</v>
      </c>
      <c r="V103" s="228"/>
      <c r="X103" s="304"/>
    </row>
    <row r="104" spans="1:24" x14ac:dyDescent="0.15">
      <c r="A104" s="172">
        <v>44</v>
      </c>
      <c r="B104" s="173" t="s">
        <v>260</v>
      </c>
      <c r="C104" s="174" t="s">
        <v>362</v>
      </c>
      <c r="D104" s="291">
        <v>5</v>
      </c>
      <c r="E104" s="291">
        <v>0</v>
      </c>
      <c r="F104" s="291">
        <v>6</v>
      </c>
      <c r="G104" s="291">
        <v>4</v>
      </c>
      <c r="H104" s="291">
        <v>4</v>
      </c>
      <c r="I104" s="291">
        <v>4</v>
      </c>
      <c r="J104" s="292">
        <v>0</v>
      </c>
      <c r="K104" s="222">
        <v>5088295</v>
      </c>
      <c r="L104" s="234" t="s">
        <v>23</v>
      </c>
      <c r="M104" s="224" t="s">
        <v>368</v>
      </c>
      <c r="N104" s="225">
        <v>2550866.2000000002</v>
      </c>
      <c r="O104" s="226" t="s">
        <v>17</v>
      </c>
      <c r="P104" s="227">
        <v>14</v>
      </c>
      <c r="Q104" s="226">
        <v>140</v>
      </c>
      <c r="R104" s="227">
        <v>1443</v>
      </c>
      <c r="S104" s="226">
        <v>13520</v>
      </c>
      <c r="T104" s="227">
        <v>142362</v>
      </c>
      <c r="V104" s="228"/>
      <c r="X104" s="304"/>
    </row>
    <row r="105" spans="1:24" x14ac:dyDescent="0.15">
      <c r="A105" s="178"/>
      <c r="B105" s="179" t="s">
        <v>154</v>
      </c>
      <c r="C105" s="180" t="s">
        <v>363</v>
      </c>
      <c r="D105" s="289">
        <v>2</v>
      </c>
      <c r="E105" s="289">
        <v>2</v>
      </c>
      <c r="F105" s="289">
        <v>3</v>
      </c>
      <c r="G105" s="289">
        <v>9</v>
      </c>
      <c r="H105" s="289">
        <v>4</v>
      </c>
      <c r="I105" s="289">
        <v>2</v>
      </c>
      <c r="J105" s="303">
        <v>9</v>
      </c>
      <c r="K105" s="229">
        <v>12543680</v>
      </c>
      <c r="L105" s="237">
        <v>1</v>
      </c>
      <c r="M105" s="229">
        <v>3377777</v>
      </c>
      <c r="N105" s="231">
        <v>64944.800000000003</v>
      </c>
      <c r="O105" s="232">
        <v>3</v>
      </c>
      <c r="P105" s="232">
        <v>48</v>
      </c>
      <c r="Q105" s="233">
        <v>469</v>
      </c>
      <c r="R105" s="232">
        <v>4532</v>
      </c>
      <c r="S105" s="233">
        <v>45377</v>
      </c>
      <c r="T105" s="232">
        <v>450050</v>
      </c>
      <c r="V105" s="228"/>
      <c r="X105" s="304"/>
    </row>
    <row r="106" spans="1:24" x14ac:dyDescent="0.15">
      <c r="A106" s="172">
        <v>45</v>
      </c>
      <c r="B106" s="173" t="s">
        <v>261</v>
      </c>
      <c r="C106" s="174" t="s">
        <v>362</v>
      </c>
      <c r="D106" s="291">
        <v>5</v>
      </c>
      <c r="E106" s="291">
        <v>8</v>
      </c>
      <c r="F106" s="291">
        <v>8</v>
      </c>
      <c r="G106" s="291">
        <v>2</v>
      </c>
      <c r="H106" s="291">
        <v>4</v>
      </c>
      <c r="I106" s="291">
        <v>4</v>
      </c>
      <c r="J106" s="292">
        <v>8</v>
      </c>
      <c r="K106" s="222">
        <v>5237855</v>
      </c>
      <c r="L106" s="223" t="s">
        <v>23</v>
      </c>
      <c r="M106" s="224" t="s">
        <v>368</v>
      </c>
      <c r="N106" s="225">
        <v>437356.3</v>
      </c>
      <c r="O106" s="226">
        <v>3</v>
      </c>
      <c r="P106" s="227">
        <v>13</v>
      </c>
      <c r="Q106" s="226">
        <v>220</v>
      </c>
      <c r="R106" s="227">
        <v>1909</v>
      </c>
      <c r="S106" s="226">
        <v>20580</v>
      </c>
      <c r="T106" s="227">
        <v>195089</v>
      </c>
      <c r="V106" s="228"/>
      <c r="X106" s="304"/>
    </row>
    <row r="107" spans="1:24" x14ac:dyDescent="0.15">
      <c r="A107" s="178"/>
      <c r="B107" s="179" t="s">
        <v>155</v>
      </c>
      <c r="C107" s="180" t="s">
        <v>363</v>
      </c>
      <c r="D107" s="289">
        <v>5</v>
      </c>
      <c r="E107" s="289">
        <v>3</v>
      </c>
      <c r="F107" s="289">
        <v>7</v>
      </c>
      <c r="G107" s="289">
        <v>7</v>
      </c>
      <c r="H107" s="289">
        <v>6</v>
      </c>
      <c r="I107" s="289">
        <v>4</v>
      </c>
      <c r="J107" s="303">
        <v>7</v>
      </c>
      <c r="K107" s="229">
        <v>12600417.5</v>
      </c>
      <c r="L107" s="237" t="s">
        <v>23</v>
      </c>
      <c r="M107" s="229" t="s">
        <v>368</v>
      </c>
      <c r="N107" s="231">
        <v>1333246</v>
      </c>
      <c r="O107" s="232">
        <v>5</v>
      </c>
      <c r="P107" s="233">
        <v>57</v>
      </c>
      <c r="Q107" s="232">
        <v>597</v>
      </c>
      <c r="R107" s="233">
        <v>5639</v>
      </c>
      <c r="S107" s="232">
        <v>56432</v>
      </c>
      <c r="T107" s="233">
        <v>552809</v>
      </c>
      <c r="V107" s="228"/>
      <c r="X107" s="304"/>
    </row>
    <row r="108" spans="1:24" x14ac:dyDescent="0.15">
      <c r="A108" s="172">
        <v>46</v>
      </c>
      <c r="B108" s="173" t="s">
        <v>262</v>
      </c>
      <c r="C108" s="174" t="s">
        <v>362</v>
      </c>
      <c r="D108" s="291">
        <v>9</v>
      </c>
      <c r="E108" s="291">
        <v>2</v>
      </c>
      <c r="F108" s="291">
        <v>7</v>
      </c>
      <c r="G108" s="291">
        <v>0</v>
      </c>
      <c r="H108" s="291">
        <v>5</v>
      </c>
      <c r="I108" s="291">
        <v>6</v>
      </c>
      <c r="J108" s="292">
        <v>6</v>
      </c>
      <c r="K108" s="222">
        <v>5048817.5</v>
      </c>
      <c r="L108" s="234" t="s">
        <v>23</v>
      </c>
      <c r="M108" s="224" t="s">
        <v>368</v>
      </c>
      <c r="N108" s="225">
        <v>1692216.9</v>
      </c>
      <c r="O108" s="226">
        <v>4</v>
      </c>
      <c r="P108" s="227">
        <v>24</v>
      </c>
      <c r="Q108" s="226">
        <v>181</v>
      </c>
      <c r="R108" s="227">
        <v>2128</v>
      </c>
      <c r="S108" s="226">
        <v>21864</v>
      </c>
      <c r="T108" s="227">
        <v>186470</v>
      </c>
      <c r="V108" s="228"/>
      <c r="X108" s="304"/>
    </row>
    <row r="109" spans="1:24" x14ac:dyDescent="0.15">
      <c r="A109" s="178"/>
      <c r="B109" s="179" t="s">
        <v>156</v>
      </c>
      <c r="C109" s="180" t="s">
        <v>363</v>
      </c>
      <c r="D109" s="289">
        <v>5</v>
      </c>
      <c r="E109" s="289">
        <v>5</v>
      </c>
      <c r="F109" s="289">
        <v>1</v>
      </c>
      <c r="G109" s="289">
        <v>4</v>
      </c>
      <c r="H109" s="289">
        <v>0</v>
      </c>
      <c r="I109" s="289">
        <v>1</v>
      </c>
      <c r="J109" s="303">
        <v>9</v>
      </c>
      <c r="K109" s="229">
        <v>12461352.5</v>
      </c>
      <c r="L109" s="237" t="s">
        <v>23</v>
      </c>
      <c r="M109" s="229" t="s">
        <v>368</v>
      </c>
      <c r="N109" s="231">
        <v>2578219.1</v>
      </c>
      <c r="O109" s="232">
        <v>3</v>
      </c>
      <c r="P109" s="233">
        <v>46</v>
      </c>
      <c r="Q109" s="232">
        <v>393</v>
      </c>
      <c r="R109" s="233">
        <v>4027</v>
      </c>
      <c r="S109" s="232">
        <v>42490</v>
      </c>
      <c r="T109" s="233">
        <v>452628</v>
      </c>
      <c r="V109" s="228"/>
      <c r="X109" s="304"/>
    </row>
    <row r="110" spans="1:24" x14ac:dyDescent="0.15">
      <c r="A110" s="172">
        <v>47</v>
      </c>
      <c r="B110" s="173" t="s">
        <v>263</v>
      </c>
      <c r="C110" s="174" t="s">
        <v>362</v>
      </c>
      <c r="D110" s="291">
        <v>3</v>
      </c>
      <c r="E110" s="291">
        <v>5</v>
      </c>
      <c r="F110" s="291">
        <v>4</v>
      </c>
      <c r="G110" s="291">
        <v>2</v>
      </c>
      <c r="H110" s="291">
        <v>1</v>
      </c>
      <c r="I110" s="291">
        <v>5</v>
      </c>
      <c r="J110" s="292">
        <v>2</v>
      </c>
      <c r="K110" s="222">
        <v>5228182.5</v>
      </c>
      <c r="L110" s="234" t="s">
        <v>23</v>
      </c>
      <c r="M110" s="224" t="s">
        <v>368</v>
      </c>
      <c r="N110" s="225">
        <v>2949942.9</v>
      </c>
      <c r="O110" s="226">
        <v>3</v>
      </c>
      <c r="P110" s="227">
        <v>21</v>
      </c>
      <c r="Q110" s="226">
        <v>176</v>
      </c>
      <c r="R110" s="227">
        <v>1792</v>
      </c>
      <c r="S110" s="226">
        <v>17837</v>
      </c>
      <c r="T110" s="227">
        <v>168380</v>
      </c>
      <c r="V110" s="228"/>
      <c r="X110" s="304"/>
    </row>
    <row r="111" spans="1:24" x14ac:dyDescent="0.15">
      <c r="A111" s="178"/>
      <c r="B111" s="179" t="s">
        <v>157</v>
      </c>
      <c r="C111" s="180" t="s">
        <v>363</v>
      </c>
      <c r="D111" s="289">
        <v>3</v>
      </c>
      <c r="E111" s="289">
        <v>7</v>
      </c>
      <c r="F111" s="289">
        <v>7</v>
      </c>
      <c r="G111" s="289">
        <v>9</v>
      </c>
      <c r="H111" s="289">
        <v>3</v>
      </c>
      <c r="I111" s="289">
        <v>7</v>
      </c>
      <c r="J111" s="303">
        <v>6</v>
      </c>
      <c r="K111" s="229">
        <v>12454550</v>
      </c>
      <c r="L111" s="230" t="s">
        <v>23</v>
      </c>
      <c r="M111" s="229" t="s">
        <v>368</v>
      </c>
      <c r="N111" s="231">
        <v>3835461.4</v>
      </c>
      <c r="O111" s="232">
        <v>6</v>
      </c>
      <c r="P111" s="233">
        <v>45</v>
      </c>
      <c r="Q111" s="232">
        <v>450</v>
      </c>
      <c r="R111" s="233">
        <v>4656</v>
      </c>
      <c r="S111" s="232">
        <v>46444</v>
      </c>
      <c r="T111" s="233">
        <v>460019</v>
      </c>
      <c r="V111" s="228"/>
      <c r="X111" s="304"/>
    </row>
    <row r="112" spans="1:24" x14ac:dyDescent="0.15">
      <c r="A112" s="172">
        <v>48</v>
      </c>
      <c r="B112" s="173" t="s">
        <v>264</v>
      </c>
      <c r="C112" s="174" t="s">
        <v>362</v>
      </c>
      <c r="D112" s="291">
        <v>4</v>
      </c>
      <c r="E112" s="291">
        <v>9</v>
      </c>
      <c r="F112" s="291">
        <v>2</v>
      </c>
      <c r="G112" s="291">
        <v>4</v>
      </c>
      <c r="H112" s="291">
        <v>2</v>
      </c>
      <c r="I112" s="291">
        <v>6</v>
      </c>
      <c r="J112" s="292">
        <v>1</v>
      </c>
      <c r="K112" s="222">
        <v>5442975</v>
      </c>
      <c r="L112" s="234" t="s">
        <v>23</v>
      </c>
      <c r="M112" s="224" t="s">
        <v>368</v>
      </c>
      <c r="N112" s="225">
        <v>4222456.9000000004</v>
      </c>
      <c r="O112" s="226">
        <v>1</v>
      </c>
      <c r="P112" s="227">
        <v>16</v>
      </c>
      <c r="Q112" s="226">
        <v>158</v>
      </c>
      <c r="R112" s="227">
        <v>1702</v>
      </c>
      <c r="S112" s="226">
        <v>16944</v>
      </c>
      <c r="T112" s="227">
        <v>160567</v>
      </c>
      <c r="V112" s="228"/>
      <c r="X112" s="304"/>
    </row>
    <row r="113" spans="1:24" x14ac:dyDescent="0.15">
      <c r="A113" s="178"/>
      <c r="B113" s="179" t="s">
        <v>158</v>
      </c>
      <c r="C113" s="180" t="s">
        <v>363</v>
      </c>
      <c r="D113" s="289">
        <v>4</v>
      </c>
      <c r="E113" s="289">
        <v>0</v>
      </c>
      <c r="F113" s="289">
        <v>2</v>
      </c>
      <c r="G113" s="289">
        <v>0</v>
      </c>
      <c r="H113" s="289">
        <v>0</v>
      </c>
      <c r="I113" s="289">
        <v>8</v>
      </c>
      <c r="J113" s="303">
        <v>3</v>
      </c>
      <c r="K113" s="229">
        <v>13428390</v>
      </c>
      <c r="L113" s="230">
        <v>1</v>
      </c>
      <c r="M113" s="229">
        <v>5077777</v>
      </c>
      <c r="N113" s="231">
        <v>99438.399999999994</v>
      </c>
      <c r="O113" s="232">
        <v>3</v>
      </c>
      <c r="P113" s="233">
        <v>36</v>
      </c>
      <c r="Q113" s="232">
        <v>421</v>
      </c>
      <c r="R113" s="233">
        <v>4676</v>
      </c>
      <c r="S113" s="232">
        <v>51555</v>
      </c>
      <c r="T113" s="233">
        <v>500628</v>
      </c>
      <c r="V113" s="228"/>
      <c r="X113" s="304"/>
    </row>
    <row r="114" spans="1:24" x14ac:dyDescent="0.15">
      <c r="A114" s="172">
        <v>49</v>
      </c>
      <c r="B114" s="173" t="s">
        <v>265</v>
      </c>
      <c r="C114" s="174" t="s">
        <v>362</v>
      </c>
      <c r="D114" s="291">
        <v>8</v>
      </c>
      <c r="E114" s="291">
        <v>6</v>
      </c>
      <c r="F114" s="291">
        <v>4</v>
      </c>
      <c r="G114" s="291">
        <v>1</v>
      </c>
      <c r="H114" s="291">
        <v>3</v>
      </c>
      <c r="I114" s="291">
        <v>1</v>
      </c>
      <c r="J114" s="292">
        <v>0</v>
      </c>
      <c r="K114" s="222">
        <v>5382320</v>
      </c>
      <c r="L114" s="234" t="s">
        <v>23</v>
      </c>
      <c r="M114" s="224" t="s">
        <v>368</v>
      </c>
      <c r="N114" s="225">
        <v>482121.4</v>
      </c>
      <c r="O114" s="226">
        <v>1</v>
      </c>
      <c r="P114" s="227">
        <v>16</v>
      </c>
      <c r="Q114" s="226">
        <v>150</v>
      </c>
      <c r="R114" s="227">
        <v>1452</v>
      </c>
      <c r="S114" s="226">
        <v>14928</v>
      </c>
      <c r="T114" s="227">
        <v>150193</v>
      </c>
      <c r="V114" s="228"/>
      <c r="X114" s="304"/>
    </row>
    <row r="115" spans="1:24" x14ac:dyDescent="0.15">
      <c r="A115" s="178"/>
      <c r="B115" s="179" t="s">
        <v>159</v>
      </c>
      <c r="C115" s="180" t="s">
        <v>363</v>
      </c>
      <c r="D115" s="289">
        <v>7</v>
      </c>
      <c r="E115" s="289">
        <v>6</v>
      </c>
      <c r="F115" s="289">
        <v>4</v>
      </c>
      <c r="G115" s="289">
        <v>2</v>
      </c>
      <c r="H115" s="289">
        <v>0</v>
      </c>
      <c r="I115" s="289">
        <v>8</v>
      </c>
      <c r="J115" s="303">
        <v>8</v>
      </c>
      <c r="K115" s="229">
        <v>13169265</v>
      </c>
      <c r="L115" s="230" t="s">
        <v>23</v>
      </c>
      <c r="M115" s="229" t="s">
        <v>368</v>
      </c>
      <c r="N115" s="231">
        <v>1418456.1</v>
      </c>
      <c r="O115" s="232">
        <v>1</v>
      </c>
      <c r="P115" s="233">
        <v>53</v>
      </c>
      <c r="Q115" s="232">
        <v>464</v>
      </c>
      <c r="R115" s="233">
        <v>4828</v>
      </c>
      <c r="S115" s="232">
        <v>54727</v>
      </c>
      <c r="T115" s="233">
        <v>506869</v>
      </c>
      <c r="V115" s="228"/>
      <c r="X115" s="304"/>
    </row>
    <row r="116" spans="1:24" x14ac:dyDescent="0.15">
      <c r="A116" s="172">
        <v>50</v>
      </c>
      <c r="B116" s="173" t="s">
        <v>266</v>
      </c>
      <c r="C116" s="174" t="s">
        <v>362</v>
      </c>
      <c r="D116" s="291">
        <v>0</v>
      </c>
      <c r="E116" s="291">
        <v>1</v>
      </c>
      <c r="F116" s="291">
        <v>4</v>
      </c>
      <c r="G116" s="291">
        <v>7</v>
      </c>
      <c r="H116" s="291">
        <v>7</v>
      </c>
      <c r="I116" s="291">
        <v>0</v>
      </c>
      <c r="J116" s="292">
        <v>6</v>
      </c>
      <c r="K116" s="222">
        <v>5237697.5</v>
      </c>
      <c r="L116" s="234">
        <v>1</v>
      </c>
      <c r="M116" s="224">
        <v>1777777</v>
      </c>
      <c r="N116" s="225">
        <v>13079.4</v>
      </c>
      <c r="O116" s="226">
        <v>1</v>
      </c>
      <c r="P116" s="227">
        <v>6</v>
      </c>
      <c r="Q116" s="226">
        <v>174</v>
      </c>
      <c r="R116" s="227">
        <v>1644</v>
      </c>
      <c r="S116" s="226">
        <v>16622</v>
      </c>
      <c r="T116" s="227">
        <v>201404</v>
      </c>
      <c r="V116" s="228"/>
      <c r="X116" s="304"/>
    </row>
    <row r="117" spans="1:24" x14ac:dyDescent="0.15">
      <c r="A117" s="178"/>
      <c r="B117" s="179" t="s">
        <v>160</v>
      </c>
      <c r="C117" s="180" t="s">
        <v>363</v>
      </c>
      <c r="D117" s="289">
        <v>3</v>
      </c>
      <c r="E117" s="289">
        <v>5</v>
      </c>
      <c r="F117" s="289">
        <v>2</v>
      </c>
      <c r="G117" s="289">
        <v>2</v>
      </c>
      <c r="H117" s="289">
        <v>1</v>
      </c>
      <c r="I117" s="289">
        <v>4</v>
      </c>
      <c r="J117" s="303">
        <v>2</v>
      </c>
      <c r="K117" s="229">
        <v>13115200</v>
      </c>
      <c r="L117" s="230">
        <v>1</v>
      </c>
      <c r="M117" s="229">
        <v>877777</v>
      </c>
      <c r="N117" s="231">
        <v>67793.100000000006</v>
      </c>
      <c r="O117" s="232">
        <v>4</v>
      </c>
      <c r="P117" s="233">
        <v>49</v>
      </c>
      <c r="Q117" s="232">
        <v>442</v>
      </c>
      <c r="R117" s="233">
        <v>4337</v>
      </c>
      <c r="S117" s="232">
        <v>43575</v>
      </c>
      <c r="T117" s="233">
        <v>426461</v>
      </c>
      <c r="V117" s="228"/>
      <c r="X117" s="304"/>
    </row>
    <row r="118" spans="1:24" x14ac:dyDescent="0.15">
      <c r="A118" s="172">
        <v>51</v>
      </c>
      <c r="B118" s="173" t="s">
        <v>267</v>
      </c>
      <c r="C118" s="174" t="s">
        <v>362</v>
      </c>
      <c r="D118" s="291">
        <v>6</v>
      </c>
      <c r="E118" s="291">
        <v>5</v>
      </c>
      <c r="F118" s="291">
        <v>0</v>
      </c>
      <c r="G118" s="291">
        <v>7</v>
      </c>
      <c r="H118" s="291">
        <v>1</v>
      </c>
      <c r="I118" s="291">
        <v>9</v>
      </c>
      <c r="J118" s="292">
        <v>7</v>
      </c>
      <c r="K118" s="222">
        <v>5423197.5</v>
      </c>
      <c r="L118" s="234">
        <v>1</v>
      </c>
      <c r="M118" s="224">
        <v>377777</v>
      </c>
      <c r="N118" s="225">
        <v>75605.399999999994</v>
      </c>
      <c r="O118" s="226">
        <v>3</v>
      </c>
      <c r="P118" s="227">
        <v>19</v>
      </c>
      <c r="Q118" s="226">
        <v>224</v>
      </c>
      <c r="R118" s="227">
        <v>2218</v>
      </c>
      <c r="S118" s="226">
        <v>21817</v>
      </c>
      <c r="T118" s="227">
        <v>242866</v>
      </c>
      <c r="V118" s="228"/>
      <c r="X118" s="304"/>
    </row>
    <row r="119" spans="1:24" x14ac:dyDescent="0.15">
      <c r="A119" s="178"/>
      <c r="B119" s="179" t="s">
        <v>161</v>
      </c>
      <c r="C119" s="180" t="s">
        <v>363</v>
      </c>
      <c r="D119" s="289">
        <v>8</v>
      </c>
      <c r="E119" s="289">
        <v>6</v>
      </c>
      <c r="F119" s="289">
        <v>8</v>
      </c>
      <c r="G119" s="289">
        <v>7</v>
      </c>
      <c r="H119" s="289">
        <v>0</v>
      </c>
      <c r="I119" s="289">
        <v>6</v>
      </c>
      <c r="J119" s="303">
        <v>6</v>
      </c>
      <c r="K119" s="229">
        <v>14336752.5</v>
      </c>
      <c r="L119" s="230">
        <v>2</v>
      </c>
      <c r="M119" s="229">
        <v>477777</v>
      </c>
      <c r="N119" s="231">
        <v>139394.5</v>
      </c>
      <c r="O119" s="232">
        <v>7</v>
      </c>
      <c r="P119" s="233">
        <v>49</v>
      </c>
      <c r="Q119" s="232">
        <v>532</v>
      </c>
      <c r="R119" s="233">
        <v>5213</v>
      </c>
      <c r="S119" s="232">
        <v>58145</v>
      </c>
      <c r="T119" s="233">
        <v>526854</v>
      </c>
      <c r="V119" s="228"/>
      <c r="X119" s="304"/>
    </row>
    <row r="120" spans="1:24" x14ac:dyDescent="0.15">
      <c r="A120" s="172">
        <v>52</v>
      </c>
      <c r="B120" s="173" t="s">
        <v>392</v>
      </c>
      <c r="C120" s="174" t="s">
        <v>362</v>
      </c>
      <c r="D120" s="291">
        <v>8</v>
      </c>
      <c r="E120" s="291">
        <v>6</v>
      </c>
      <c r="F120" s="291">
        <v>5</v>
      </c>
      <c r="G120" s="291">
        <v>8</v>
      </c>
      <c r="H120" s="291">
        <v>8</v>
      </c>
      <c r="I120" s="291">
        <v>6</v>
      </c>
      <c r="J120" s="292">
        <v>4</v>
      </c>
      <c r="K120" s="222">
        <v>5595917.5</v>
      </c>
      <c r="L120" s="223" t="s">
        <v>23</v>
      </c>
      <c r="M120" s="224" t="s">
        <v>368</v>
      </c>
      <c r="N120" s="225">
        <v>537264.19999999995</v>
      </c>
      <c r="O120" s="226" t="s">
        <v>17</v>
      </c>
      <c r="P120" s="227">
        <v>18</v>
      </c>
      <c r="Q120" s="226">
        <v>170</v>
      </c>
      <c r="R120" s="227">
        <v>1928</v>
      </c>
      <c r="S120" s="226">
        <v>19583</v>
      </c>
      <c r="T120" s="227">
        <v>185955</v>
      </c>
      <c r="V120" s="228"/>
      <c r="X120" s="304"/>
    </row>
    <row r="121" spans="1:24" x14ac:dyDescent="0.15">
      <c r="A121" s="178"/>
      <c r="B121" s="179" t="s">
        <v>162</v>
      </c>
      <c r="C121" s="180" t="s">
        <v>363</v>
      </c>
      <c r="D121" s="307">
        <v>5</v>
      </c>
      <c r="E121" s="307">
        <v>5</v>
      </c>
      <c r="F121" s="307">
        <v>8</v>
      </c>
      <c r="G121" s="307">
        <v>4</v>
      </c>
      <c r="H121" s="307">
        <v>4</v>
      </c>
      <c r="I121" s="307">
        <v>2</v>
      </c>
      <c r="J121" s="308">
        <v>1</v>
      </c>
      <c r="K121" s="229">
        <v>14590690</v>
      </c>
      <c r="L121" s="237">
        <v>2</v>
      </c>
      <c r="M121" s="229">
        <v>777777</v>
      </c>
      <c r="N121" s="231">
        <v>19108.3</v>
      </c>
      <c r="O121" s="232">
        <v>3</v>
      </c>
      <c r="P121" s="233">
        <v>35</v>
      </c>
      <c r="Q121" s="232">
        <v>459</v>
      </c>
      <c r="R121" s="233">
        <v>4809</v>
      </c>
      <c r="S121" s="232">
        <v>45678</v>
      </c>
      <c r="T121" s="233">
        <v>438930</v>
      </c>
      <c r="V121" s="228"/>
      <c r="X121" s="304"/>
    </row>
    <row r="122" spans="1:24" x14ac:dyDescent="0.15">
      <c r="A122" s="45"/>
      <c r="B122" s="46"/>
      <c r="C122" s="46"/>
      <c r="D122" s="309"/>
      <c r="E122" s="309"/>
      <c r="F122" s="309"/>
      <c r="G122" s="309"/>
      <c r="H122" s="309"/>
      <c r="I122" s="309" t="s">
        <v>24</v>
      </c>
      <c r="J122" s="309"/>
      <c r="K122" s="277"/>
      <c r="L122" s="278">
        <f>SUM(L70:L121)</f>
        <v>27</v>
      </c>
      <c r="M122" s="229"/>
      <c r="N122" s="278"/>
      <c r="O122" s="278">
        <f t="shared" ref="O122:T122" si="1">SUM(O70:O121)</f>
        <v>178</v>
      </c>
      <c r="P122" s="278">
        <f t="shared" si="1"/>
        <v>1762</v>
      </c>
      <c r="Q122" s="278">
        <f t="shared" si="1"/>
        <v>17470</v>
      </c>
      <c r="R122" s="278">
        <f t="shared" si="1"/>
        <v>177478</v>
      </c>
      <c r="S122" s="278">
        <f t="shared" si="1"/>
        <v>1781848</v>
      </c>
      <c r="T122" s="272">
        <f t="shared" si="1"/>
        <v>17803242</v>
      </c>
      <c r="V122" s="228"/>
      <c r="X122" s="304"/>
    </row>
    <row r="123" spans="1:24" x14ac:dyDescent="0.15">
      <c r="K123" s="222"/>
      <c r="V123" s="280"/>
      <c r="X123" s="304"/>
    </row>
    <row r="124" spans="1:24" x14ac:dyDescent="0.15">
      <c r="L124" s="184"/>
      <c r="O124" s="184"/>
      <c r="P124" s="184"/>
      <c r="Q124" s="184"/>
      <c r="R124" s="184"/>
      <c r="S124" s="184"/>
      <c r="T124" s="184"/>
    </row>
  </sheetData>
  <printOptions horizontalCentered="1" verticalCentered="1"/>
  <pageMargins left="0" right="0" top="0" bottom="0.39370078740157483" header="0.23622047244094491" footer="0.23622047244094491"/>
  <pageSetup paperSize="9" scale="87" orientation="landscape" r:id="rId1"/>
  <headerFooter alignWithMargins="0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23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8" customWidth="1"/>
    <col min="10" max="10" width="5" style="298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4" ht="14.1" customHeight="1" x14ac:dyDescent="0.2">
      <c r="A2" s="1" t="s">
        <v>364</v>
      </c>
      <c r="T2" s="3" t="s">
        <v>444</v>
      </c>
    </row>
    <row r="3" spans="1:24" ht="11.1" customHeight="1" x14ac:dyDescent="0.15">
      <c r="A3" s="6" t="s">
        <v>2</v>
      </c>
    </row>
    <row r="4" spans="1:24" ht="11.1" customHeight="1" x14ac:dyDescent="0.15">
      <c r="A4" s="7"/>
      <c r="B4" s="8"/>
      <c r="C4" s="177"/>
      <c r="D4" s="299"/>
      <c r="E4" s="299"/>
      <c r="F4" s="299"/>
      <c r="G4" s="299"/>
      <c r="H4" s="299"/>
      <c r="I4" s="299"/>
      <c r="J4" s="300"/>
      <c r="K4" s="8"/>
      <c r="L4" s="9"/>
      <c r="M4" s="12"/>
      <c r="N4" s="10"/>
      <c r="O4" s="8"/>
      <c r="P4" s="10"/>
      <c r="Q4" s="8"/>
      <c r="R4" s="10"/>
      <c r="S4" s="8"/>
      <c r="T4" s="10"/>
    </row>
    <row r="5" spans="1:24" ht="11.1" customHeight="1" x14ac:dyDescent="0.15">
      <c r="A5" s="13"/>
      <c r="B5" s="14"/>
      <c r="C5" s="125"/>
      <c r="D5" s="301" t="s">
        <v>4</v>
      </c>
      <c r="E5" s="302"/>
      <c r="F5" s="302"/>
      <c r="G5" s="302"/>
      <c r="H5" s="302"/>
      <c r="I5" s="302"/>
      <c r="J5" s="290" t="s">
        <v>5</v>
      </c>
      <c r="K5" s="209" t="s">
        <v>6</v>
      </c>
      <c r="L5" s="6" t="s">
        <v>7</v>
      </c>
      <c r="M5" s="18"/>
      <c r="N5" s="13" t="s">
        <v>21</v>
      </c>
      <c r="O5" s="14" t="s">
        <v>8</v>
      </c>
      <c r="P5" s="13" t="s">
        <v>9</v>
      </c>
      <c r="Q5" s="14" t="s">
        <v>10</v>
      </c>
      <c r="R5" s="13" t="s">
        <v>11</v>
      </c>
      <c r="S5" s="14" t="s">
        <v>12</v>
      </c>
      <c r="T5" s="13" t="s">
        <v>49</v>
      </c>
    </row>
    <row r="6" spans="1:24" ht="11.1" customHeight="1" x14ac:dyDescent="0.15">
      <c r="A6" s="13" t="s">
        <v>3</v>
      </c>
      <c r="B6" s="14">
        <v>2017</v>
      </c>
      <c r="C6" s="220" t="s">
        <v>361</v>
      </c>
      <c r="D6" s="289"/>
      <c r="E6" s="289"/>
      <c r="F6" s="289"/>
      <c r="G6" s="289"/>
      <c r="H6" s="289"/>
      <c r="I6" s="289"/>
      <c r="J6" s="290" t="s">
        <v>13</v>
      </c>
      <c r="K6" s="14"/>
      <c r="L6" s="6" t="s">
        <v>371</v>
      </c>
      <c r="M6" s="18"/>
      <c r="N6" s="13" t="s">
        <v>367</v>
      </c>
      <c r="O6" s="239">
        <v>77777</v>
      </c>
      <c r="P6" s="239">
        <v>7777</v>
      </c>
      <c r="Q6" s="239">
        <v>777</v>
      </c>
      <c r="R6" s="239">
        <v>77</v>
      </c>
      <c r="S6" s="239">
        <v>17</v>
      </c>
      <c r="T6" s="239">
        <v>5</v>
      </c>
    </row>
    <row r="7" spans="1:24" ht="10.5" customHeight="1" x14ac:dyDescent="0.15">
      <c r="A7" s="39"/>
      <c r="B7" s="21"/>
      <c r="C7" s="220"/>
      <c r="D7" s="289"/>
      <c r="E7" s="289"/>
      <c r="F7" s="289"/>
      <c r="G7" s="289"/>
      <c r="H7" s="289"/>
      <c r="I7" s="289"/>
      <c r="J7" s="303"/>
      <c r="K7" s="21" t="s">
        <v>367</v>
      </c>
      <c r="L7" s="221" t="s">
        <v>15</v>
      </c>
      <c r="M7" s="23" t="s">
        <v>367</v>
      </c>
      <c r="N7" s="13"/>
      <c r="O7" s="24" t="s">
        <v>15</v>
      </c>
      <c r="P7" s="13" t="s">
        <v>15</v>
      </c>
      <c r="Q7" s="24" t="s">
        <v>15</v>
      </c>
      <c r="R7" s="13" t="s">
        <v>15</v>
      </c>
      <c r="S7" s="24" t="s">
        <v>15</v>
      </c>
      <c r="T7" s="13" t="s">
        <v>15</v>
      </c>
    </row>
    <row r="8" spans="1:24" x14ac:dyDescent="0.15">
      <c r="A8" s="172">
        <v>1</v>
      </c>
      <c r="B8" s="284">
        <v>42739</v>
      </c>
      <c r="C8" s="174" t="s">
        <v>362</v>
      </c>
      <c r="D8" s="291">
        <v>6</v>
      </c>
      <c r="E8" s="291">
        <v>2</v>
      </c>
      <c r="F8" s="291">
        <v>2</v>
      </c>
      <c r="G8" s="291">
        <v>3</v>
      </c>
      <c r="H8" s="291">
        <v>0</v>
      </c>
      <c r="I8" s="291">
        <v>4</v>
      </c>
      <c r="J8" s="292">
        <v>3</v>
      </c>
      <c r="K8" s="222">
        <v>5932170</v>
      </c>
      <c r="L8" s="223">
        <v>1</v>
      </c>
      <c r="M8" s="224">
        <v>377777</v>
      </c>
      <c r="N8" s="224">
        <v>63108.6</v>
      </c>
      <c r="O8" s="226">
        <v>4</v>
      </c>
      <c r="P8" s="227">
        <v>20</v>
      </c>
      <c r="Q8" s="226">
        <v>206</v>
      </c>
      <c r="R8" s="227">
        <v>2120</v>
      </c>
      <c r="S8" s="226">
        <v>22289</v>
      </c>
      <c r="T8" s="227">
        <v>231162</v>
      </c>
      <c r="V8" s="228"/>
      <c r="X8" s="304"/>
    </row>
    <row r="9" spans="1:24" x14ac:dyDescent="0.15">
      <c r="A9" s="178"/>
      <c r="B9" s="179">
        <v>42742</v>
      </c>
      <c r="C9" s="180" t="s">
        <v>363</v>
      </c>
      <c r="D9" s="289">
        <v>8</v>
      </c>
      <c r="E9" s="289">
        <v>1</v>
      </c>
      <c r="F9" s="289">
        <v>7</v>
      </c>
      <c r="G9" s="289">
        <v>0</v>
      </c>
      <c r="H9" s="289">
        <v>2</v>
      </c>
      <c r="I9" s="289">
        <v>3</v>
      </c>
      <c r="J9" s="303">
        <v>6</v>
      </c>
      <c r="K9" s="229">
        <v>14277225</v>
      </c>
      <c r="L9" s="237">
        <v>2</v>
      </c>
      <c r="M9" s="229">
        <v>477777</v>
      </c>
      <c r="N9" s="231">
        <v>122665.3</v>
      </c>
      <c r="O9" s="232">
        <v>3</v>
      </c>
      <c r="P9" s="233">
        <v>75</v>
      </c>
      <c r="Q9" s="232">
        <v>516</v>
      </c>
      <c r="R9" s="233">
        <v>5399</v>
      </c>
      <c r="S9" s="232">
        <v>54113</v>
      </c>
      <c r="T9" s="233">
        <v>529074</v>
      </c>
      <c r="U9">
        <v>737224</v>
      </c>
      <c r="V9" s="228"/>
      <c r="X9" s="304"/>
    </row>
    <row r="10" spans="1:24" x14ac:dyDescent="0.15">
      <c r="A10" s="172">
        <v>2</v>
      </c>
      <c r="B10" s="173">
        <v>42746</v>
      </c>
      <c r="C10" s="174" t="s">
        <v>362</v>
      </c>
      <c r="D10" s="305">
        <v>5</v>
      </c>
      <c r="E10" s="291">
        <v>3</v>
      </c>
      <c r="F10" s="291">
        <v>6</v>
      </c>
      <c r="G10" s="291">
        <v>6</v>
      </c>
      <c r="H10" s="291">
        <v>0</v>
      </c>
      <c r="I10" s="291">
        <v>3</v>
      </c>
      <c r="J10" s="292">
        <v>1</v>
      </c>
      <c r="K10" s="222">
        <v>6156380</v>
      </c>
      <c r="L10" s="234" t="s">
        <v>23</v>
      </c>
      <c r="M10" s="224" t="s">
        <v>368</v>
      </c>
      <c r="N10" s="225">
        <v>560383.9</v>
      </c>
      <c r="O10" s="226">
        <v>2</v>
      </c>
      <c r="P10" s="227">
        <v>18</v>
      </c>
      <c r="Q10" s="226">
        <v>164</v>
      </c>
      <c r="R10" s="227">
        <v>1787</v>
      </c>
      <c r="S10" s="226">
        <v>18844</v>
      </c>
      <c r="T10" s="227">
        <v>185315</v>
      </c>
      <c r="V10" s="228"/>
      <c r="X10" s="304"/>
    </row>
    <row r="11" spans="1:24" x14ac:dyDescent="0.15">
      <c r="A11" s="178"/>
      <c r="B11" s="179">
        <v>42749</v>
      </c>
      <c r="C11" s="180" t="s">
        <v>363</v>
      </c>
      <c r="D11" s="306">
        <v>8</v>
      </c>
      <c r="E11" s="306">
        <v>0</v>
      </c>
      <c r="F11" s="306">
        <v>5</v>
      </c>
      <c r="G11" s="306">
        <v>7</v>
      </c>
      <c r="H11" s="306">
        <v>8</v>
      </c>
      <c r="I11" s="306">
        <v>3</v>
      </c>
      <c r="J11" s="303">
        <v>6</v>
      </c>
      <c r="K11" s="229">
        <v>14115580</v>
      </c>
      <c r="L11" s="237" t="s">
        <v>23</v>
      </c>
      <c r="M11" s="229" t="s">
        <v>368</v>
      </c>
      <c r="N11" s="229">
        <v>1564001.6</v>
      </c>
      <c r="O11" s="232">
        <v>4</v>
      </c>
      <c r="P11" s="233">
        <v>51</v>
      </c>
      <c r="Q11" s="232">
        <v>584</v>
      </c>
      <c r="R11" s="233">
        <v>5439</v>
      </c>
      <c r="S11" s="232">
        <v>54711</v>
      </c>
      <c r="T11" s="233">
        <v>529899</v>
      </c>
      <c r="V11" s="228"/>
      <c r="X11" s="304"/>
    </row>
    <row r="12" spans="1:24" x14ac:dyDescent="0.15">
      <c r="A12" s="172">
        <v>3</v>
      </c>
      <c r="B12" s="173">
        <v>42753</v>
      </c>
      <c r="C12" s="174" t="s">
        <v>362</v>
      </c>
      <c r="D12" s="291">
        <v>1</v>
      </c>
      <c r="E12" s="291">
        <v>5</v>
      </c>
      <c r="F12" s="291">
        <v>3</v>
      </c>
      <c r="G12" s="291">
        <v>5</v>
      </c>
      <c r="H12" s="291">
        <v>2</v>
      </c>
      <c r="I12" s="291">
        <v>8</v>
      </c>
      <c r="J12" s="292">
        <v>4</v>
      </c>
      <c r="K12" s="222">
        <v>6397535</v>
      </c>
      <c r="L12" s="234">
        <v>1</v>
      </c>
      <c r="M12" s="224">
        <v>1977777</v>
      </c>
      <c r="N12" s="225">
        <v>41089.300000000003</v>
      </c>
      <c r="O12" s="226">
        <v>3</v>
      </c>
      <c r="P12" s="227">
        <v>29</v>
      </c>
      <c r="Q12" s="226">
        <v>263</v>
      </c>
      <c r="R12" s="227">
        <v>2193</v>
      </c>
      <c r="S12" s="226">
        <v>21535</v>
      </c>
      <c r="T12" s="227">
        <v>214416</v>
      </c>
      <c r="V12" s="228"/>
      <c r="X12" s="304"/>
    </row>
    <row r="13" spans="1:24" x14ac:dyDescent="0.15">
      <c r="A13" s="178"/>
      <c r="B13" s="179">
        <v>42756</v>
      </c>
      <c r="C13" s="180" t="s">
        <v>363</v>
      </c>
      <c r="D13" s="289">
        <v>9</v>
      </c>
      <c r="E13" s="289">
        <v>1</v>
      </c>
      <c r="F13" s="289">
        <v>4</v>
      </c>
      <c r="G13" s="289">
        <v>2</v>
      </c>
      <c r="H13" s="289">
        <v>4</v>
      </c>
      <c r="I13" s="289">
        <v>4</v>
      </c>
      <c r="J13" s="303">
        <v>9</v>
      </c>
      <c r="K13" s="229">
        <v>14022892.5</v>
      </c>
      <c r="L13" s="230">
        <v>2</v>
      </c>
      <c r="M13" s="229">
        <v>477777</v>
      </c>
      <c r="N13" s="231">
        <v>82563</v>
      </c>
      <c r="O13" s="232">
        <v>6</v>
      </c>
      <c r="P13" s="233">
        <v>52</v>
      </c>
      <c r="Q13" s="232">
        <v>483</v>
      </c>
      <c r="R13" s="233">
        <v>5047</v>
      </c>
      <c r="S13" s="232">
        <v>52142</v>
      </c>
      <c r="T13" s="233">
        <v>507871</v>
      </c>
      <c r="V13" s="228"/>
      <c r="X13" s="304"/>
    </row>
    <row r="14" spans="1:24" x14ac:dyDescent="0.15">
      <c r="A14" s="172">
        <v>4</v>
      </c>
      <c r="B14" s="173">
        <v>42760</v>
      </c>
      <c r="C14" s="174" t="s">
        <v>362</v>
      </c>
      <c r="D14" s="291">
        <v>4</v>
      </c>
      <c r="E14" s="291">
        <v>4</v>
      </c>
      <c r="F14" s="291">
        <v>4</v>
      </c>
      <c r="G14" s="291">
        <v>4</v>
      </c>
      <c r="H14" s="291">
        <v>1</v>
      </c>
      <c r="I14" s="291">
        <v>5</v>
      </c>
      <c r="J14" s="292">
        <v>0</v>
      </c>
      <c r="K14" s="222">
        <v>6744707.5</v>
      </c>
      <c r="L14" s="234">
        <v>1</v>
      </c>
      <c r="M14" s="224">
        <v>477777</v>
      </c>
      <c r="N14" s="225">
        <v>84334.7</v>
      </c>
      <c r="O14" s="226">
        <v>2</v>
      </c>
      <c r="P14" s="227">
        <v>24</v>
      </c>
      <c r="Q14" s="226">
        <v>202</v>
      </c>
      <c r="R14" s="227">
        <v>1967</v>
      </c>
      <c r="S14" s="226">
        <v>19295</v>
      </c>
      <c r="T14" s="227">
        <v>186430</v>
      </c>
      <c r="V14" s="228"/>
      <c r="X14" s="304"/>
    </row>
    <row r="15" spans="1:24" x14ac:dyDescent="0.15">
      <c r="A15" s="178"/>
      <c r="B15" s="179">
        <v>42763</v>
      </c>
      <c r="C15" s="180" t="s">
        <v>363</v>
      </c>
      <c r="D15" s="289">
        <v>5</v>
      </c>
      <c r="E15" s="289">
        <v>4</v>
      </c>
      <c r="F15" s="289">
        <v>6</v>
      </c>
      <c r="G15" s="289">
        <v>0</v>
      </c>
      <c r="H15" s="289">
        <v>4</v>
      </c>
      <c r="I15" s="289">
        <v>6</v>
      </c>
      <c r="J15" s="303">
        <v>7</v>
      </c>
      <c r="K15" s="229">
        <v>12874985</v>
      </c>
      <c r="L15" s="230">
        <v>1</v>
      </c>
      <c r="M15" s="229">
        <v>977777</v>
      </c>
      <c r="N15" s="231">
        <v>21969.1</v>
      </c>
      <c r="O15" s="232">
        <v>6</v>
      </c>
      <c r="P15" s="233">
        <v>51</v>
      </c>
      <c r="Q15" s="232">
        <v>533</v>
      </c>
      <c r="R15" s="233">
        <v>5600</v>
      </c>
      <c r="S15" s="232">
        <v>55330</v>
      </c>
      <c r="T15" s="233">
        <v>562998</v>
      </c>
      <c r="V15" s="228"/>
      <c r="X15" s="304"/>
    </row>
    <row r="16" spans="1:24" x14ac:dyDescent="0.15">
      <c r="A16" s="172">
        <v>5</v>
      </c>
      <c r="B16" s="173">
        <v>42767</v>
      </c>
      <c r="C16" s="174" t="s">
        <v>362</v>
      </c>
      <c r="D16" s="291">
        <v>3</v>
      </c>
      <c r="E16" s="291">
        <v>7</v>
      </c>
      <c r="F16" s="291">
        <v>9</v>
      </c>
      <c r="G16" s="291">
        <v>4</v>
      </c>
      <c r="H16" s="291">
        <v>4</v>
      </c>
      <c r="I16" s="291">
        <v>7</v>
      </c>
      <c r="J16" s="292">
        <v>3</v>
      </c>
      <c r="K16" s="222">
        <v>5230500</v>
      </c>
      <c r="L16" s="223" t="s">
        <v>23</v>
      </c>
      <c r="M16" s="224" t="s">
        <v>368</v>
      </c>
      <c r="N16" s="224">
        <v>393857.7</v>
      </c>
      <c r="O16" s="226">
        <v>3</v>
      </c>
      <c r="P16" s="226">
        <v>11</v>
      </c>
      <c r="Q16" s="226">
        <v>217</v>
      </c>
      <c r="R16" s="226">
        <v>2125</v>
      </c>
      <c r="S16" s="226">
        <v>21116</v>
      </c>
      <c r="T16" s="226">
        <v>206571</v>
      </c>
      <c r="V16" s="228"/>
      <c r="X16" s="304"/>
    </row>
    <row r="17" spans="1:24" x14ac:dyDescent="0.15">
      <c r="A17" s="178"/>
      <c r="B17" s="179">
        <v>42770</v>
      </c>
      <c r="C17" s="180" t="s">
        <v>363</v>
      </c>
      <c r="D17" s="289">
        <v>3</v>
      </c>
      <c r="E17" s="289">
        <v>7</v>
      </c>
      <c r="F17" s="289">
        <v>2</v>
      </c>
      <c r="G17" s="289">
        <v>0</v>
      </c>
      <c r="H17" s="289">
        <v>3</v>
      </c>
      <c r="I17" s="289">
        <v>5</v>
      </c>
      <c r="J17" s="303">
        <v>2</v>
      </c>
      <c r="K17" s="229">
        <v>12792637.5</v>
      </c>
      <c r="L17" s="230">
        <v>2</v>
      </c>
      <c r="M17" s="229">
        <v>577777</v>
      </c>
      <c r="N17" s="229">
        <v>147860.20000000001</v>
      </c>
      <c r="O17" s="232">
        <v>7</v>
      </c>
      <c r="P17" s="233">
        <v>43</v>
      </c>
      <c r="Q17" s="232">
        <v>387</v>
      </c>
      <c r="R17" s="233">
        <v>4486</v>
      </c>
      <c r="S17" s="232">
        <v>44313</v>
      </c>
      <c r="T17" s="233">
        <v>413396</v>
      </c>
      <c r="V17" s="228"/>
      <c r="X17" s="304"/>
    </row>
    <row r="18" spans="1:24" x14ac:dyDescent="0.15">
      <c r="A18" s="172">
        <v>6</v>
      </c>
      <c r="B18" s="173">
        <v>42774</v>
      </c>
      <c r="C18" s="174" t="s">
        <v>362</v>
      </c>
      <c r="D18" s="291">
        <v>8</v>
      </c>
      <c r="E18" s="291">
        <v>2</v>
      </c>
      <c r="F18" s="291">
        <v>5</v>
      </c>
      <c r="G18" s="291">
        <v>5</v>
      </c>
      <c r="H18" s="291">
        <v>0</v>
      </c>
      <c r="I18" s="291">
        <v>1</v>
      </c>
      <c r="J18" s="292">
        <v>8</v>
      </c>
      <c r="K18" s="222">
        <v>5378665</v>
      </c>
      <c r="L18" s="223">
        <v>1</v>
      </c>
      <c r="M18" s="224">
        <v>477777</v>
      </c>
      <c r="N18" s="224">
        <v>52506.3</v>
      </c>
      <c r="O18" s="226">
        <v>2</v>
      </c>
      <c r="P18" s="227">
        <v>11</v>
      </c>
      <c r="Q18" s="226">
        <v>199</v>
      </c>
      <c r="R18" s="227">
        <v>1754</v>
      </c>
      <c r="S18" s="226">
        <v>19682</v>
      </c>
      <c r="T18" s="227">
        <v>201837</v>
      </c>
      <c r="V18" s="228"/>
      <c r="X18" s="304"/>
    </row>
    <row r="19" spans="1:24" x14ac:dyDescent="0.15">
      <c r="A19" s="178"/>
      <c r="B19" s="179">
        <v>42777</v>
      </c>
      <c r="C19" s="180" t="s">
        <v>363</v>
      </c>
      <c r="D19" s="289">
        <v>0</v>
      </c>
      <c r="E19" s="289">
        <v>0</v>
      </c>
      <c r="F19" s="289">
        <v>3</v>
      </c>
      <c r="G19" s="289">
        <v>7</v>
      </c>
      <c r="H19" s="289">
        <v>6</v>
      </c>
      <c r="I19" s="289">
        <v>2</v>
      </c>
      <c r="J19" s="303">
        <v>8</v>
      </c>
      <c r="K19" s="229">
        <v>12920272.5</v>
      </c>
      <c r="L19" s="230" t="s">
        <v>23</v>
      </c>
      <c r="M19" s="229" t="s">
        <v>368</v>
      </c>
      <c r="N19" s="231">
        <v>971137.7</v>
      </c>
      <c r="O19" s="232">
        <v>6</v>
      </c>
      <c r="P19" s="233">
        <v>62</v>
      </c>
      <c r="Q19" s="232">
        <v>533</v>
      </c>
      <c r="R19" s="233">
        <v>5094</v>
      </c>
      <c r="S19" s="232">
        <v>49625</v>
      </c>
      <c r="T19" s="233">
        <v>498314</v>
      </c>
      <c r="V19" s="228"/>
      <c r="X19" s="304"/>
    </row>
    <row r="20" spans="1:24" x14ac:dyDescent="0.15">
      <c r="A20" s="172">
        <v>7</v>
      </c>
      <c r="B20" s="173">
        <v>42781</v>
      </c>
      <c r="C20" s="174" t="s">
        <v>362</v>
      </c>
      <c r="D20" s="291">
        <v>5</v>
      </c>
      <c r="E20" s="291">
        <v>0</v>
      </c>
      <c r="F20" s="291">
        <v>5</v>
      </c>
      <c r="G20" s="291">
        <v>3</v>
      </c>
      <c r="H20" s="291">
        <v>1</v>
      </c>
      <c r="I20" s="291">
        <v>4</v>
      </c>
      <c r="J20" s="292">
        <v>7</v>
      </c>
      <c r="K20" s="222">
        <v>5139790</v>
      </c>
      <c r="L20" s="223" t="s">
        <v>23</v>
      </c>
      <c r="M20" s="224" t="s">
        <v>368</v>
      </c>
      <c r="N20" s="225">
        <v>1336576.8</v>
      </c>
      <c r="O20" s="226">
        <v>1</v>
      </c>
      <c r="P20" s="227">
        <v>28</v>
      </c>
      <c r="Q20" s="226">
        <v>237</v>
      </c>
      <c r="R20" s="227">
        <v>2278</v>
      </c>
      <c r="S20" s="226">
        <v>23015</v>
      </c>
      <c r="T20" s="227">
        <v>227736</v>
      </c>
      <c r="V20" s="228"/>
      <c r="X20" s="304"/>
    </row>
    <row r="21" spans="1:24" x14ac:dyDescent="0.15">
      <c r="A21" s="178"/>
      <c r="B21" s="179">
        <v>42784</v>
      </c>
      <c r="C21" s="180" t="s">
        <v>363</v>
      </c>
      <c r="D21" s="289">
        <v>1</v>
      </c>
      <c r="E21" s="289">
        <v>3</v>
      </c>
      <c r="F21" s="289">
        <v>7</v>
      </c>
      <c r="G21" s="289">
        <v>0</v>
      </c>
      <c r="H21" s="289">
        <v>3</v>
      </c>
      <c r="I21" s="289">
        <v>0</v>
      </c>
      <c r="J21" s="303">
        <v>8</v>
      </c>
      <c r="K21" s="229">
        <v>12443105</v>
      </c>
      <c r="L21" s="230" t="s">
        <v>23</v>
      </c>
      <c r="M21" s="229" t="s">
        <v>368</v>
      </c>
      <c r="N21" s="231">
        <v>2221281.6</v>
      </c>
      <c r="O21" s="232">
        <v>6</v>
      </c>
      <c r="P21" s="233">
        <v>51</v>
      </c>
      <c r="Q21" s="232">
        <v>380</v>
      </c>
      <c r="R21" s="233">
        <v>3978</v>
      </c>
      <c r="S21" s="232">
        <v>39821</v>
      </c>
      <c r="T21" s="233">
        <v>496069</v>
      </c>
      <c r="U21" s="240"/>
      <c r="V21" s="228"/>
      <c r="X21" s="304"/>
    </row>
    <row r="22" spans="1:24" x14ac:dyDescent="0.15">
      <c r="A22" s="172">
        <v>8</v>
      </c>
      <c r="B22" s="173">
        <v>42788</v>
      </c>
      <c r="C22" s="174" t="s">
        <v>362</v>
      </c>
      <c r="D22" s="291">
        <v>6</v>
      </c>
      <c r="E22" s="291">
        <v>7</v>
      </c>
      <c r="F22" s="291">
        <v>3</v>
      </c>
      <c r="G22" s="291">
        <v>2</v>
      </c>
      <c r="H22" s="291">
        <v>5</v>
      </c>
      <c r="I22" s="291">
        <v>6</v>
      </c>
      <c r="J22" s="292">
        <v>8</v>
      </c>
      <c r="K22" s="222">
        <v>5286880</v>
      </c>
      <c r="L22" s="223">
        <v>1</v>
      </c>
      <c r="M22" s="224">
        <v>2577777</v>
      </c>
      <c r="N22" s="225">
        <v>19401.8</v>
      </c>
      <c r="O22" s="226">
        <v>2</v>
      </c>
      <c r="P22" s="227">
        <v>25</v>
      </c>
      <c r="Q22" s="226">
        <v>202</v>
      </c>
      <c r="R22" s="227">
        <v>2196</v>
      </c>
      <c r="S22" s="226">
        <v>20802</v>
      </c>
      <c r="T22" s="227">
        <v>201942</v>
      </c>
      <c r="V22" s="228"/>
      <c r="X22" s="304"/>
    </row>
    <row r="23" spans="1:24" x14ac:dyDescent="0.15">
      <c r="A23" s="178"/>
      <c r="B23" s="179">
        <v>42791</v>
      </c>
      <c r="C23" s="180" t="s">
        <v>363</v>
      </c>
      <c r="D23" s="289">
        <v>5</v>
      </c>
      <c r="E23" s="289">
        <v>8</v>
      </c>
      <c r="F23" s="289">
        <v>7</v>
      </c>
      <c r="G23" s="289">
        <v>0</v>
      </c>
      <c r="H23" s="289">
        <v>1</v>
      </c>
      <c r="I23" s="289">
        <v>6</v>
      </c>
      <c r="J23" s="303">
        <v>2</v>
      </c>
      <c r="K23" s="229">
        <v>12544815</v>
      </c>
      <c r="L23" s="230" t="s">
        <v>23</v>
      </c>
      <c r="M23" s="229" t="s">
        <v>368</v>
      </c>
      <c r="N23" s="231">
        <v>911338.1</v>
      </c>
      <c r="O23" s="232">
        <v>5</v>
      </c>
      <c r="P23" s="233">
        <v>39</v>
      </c>
      <c r="Q23" s="232">
        <v>437</v>
      </c>
      <c r="R23" s="233">
        <v>4142</v>
      </c>
      <c r="S23" s="232">
        <v>41988</v>
      </c>
      <c r="T23" s="233">
        <v>409843</v>
      </c>
      <c r="V23" s="228"/>
      <c r="X23" s="304"/>
    </row>
    <row r="24" spans="1:24" x14ac:dyDescent="0.15">
      <c r="A24" s="172">
        <v>9</v>
      </c>
      <c r="B24" s="173">
        <v>42795</v>
      </c>
      <c r="C24" s="174" t="s">
        <v>362</v>
      </c>
      <c r="D24" s="291">
        <v>3</v>
      </c>
      <c r="E24" s="291">
        <v>7</v>
      </c>
      <c r="F24" s="291">
        <v>5</v>
      </c>
      <c r="G24" s="291">
        <v>1</v>
      </c>
      <c r="H24" s="291">
        <v>7</v>
      </c>
      <c r="I24" s="291">
        <v>3</v>
      </c>
      <c r="J24" s="292">
        <v>6</v>
      </c>
      <c r="K24" s="222">
        <v>5545082.5</v>
      </c>
      <c r="L24" s="223">
        <v>1</v>
      </c>
      <c r="M24" s="224">
        <v>1277777</v>
      </c>
      <c r="N24" s="225">
        <v>27816.5</v>
      </c>
      <c r="O24" s="226">
        <v>2</v>
      </c>
      <c r="P24" s="227">
        <v>22</v>
      </c>
      <c r="Q24" s="226">
        <v>219</v>
      </c>
      <c r="R24" s="227">
        <v>2188</v>
      </c>
      <c r="S24" s="226">
        <v>21514</v>
      </c>
      <c r="T24" s="227">
        <v>211429</v>
      </c>
      <c r="V24" s="228"/>
      <c r="X24" s="304"/>
    </row>
    <row r="25" spans="1:24" x14ac:dyDescent="0.15">
      <c r="A25" s="178"/>
      <c r="B25" s="179">
        <v>42798</v>
      </c>
      <c r="C25" s="180" t="s">
        <v>363</v>
      </c>
      <c r="D25" s="289">
        <v>2</v>
      </c>
      <c r="E25" s="289">
        <v>6</v>
      </c>
      <c r="F25" s="289">
        <v>2</v>
      </c>
      <c r="G25" s="289">
        <v>1</v>
      </c>
      <c r="H25" s="289">
        <v>0</v>
      </c>
      <c r="I25" s="289">
        <v>6</v>
      </c>
      <c r="J25" s="303">
        <v>9</v>
      </c>
      <c r="K25" s="229">
        <v>13067552.5</v>
      </c>
      <c r="L25" s="230">
        <v>1</v>
      </c>
      <c r="M25" s="229">
        <v>877777</v>
      </c>
      <c r="N25" s="231">
        <v>79142.5</v>
      </c>
      <c r="O25" s="232">
        <v>5</v>
      </c>
      <c r="P25" s="233">
        <v>54</v>
      </c>
      <c r="Q25" s="232">
        <v>507</v>
      </c>
      <c r="R25" s="233">
        <v>4693</v>
      </c>
      <c r="S25" s="232">
        <v>51524</v>
      </c>
      <c r="T25" s="233">
        <v>474489</v>
      </c>
      <c r="V25" s="228"/>
      <c r="X25" s="304"/>
    </row>
    <row r="26" spans="1:24" x14ac:dyDescent="0.15">
      <c r="A26" s="172">
        <v>10</v>
      </c>
      <c r="B26" s="173">
        <v>42802</v>
      </c>
      <c r="C26" s="174" t="s">
        <v>362</v>
      </c>
      <c r="D26" s="291">
        <v>9</v>
      </c>
      <c r="E26" s="291">
        <v>2</v>
      </c>
      <c r="F26" s="291">
        <v>5</v>
      </c>
      <c r="G26" s="291">
        <v>8</v>
      </c>
      <c r="H26" s="291">
        <v>8</v>
      </c>
      <c r="I26" s="291">
        <v>7</v>
      </c>
      <c r="J26" s="292">
        <v>9</v>
      </c>
      <c r="K26" s="222">
        <v>5809662.5</v>
      </c>
      <c r="L26" s="223" t="s">
        <v>23</v>
      </c>
      <c r="M26" s="224" t="s">
        <v>368</v>
      </c>
      <c r="N26" s="225">
        <v>492209.5</v>
      </c>
      <c r="O26" s="226">
        <v>3</v>
      </c>
      <c r="P26" s="227">
        <v>16</v>
      </c>
      <c r="Q26" s="226">
        <v>201</v>
      </c>
      <c r="R26" s="227">
        <v>2120</v>
      </c>
      <c r="S26" s="226">
        <v>20670</v>
      </c>
      <c r="T26" s="227">
        <v>201195</v>
      </c>
      <c r="V26" s="228"/>
      <c r="X26" s="304"/>
    </row>
    <row r="27" spans="1:24" x14ac:dyDescent="0.15">
      <c r="A27" s="178"/>
      <c r="B27" s="179">
        <v>42805</v>
      </c>
      <c r="C27" s="180" t="s">
        <v>363</v>
      </c>
      <c r="D27" s="289">
        <v>1</v>
      </c>
      <c r="E27" s="289">
        <v>6</v>
      </c>
      <c r="F27" s="289">
        <v>9</v>
      </c>
      <c r="G27" s="289">
        <v>5</v>
      </c>
      <c r="H27" s="289">
        <v>1</v>
      </c>
      <c r="I27" s="289">
        <v>8</v>
      </c>
      <c r="J27" s="303">
        <v>5</v>
      </c>
      <c r="K27" s="229">
        <v>13231280</v>
      </c>
      <c r="L27" s="230" t="s">
        <v>23</v>
      </c>
      <c r="M27" s="229" t="s">
        <v>368</v>
      </c>
      <c r="N27" s="231">
        <v>1432953.5</v>
      </c>
      <c r="O27" s="232">
        <v>9</v>
      </c>
      <c r="P27" s="233">
        <v>62</v>
      </c>
      <c r="Q27" s="232">
        <v>572</v>
      </c>
      <c r="R27" s="233">
        <v>5497</v>
      </c>
      <c r="S27" s="232">
        <v>56185</v>
      </c>
      <c r="T27" s="233">
        <v>561222</v>
      </c>
      <c r="V27" s="228"/>
      <c r="X27" s="304"/>
    </row>
    <row r="28" spans="1:24" x14ac:dyDescent="0.15">
      <c r="A28" s="172">
        <v>11</v>
      </c>
      <c r="B28" s="173">
        <v>42809</v>
      </c>
      <c r="C28" s="174" t="s">
        <v>362</v>
      </c>
      <c r="D28" s="291">
        <v>4</v>
      </c>
      <c r="E28" s="291">
        <v>4</v>
      </c>
      <c r="F28" s="291">
        <v>3</v>
      </c>
      <c r="G28" s="291">
        <v>8</v>
      </c>
      <c r="H28" s="291">
        <v>5</v>
      </c>
      <c r="I28" s="291">
        <v>4</v>
      </c>
      <c r="J28" s="292">
        <v>3</v>
      </c>
      <c r="K28" s="222">
        <v>6050220</v>
      </c>
      <c r="L28" s="223">
        <v>3</v>
      </c>
      <c r="M28" s="224">
        <v>577777</v>
      </c>
      <c r="N28" s="225">
        <v>129793.1</v>
      </c>
      <c r="O28" s="226">
        <v>4</v>
      </c>
      <c r="P28" s="227">
        <v>23</v>
      </c>
      <c r="Q28" s="226">
        <v>249</v>
      </c>
      <c r="R28" s="227">
        <v>2289</v>
      </c>
      <c r="S28" s="226">
        <v>23114</v>
      </c>
      <c r="T28" s="227">
        <v>237351</v>
      </c>
      <c r="V28" s="228"/>
      <c r="X28" s="304"/>
    </row>
    <row r="29" spans="1:24" x14ac:dyDescent="0.15">
      <c r="A29" s="178"/>
      <c r="B29" s="179">
        <v>42812</v>
      </c>
      <c r="C29" s="180" t="s">
        <v>363</v>
      </c>
      <c r="D29" s="289">
        <v>7</v>
      </c>
      <c r="E29" s="289">
        <v>6</v>
      </c>
      <c r="F29" s="289">
        <v>9</v>
      </c>
      <c r="G29" s="289">
        <v>1</v>
      </c>
      <c r="H29" s="289">
        <v>1</v>
      </c>
      <c r="I29" s="289">
        <v>1</v>
      </c>
      <c r="J29" s="303">
        <v>4</v>
      </c>
      <c r="K29" s="229">
        <v>13629850</v>
      </c>
      <c r="L29" s="230" t="s">
        <v>23</v>
      </c>
      <c r="M29" s="229" t="s">
        <v>368</v>
      </c>
      <c r="N29" s="231">
        <v>1098875.3999999999</v>
      </c>
      <c r="O29" s="232">
        <v>6</v>
      </c>
      <c r="P29" s="233">
        <v>50</v>
      </c>
      <c r="Q29" s="232">
        <v>402</v>
      </c>
      <c r="R29" s="233">
        <v>4322</v>
      </c>
      <c r="S29" s="232">
        <v>45266</v>
      </c>
      <c r="T29" s="233">
        <v>450485</v>
      </c>
      <c r="V29" s="228"/>
      <c r="X29" s="304"/>
    </row>
    <row r="30" spans="1:24" x14ac:dyDescent="0.15">
      <c r="A30" s="172">
        <v>12</v>
      </c>
      <c r="B30" s="173">
        <v>42816</v>
      </c>
      <c r="C30" s="174" t="s">
        <v>362</v>
      </c>
      <c r="D30" s="291">
        <v>2</v>
      </c>
      <c r="E30" s="291">
        <v>2</v>
      </c>
      <c r="F30" s="291">
        <v>5</v>
      </c>
      <c r="G30" s="291">
        <v>9</v>
      </c>
      <c r="H30" s="291">
        <v>8</v>
      </c>
      <c r="I30" s="291">
        <v>7</v>
      </c>
      <c r="J30" s="292">
        <v>5</v>
      </c>
      <c r="K30" s="222">
        <v>5185990</v>
      </c>
      <c r="L30" s="223" t="s">
        <v>23</v>
      </c>
      <c r="M30" s="224" t="s">
        <v>368</v>
      </c>
      <c r="N30" s="225">
        <v>1467599.3</v>
      </c>
      <c r="O30" s="226">
        <v>1</v>
      </c>
      <c r="P30" s="227">
        <v>23</v>
      </c>
      <c r="Q30" s="226">
        <v>244</v>
      </c>
      <c r="R30" s="227">
        <v>2332</v>
      </c>
      <c r="S30" s="226">
        <v>23008</v>
      </c>
      <c r="T30" s="227">
        <v>215638</v>
      </c>
      <c r="V30" s="228"/>
      <c r="X30" s="304"/>
    </row>
    <row r="31" spans="1:24" x14ac:dyDescent="0.15">
      <c r="A31" s="178"/>
      <c r="B31" s="179">
        <v>42819</v>
      </c>
      <c r="C31" s="180" t="s">
        <v>363</v>
      </c>
      <c r="D31" s="289">
        <v>7</v>
      </c>
      <c r="E31" s="289">
        <v>1</v>
      </c>
      <c r="F31" s="289">
        <v>6</v>
      </c>
      <c r="G31" s="289">
        <v>9</v>
      </c>
      <c r="H31" s="289">
        <v>8</v>
      </c>
      <c r="I31" s="289">
        <v>1</v>
      </c>
      <c r="J31" s="303">
        <v>0</v>
      </c>
      <c r="K31" s="229">
        <v>12478920</v>
      </c>
      <c r="L31" s="230" t="s">
        <v>23</v>
      </c>
      <c r="M31" s="229" t="s">
        <v>368</v>
      </c>
      <c r="N31" s="231">
        <v>2354850.5</v>
      </c>
      <c r="O31" s="232">
        <v>3</v>
      </c>
      <c r="P31" s="233">
        <v>33</v>
      </c>
      <c r="Q31" s="232">
        <v>302</v>
      </c>
      <c r="R31" s="233">
        <v>3313</v>
      </c>
      <c r="S31" s="232">
        <v>32400</v>
      </c>
      <c r="T31" s="233">
        <v>326601</v>
      </c>
      <c r="V31" s="228"/>
      <c r="X31" s="304"/>
    </row>
    <row r="32" spans="1:24" x14ac:dyDescent="0.15">
      <c r="A32" s="172">
        <v>13</v>
      </c>
      <c r="B32" s="173">
        <v>42823</v>
      </c>
      <c r="C32" s="174" t="s">
        <v>362</v>
      </c>
      <c r="D32" s="291">
        <v>8</v>
      </c>
      <c r="E32" s="291">
        <v>7</v>
      </c>
      <c r="F32" s="291">
        <v>4</v>
      </c>
      <c r="G32" s="291">
        <v>2</v>
      </c>
      <c r="H32" s="291">
        <v>1</v>
      </c>
      <c r="I32" s="291">
        <v>8</v>
      </c>
      <c r="J32" s="292">
        <v>4</v>
      </c>
      <c r="K32" s="222">
        <v>5193462.5</v>
      </c>
      <c r="L32" s="223">
        <v>1</v>
      </c>
      <c r="M32" s="224">
        <v>2677777</v>
      </c>
      <c r="N32" s="225">
        <v>46328.7</v>
      </c>
      <c r="O32" s="226">
        <v>1</v>
      </c>
      <c r="P32" s="227">
        <v>20</v>
      </c>
      <c r="Q32" s="226">
        <v>187</v>
      </c>
      <c r="R32" s="227">
        <v>1752</v>
      </c>
      <c r="S32" s="226">
        <v>17450</v>
      </c>
      <c r="T32" s="227">
        <v>172064</v>
      </c>
      <c r="V32" s="228"/>
      <c r="X32" s="304"/>
    </row>
    <row r="33" spans="1:24" x14ac:dyDescent="0.15">
      <c r="A33" s="178"/>
      <c r="B33" s="179">
        <v>42826</v>
      </c>
      <c r="C33" s="180" t="s">
        <v>363</v>
      </c>
      <c r="D33" s="289">
        <v>3</v>
      </c>
      <c r="E33" s="289">
        <v>6</v>
      </c>
      <c r="F33" s="289">
        <v>1</v>
      </c>
      <c r="G33" s="289">
        <v>5</v>
      </c>
      <c r="H33" s="289">
        <v>8</v>
      </c>
      <c r="I33" s="289">
        <v>3</v>
      </c>
      <c r="J33" s="303">
        <v>1</v>
      </c>
      <c r="K33" s="229">
        <v>13007977.5</v>
      </c>
      <c r="L33" s="230">
        <v>1</v>
      </c>
      <c r="M33" s="229">
        <v>877777</v>
      </c>
      <c r="N33" s="231">
        <v>93418.9</v>
      </c>
      <c r="O33" s="232">
        <v>3</v>
      </c>
      <c r="P33" s="233">
        <v>49</v>
      </c>
      <c r="Q33" s="232">
        <v>407</v>
      </c>
      <c r="R33" s="233">
        <v>3947</v>
      </c>
      <c r="S33" s="232">
        <v>39514</v>
      </c>
      <c r="T33" s="233">
        <v>388446</v>
      </c>
      <c r="U33" s="240"/>
      <c r="V33" s="228"/>
      <c r="X33" s="304"/>
    </row>
    <row r="34" spans="1:24" x14ac:dyDescent="0.15">
      <c r="A34" s="172">
        <v>14</v>
      </c>
      <c r="B34" s="173">
        <v>42830</v>
      </c>
      <c r="C34" s="174" t="s">
        <v>362</v>
      </c>
      <c r="D34" s="291">
        <v>6</v>
      </c>
      <c r="E34" s="291">
        <v>5</v>
      </c>
      <c r="F34" s="291">
        <v>8</v>
      </c>
      <c r="G34" s="291">
        <v>8</v>
      </c>
      <c r="H34" s="291">
        <v>3</v>
      </c>
      <c r="I34" s="291">
        <v>3</v>
      </c>
      <c r="J34" s="292">
        <v>0</v>
      </c>
      <c r="K34" s="222">
        <v>5066875</v>
      </c>
      <c r="L34" s="223" t="s">
        <v>23</v>
      </c>
      <c r="M34" s="224" t="s">
        <v>368</v>
      </c>
      <c r="N34" s="225">
        <v>453673.7</v>
      </c>
      <c r="O34" s="226" t="s">
        <v>17</v>
      </c>
      <c r="P34" s="227">
        <v>17</v>
      </c>
      <c r="Q34" s="226">
        <v>137</v>
      </c>
      <c r="R34" s="227">
        <v>1327</v>
      </c>
      <c r="S34" s="226">
        <v>13245</v>
      </c>
      <c r="T34" s="227">
        <v>138401</v>
      </c>
      <c r="V34" s="228"/>
      <c r="X34" s="304"/>
    </row>
    <row r="35" spans="1:24" x14ac:dyDescent="0.15">
      <c r="A35" s="178"/>
      <c r="B35" s="179">
        <v>42833</v>
      </c>
      <c r="C35" s="180" t="s">
        <v>363</v>
      </c>
      <c r="D35" s="289">
        <v>3</v>
      </c>
      <c r="E35" s="289">
        <v>6</v>
      </c>
      <c r="F35" s="289">
        <v>7</v>
      </c>
      <c r="G35" s="289">
        <v>5</v>
      </c>
      <c r="H35" s="289">
        <v>5</v>
      </c>
      <c r="I35" s="289">
        <v>2</v>
      </c>
      <c r="J35" s="303">
        <v>9</v>
      </c>
      <c r="K35" s="229">
        <v>12711395</v>
      </c>
      <c r="L35" s="230" t="s">
        <v>23</v>
      </c>
      <c r="M35" s="229" t="s">
        <v>368</v>
      </c>
      <c r="N35" s="231">
        <v>1357453.9</v>
      </c>
      <c r="O35" s="232">
        <v>3</v>
      </c>
      <c r="P35" s="233">
        <v>46</v>
      </c>
      <c r="Q35" s="232">
        <v>472</v>
      </c>
      <c r="R35" s="233">
        <v>4715</v>
      </c>
      <c r="S35" s="232">
        <v>47270</v>
      </c>
      <c r="T35" s="233">
        <v>468055</v>
      </c>
      <c r="V35" s="228"/>
      <c r="X35" s="304"/>
    </row>
    <row r="36" spans="1:24" x14ac:dyDescent="0.15">
      <c r="A36" s="172">
        <v>15</v>
      </c>
      <c r="B36" s="173">
        <v>42837</v>
      </c>
      <c r="C36" s="174" t="s">
        <v>362</v>
      </c>
      <c r="D36" s="291">
        <v>4</v>
      </c>
      <c r="E36" s="291">
        <v>5</v>
      </c>
      <c r="F36" s="291">
        <v>7</v>
      </c>
      <c r="G36" s="291">
        <v>6</v>
      </c>
      <c r="H36" s="291">
        <v>9</v>
      </c>
      <c r="I36" s="291">
        <v>5</v>
      </c>
      <c r="J36" s="292">
        <v>3</v>
      </c>
      <c r="K36" s="222">
        <v>5275030</v>
      </c>
      <c r="L36" s="234" t="s">
        <v>23</v>
      </c>
      <c r="M36" s="224" t="s">
        <v>368</v>
      </c>
      <c r="N36" s="225">
        <v>1732508.5</v>
      </c>
      <c r="O36" s="226">
        <v>2</v>
      </c>
      <c r="P36" s="227">
        <v>23</v>
      </c>
      <c r="Q36" s="226">
        <v>196</v>
      </c>
      <c r="R36" s="227">
        <v>2404</v>
      </c>
      <c r="S36" s="226">
        <v>22022</v>
      </c>
      <c r="T36" s="227">
        <v>206462</v>
      </c>
      <c r="V36" s="228"/>
      <c r="X36" s="304"/>
    </row>
    <row r="37" spans="1:24" x14ac:dyDescent="0.15">
      <c r="A37" s="178"/>
      <c r="B37" s="179">
        <v>42840</v>
      </c>
      <c r="C37" s="180" t="s">
        <v>363</v>
      </c>
      <c r="D37" s="289">
        <v>6</v>
      </c>
      <c r="E37" s="289">
        <v>2</v>
      </c>
      <c r="F37" s="289">
        <v>8</v>
      </c>
      <c r="G37" s="289">
        <v>9</v>
      </c>
      <c r="H37" s="289">
        <v>3</v>
      </c>
      <c r="I37" s="289">
        <v>0</v>
      </c>
      <c r="J37" s="303">
        <v>5</v>
      </c>
      <c r="K37" s="229">
        <v>13074382.5</v>
      </c>
      <c r="L37" s="230" t="s">
        <v>23</v>
      </c>
      <c r="M37" s="229" t="s">
        <v>368</v>
      </c>
      <c r="N37" s="231">
        <v>2662097.1</v>
      </c>
      <c r="O37" s="232">
        <v>7</v>
      </c>
      <c r="P37" s="233">
        <v>45</v>
      </c>
      <c r="Q37" s="232">
        <v>434</v>
      </c>
      <c r="R37" s="233">
        <v>4659</v>
      </c>
      <c r="S37" s="232">
        <v>45811</v>
      </c>
      <c r="T37" s="233">
        <v>563071</v>
      </c>
      <c r="V37" s="228"/>
      <c r="X37" s="304"/>
    </row>
    <row r="38" spans="1:24" x14ac:dyDescent="0.15">
      <c r="A38" s="172">
        <v>16</v>
      </c>
      <c r="B38" s="173">
        <v>42844</v>
      </c>
      <c r="C38" s="174" t="s">
        <v>362</v>
      </c>
      <c r="D38" s="291">
        <v>8</v>
      </c>
      <c r="E38" s="291">
        <v>4</v>
      </c>
      <c r="F38" s="291">
        <v>2</v>
      </c>
      <c r="G38" s="291">
        <v>2</v>
      </c>
      <c r="H38" s="291">
        <v>6</v>
      </c>
      <c r="I38" s="291">
        <v>6</v>
      </c>
      <c r="J38" s="292">
        <v>9</v>
      </c>
      <c r="K38" s="222">
        <v>5203755</v>
      </c>
      <c r="L38" s="234" t="s">
        <v>23</v>
      </c>
      <c r="M38" s="224" t="s">
        <v>368</v>
      </c>
      <c r="N38" s="225">
        <v>3032084.1</v>
      </c>
      <c r="O38" s="226">
        <v>2</v>
      </c>
      <c r="P38" s="227">
        <v>14</v>
      </c>
      <c r="Q38" s="226">
        <v>206</v>
      </c>
      <c r="R38" s="227">
        <v>1885</v>
      </c>
      <c r="S38" s="226">
        <v>19553</v>
      </c>
      <c r="T38" s="227">
        <v>180237</v>
      </c>
      <c r="V38" s="228"/>
      <c r="X38" s="304"/>
    </row>
    <row r="39" spans="1:24" x14ac:dyDescent="0.15">
      <c r="A39" s="178"/>
      <c r="B39" s="179">
        <v>42847</v>
      </c>
      <c r="C39" s="180" t="s">
        <v>363</v>
      </c>
      <c r="D39" s="289">
        <v>2</v>
      </c>
      <c r="E39" s="289">
        <v>1</v>
      </c>
      <c r="F39" s="289">
        <v>5</v>
      </c>
      <c r="G39" s="289">
        <v>2</v>
      </c>
      <c r="H39" s="289">
        <v>1</v>
      </c>
      <c r="I39" s="289">
        <v>6</v>
      </c>
      <c r="J39" s="303">
        <v>8</v>
      </c>
      <c r="K39" s="229">
        <v>12625687.5</v>
      </c>
      <c r="L39" s="230">
        <v>1</v>
      </c>
      <c r="M39" s="229">
        <v>3877777</v>
      </c>
      <c r="N39" s="231">
        <v>51993.5</v>
      </c>
      <c r="O39" s="232">
        <v>12</v>
      </c>
      <c r="P39" s="233">
        <v>40</v>
      </c>
      <c r="Q39" s="232">
        <v>530</v>
      </c>
      <c r="R39" s="233">
        <v>5117</v>
      </c>
      <c r="S39" s="232">
        <v>52733</v>
      </c>
      <c r="T39" s="233">
        <v>490495</v>
      </c>
      <c r="V39" s="228"/>
      <c r="X39" s="304"/>
    </row>
    <row r="40" spans="1:24" x14ac:dyDescent="0.15">
      <c r="A40" s="172">
        <v>17</v>
      </c>
      <c r="B40" s="173">
        <v>42851</v>
      </c>
      <c r="C40" s="174" t="s">
        <v>362</v>
      </c>
      <c r="D40" s="291">
        <v>7</v>
      </c>
      <c r="E40" s="291">
        <v>4</v>
      </c>
      <c r="F40" s="291">
        <v>7</v>
      </c>
      <c r="G40" s="291">
        <v>1</v>
      </c>
      <c r="H40" s="291">
        <v>3</v>
      </c>
      <c r="I40" s="291">
        <v>2</v>
      </c>
      <c r="J40" s="292">
        <v>5</v>
      </c>
      <c r="K40" s="222">
        <v>4974112.5</v>
      </c>
      <c r="L40" s="223" t="s">
        <v>23</v>
      </c>
      <c r="M40" s="224" t="s">
        <v>368</v>
      </c>
      <c r="N40" s="225">
        <v>405652.9</v>
      </c>
      <c r="O40" s="226">
        <v>1</v>
      </c>
      <c r="P40" s="227">
        <v>19</v>
      </c>
      <c r="Q40" s="226">
        <v>203</v>
      </c>
      <c r="R40" s="227">
        <v>2128</v>
      </c>
      <c r="S40" s="226">
        <v>21145</v>
      </c>
      <c r="T40" s="227">
        <v>206296</v>
      </c>
      <c r="V40" s="228"/>
      <c r="X40" s="304"/>
    </row>
    <row r="41" spans="1:24" x14ac:dyDescent="0.15">
      <c r="A41" s="178"/>
      <c r="B41" s="179">
        <v>42854</v>
      </c>
      <c r="C41" s="180" t="s">
        <v>363</v>
      </c>
      <c r="D41" s="289">
        <v>1</v>
      </c>
      <c r="E41" s="289">
        <v>7</v>
      </c>
      <c r="F41" s="289">
        <v>7</v>
      </c>
      <c r="G41" s="289">
        <v>7</v>
      </c>
      <c r="H41" s="289">
        <v>9</v>
      </c>
      <c r="I41" s="289">
        <v>5</v>
      </c>
      <c r="J41" s="303">
        <v>4</v>
      </c>
      <c r="K41" s="229">
        <v>12396247.5</v>
      </c>
      <c r="L41" s="230" t="s">
        <v>23</v>
      </c>
      <c r="M41" s="229" t="s">
        <v>368</v>
      </c>
      <c r="N41" s="231">
        <v>1287026.1000000001</v>
      </c>
      <c r="O41" s="232">
        <v>7</v>
      </c>
      <c r="P41" s="233">
        <v>47</v>
      </c>
      <c r="Q41" s="232">
        <v>435</v>
      </c>
      <c r="R41" s="233">
        <v>4718</v>
      </c>
      <c r="S41" s="232">
        <v>42444</v>
      </c>
      <c r="T41" s="233">
        <v>407178</v>
      </c>
      <c r="V41" s="228"/>
      <c r="X41" s="304"/>
    </row>
    <row r="42" spans="1:24" x14ac:dyDescent="0.15">
      <c r="A42" s="172">
        <v>18</v>
      </c>
      <c r="B42" s="173">
        <v>42858</v>
      </c>
      <c r="C42" s="174" t="s">
        <v>362</v>
      </c>
      <c r="D42" s="291">
        <v>5</v>
      </c>
      <c r="E42" s="291">
        <v>8</v>
      </c>
      <c r="F42" s="291">
        <v>3</v>
      </c>
      <c r="G42" s="291">
        <v>5</v>
      </c>
      <c r="H42" s="291">
        <v>5</v>
      </c>
      <c r="I42" s="291">
        <v>3</v>
      </c>
      <c r="J42" s="292">
        <v>3</v>
      </c>
      <c r="K42" s="222">
        <v>5088935</v>
      </c>
      <c r="L42" s="234">
        <v>1</v>
      </c>
      <c r="M42" s="224">
        <v>1577777</v>
      </c>
      <c r="N42" s="225">
        <v>71072.399999999994</v>
      </c>
      <c r="O42" s="226">
        <v>5</v>
      </c>
      <c r="P42" s="227">
        <v>13</v>
      </c>
      <c r="Q42" s="226">
        <v>211</v>
      </c>
      <c r="R42" s="227">
        <v>1911</v>
      </c>
      <c r="S42" s="226">
        <v>20217</v>
      </c>
      <c r="T42" s="227">
        <v>199669</v>
      </c>
      <c r="V42" s="228"/>
      <c r="X42" s="304"/>
    </row>
    <row r="43" spans="1:24" x14ac:dyDescent="0.15">
      <c r="A43" s="178"/>
      <c r="B43" s="179">
        <v>42861</v>
      </c>
      <c r="C43" s="180" t="s">
        <v>363</v>
      </c>
      <c r="D43" s="289">
        <v>5</v>
      </c>
      <c r="E43" s="289">
        <v>7</v>
      </c>
      <c r="F43" s="289">
        <v>2</v>
      </c>
      <c r="G43" s="289">
        <v>1</v>
      </c>
      <c r="H43" s="289">
        <v>3</v>
      </c>
      <c r="I43" s="289">
        <v>5</v>
      </c>
      <c r="J43" s="303">
        <v>1</v>
      </c>
      <c r="K43" s="229">
        <v>12394390</v>
      </c>
      <c r="L43" s="237" t="s">
        <v>23</v>
      </c>
      <c r="M43" s="229" t="s">
        <v>368</v>
      </c>
      <c r="N43" s="231">
        <v>952313.5</v>
      </c>
      <c r="O43" s="232">
        <v>4</v>
      </c>
      <c r="P43" s="233">
        <v>42</v>
      </c>
      <c r="Q43" s="232">
        <v>400</v>
      </c>
      <c r="R43" s="233">
        <v>3956</v>
      </c>
      <c r="S43" s="232">
        <v>38242</v>
      </c>
      <c r="T43" s="233">
        <v>367305</v>
      </c>
      <c r="V43" s="228"/>
      <c r="X43" s="304"/>
    </row>
    <row r="44" spans="1:24" x14ac:dyDescent="0.15">
      <c r="A44" s="172">
        <v>19</v>
      </c>
      <c r="B44" s="173">
        <v>42865</v>
      </c>
      <c r="C44" s="174" t="s">
        <v>362</v>
      </c>
      <c r="D44" s="291">
        <v>5</v>
      </c>
      <c r="E44" s="291">
        <v>5</v>
      </c>
      <c r="F44" s="291">
        <v>3</v>
      </c>
      <c r="G44" s="291">
        <v>7</v>
      </c>
      <c r="H44" s="291">
        <v>3</v>
      </c>
      <c r="I44" s="291">
        <v>7</v>
      </c>
      <c r="J44" s="292">
        <v>8</v>
      </c>
      <c r="K44" s="222">
        <v>5416737.5</v>
      </c>
      <c r="L44" s="234" t="s">
        <v>23</v>
      </c>
      <c r="M44" s="224" t="s">
        <v>368</v>
      </c>
      <c r="N44" s="225">
        <v>1337443.5</v>
      </c>
      <c r="O44" s="226">
        <v>1</v>
      </c>
      <c r="P44" s="227">
        <v>21</v>
      </c>
      <c r="Q44" s="226">
        <v>186</v>
      </c>
      <c r="R44" s="227">
        <v>2080</v>
      </c>
      <c r="S44" s="226">
        <v>20850</v>
      </c>
      <c r="T44" s="227">
        <v>205613</v>
      </c>
      <c r="V44" s="228"/>
      <c r="X44" s="304"/>
    </row>
    <row r="45" spans="1:24" x14ac:dyDescent="0.15">
      <c r="A45" s="178"/>
      <c r="B45" s="179">
        <v>42868</v>
      </c>
      <c r="C45" s="180" t="s">
        <v>363</v>
      </c>
      <c r="D45" s="289">
        <v>6</v>
      </c>
      <c r="E45" s="289">
        <v>8</v>
      </c>
      <c r="F45" s="289">
        <v>8</v>
      </c>
      <c r="G45" s="289">
        <v>9</v>
      </c>
      <c r="H45" s="289">
        <v>3</v>
      </c>
      <c r="I45" s="289">
        <v>3</v>
      </c>
      <c r="J45" s="303">
        <v>6</v>
      </c>
      <c r="K45" s="229">
        <v>12672477.5</v>
      </c>
      <c r="L45" s="237" t="s">
        <v>23</v>
      </c>
      <c r="M45" s="229" t="s">
        <v>368</v>
      </c>
      <c r="N45" s="285">
        <v>2238456.7000000002</v>
      </c>
      <c r="O45" s="232">
        <v>2</v>
      </c>
      <c r="P45" s="233">
        <v>47</v>
      </c>
      <c r="Q45" s="232">
        <v>461</v>
      </c>
      <c r="R45" s="233">
        <v>4761</v>
      </c>
      <c r="S45" s="232">
        <v>49737</v>
      </c>
      <c r="T45" s="233">
        <v>473449</v>
      </c>
      <c r="V45" s="228"/>
      <c r="X45" s="304"/>
    </row>
    <row r="46" spans="1:24" x14ac:dyDescent="0.15">
      <c r="A46" s="172">
        <v>20</v>
      </c>
      <c r="B46" s="173">
        <v>42872</v>
      </c>
      <c r="C46" s="174" t="s">
        <v>362</v>
      </c>
      <c r="D46" s="291">
        <v>9</v>
      </c>
      <c r="E46" s="291">
        <v>9</v>
      </c>
      <c r="F46" s="291">
        <v>1</v>
      </c>
      <c r="G46" s="291">
        <v>2</v>
      </c>
      <c r="H46" s="291">
        <v>3</v>
      </c>
      <c r="I46" s="291">
        <v>8</v>
      </c>
      <c r="J46" s="292">
        <v>3</v>
      </c>
      <c r="K46" s="222">
        <v>5418387.5</v>
      </c>
      <c r="L46" s="234" t="s">
        <v>23</v>
      </c>
      <c r="M46" s="222" t="s">
        <v>368</v>
      </c>
      <c r="N46" s="225">
        <v>2623704.1</v>
      </c>
      <c r="O46" s="226">
        <v>5</v>
      </c>
      <c r="P46" s="227">
        <v>23</v>
      </c>
      <c r="Q46" s="226">
        <v>181</v>
      </c>
      <c r="R46" s="227">
        <v>2123</v>
      </c>
      <c r="S46" s="226">
        <v>21483</v>
      </c>
      <c r="T46" s="227">
        <v>213036</v>
      </c>
      <c r="V46" s="228"/>
      <c r="X46" s="304"/>
    </row>
    <row r="47" spans="1:24" x14ac:dyDescent="0.15">
      <c r="A47" s="178"/>
      <c r="B47" s="179">
        <v>42875</v>
      </c>
      <c r="C47" s="180" t="s">
        <v>363</v>
      </c>
      <c r="D47" s="289">
        <v>4</v>
      </c>
      <c r="E47" s="289">
        <v>0</v>
      </c>
      <c r="F47" s="289">
        <v>7</v>
      </c>
      <c r="G47" s="289">
        <v>2</v>
      </c>
      <c r="H47" s="289">
        <v>7</v>
      </c>
      <c r="I47" s="289">
        <v>5</v>
      </c>
      <c r="J47" s="303">
        <v>5</v>
      </c>
      <c r="K47" s="229">
        <v>12727232.5</v>
      </c>
      <c r="L47" s="230">
        <v>2</v>
      </c>
      <c r="M47" s="286">
        <v>1677777</v>
      </c>
      <c r="N47" s="231">
        <v>173056.3</v>
      </c>
      <c r="O47" s="232">
        <v>5</v>
      </c>
      <c r="P47" s="233">
        <v>67</v>
      </c>
      <c r="Q47" s="232">
        <v>619</v>
      </c>
      <c r="R47" s="233">
        <v>5781</v>
      </c>
      <c r="S47" s="232">
        <v>58307</v>
      </c>
      <c r="T47" s="233">
        <v>540244</v>
      </c>
      <c r="V47" s="228"/>
      <c r="X47" s="304"/>
    </row>
    <row r="48" spans="1:24" x14ac:dyDescent="0.15">
      <c r="A48" s="172">
        <v>21</v>
      </c>
      <c r="B48" s="173">
        <v>42879</v>
      </c>
      <c r="C48" s="174" t="s">
        <v>362</v>
      </c>
      <c r="D48" s="305">
        <v>4</v>
      </c>
      <c r="E48" s="291">
        <v>1</v>
      </c>
      <c r="F48" s="291">
        <v>4</v>
      </c>
      <c r="G48" s="291">
        <v>1</v>
      </c>
      <c r="H48" s="291">
        <v>3</v>
      </c>
      <c r="I48" s="291">
        <v>0</v>
      </c>
      <c r="J48" s="292">
        <v>2</v>
      </c>
      <c r="K48" s="222">
        <v>5718390</v>
      </c>
      <c r="L48" s="234" t="s">
        <v>23</v>
      </c>
      <c r="M48" s="224" t="s">
        <v>368</v>
      </c>
      <c r="N48" s="285">
        <v>579633.80000000005</v>
      </c>
      <c r="O48" s="226" t="s">
        <v>17</v>
      </c>
      <c r="P48" s="227">
        <v>14</v>
      </c>
      <c r="Q48" s="226">
        <v>169</v>
      </c>
      <c r="R48" s="227">
        <v>1699</v>
      </c>
      <c r="S48" s="226">
        <v>16537</v>
      </c>
      <c r="T48" s="227">
        <v>188989</v>
      </c>
      <c r="V48" s="228"/>
      <c r="X48" s="304"/>
    </row>
    <row r="49" spans="1:24" x14ac:dyDescent="0.15">
      <c r="A49" s="178"/>
      <c r="B49" s="179">
        <v>42882</v>
      </c>
      <c r="C49" s="180" t="s">
        <v>363</v>
      </c>
      <c r="D49" s="306">
        <v>9</v>
      </c>
      <c r="E49" s="306">
        <v>2</v>
      </c>
      <c r="F49" s="306">
        <v>0</v>
      </c>
      <c r="G49" s="306">
        <v>6</v>
      </c>
      <c r="H49" s="306">
        <v>5</v>
      </c>
      <c r="I49" s="306">
        <v>5</v>
      </c>
      <c r="J49" s="303">
        <v>8</v>
      </c>
      <c r="K49" s="229">
        <v>12576115</v>
      </c>
      <c r="L49" s="237">
        <v>2</v>
      </c>
      <c r="M49" s="229">
        <v>677777</v>
      </c>
      <c r="N49" s="231">
        <v>118241.60000000001</v>
      </c>
      <c r="O49" s="232">
        <v>2</v>
      </c>
      <c r="P49" s="233">
        <v>51</v>
      </c>
      <c r="Q49" s="232">
        <v>527</v>
      </c>
      <c r="R49" s="233">
        <v>5298</v>
      </c>
      <c r="S49" s="232">
        <v>53099</v>
      </c>
      <c r="T49" s="233">
        <v>489247</v>
      </c>
      <c r="V49" s="228"/>
      <c r="X49" s="304"/>
    </row>
    <row r="50" spans="1:24" x14ac:dyDescent="0.15">
      <c r="A50" s="172">
        <v>22</v>
      </c>
      <c r="B50" s="173">
        <v>42886</v>
      </c>
      <c r="C50" s="174" t="s">
        <v>362</v>
      </c>
      <c r="D50" s="291">
        <v>6</v>
      </c>
      <c r="E50" s="291">
        <v>7</v>
      </c>
      <c r="F50" s="291">
        <v>8</v>
      </c>
      <c r="G50" s="291">
        <v>4</v>
      </c>
      <c r="H50" s="291">
        <v>6</v>
      </c>
      <c r="I50" s="291">
        <v>7</v>
      </c>
      <c r="J50" s="292">
        <v>3</v>
      </c>
      <c r="K50" s="222">
        <v>5819592.5</v>
      </c>
      <c r="L50" s="234">
        <v>2</v>
      </c>
      <c r="M50" s="224">
        <v>177777</v>
      </c>
      <c r="N50" s="225">
        <v>176460.6</v>
      </c>
      <c r="O50" s="226">
        <v>4</v>
      </c>
      <c r="P50" s="227">
        <v>26</v>
      </c>
      <c r="Q50" s="226">
        <v>245</v>
      </c>
      <c r="R50" s="227">
        <v>2298</v>
      </c>
      <c r="S50" s="226">
        <v>23254</v>
      </c>
      <c r="T50" s="227">
        <v>227213</v>
      </c>
      <c r="V50" s="228"/>
      <c r="X50" s="304"/>
    </row>
    <row r="51" spans="1:24" x14ac:dyDescent="0.15">
      <c r="A51" s="178"/>
      <c r="B51" s="179">
        <v>42889</v>
      </c>
      <c r="C51" s="180" t="s">
        <v>363</v>
      </c>
      <c r="D51" s="289">
        <v>3</v>
      </c>
      <c r="E51" s="289">
        <v>1</v>
      </c>
      <c r="F51" s="289">
        <v>8</v>
      </c>
      <c r="G51" s="289">
        <v>5</v>
      </c>
      <c r="H51" s="289">
        <v>9</v>
      </c>
      <c r="I51" s="289">
        <v>2</v>
      </c>
      <c r="J51" s="303">
        <v>6</v>
      </c>
      <c r="K51" s="229">
        <v>13313222.5</v>
      </c>
      <c r="L51" s="237">
        <v>1</v>
      </c>
      <c r="M51" s="229">
        <v>1077777</v>
      </c>
      <c r="N51" s="231">
        <v>45253.7</v>
      </c>
      <c r="O51" s="232">
        <v>7</v>
      </c>
      <c r="P51" s="233">
        <v>52</v>
      </c>
      <c r="Q51" s="232">
        <v>484</v>
      </c>
      <c r="R51" s="233">
        <v>5201</v>
      </c>
      <c r="S51" s="232">
        <v>50520</v>
      </c>
      <c r="T51" s="233">
        <v>497766</v>
      </c>
      <c r="V51" s="228"/>
      <c r="X51" s="304"/>
    </row>
    <row r="52" spans="1:24" x14ac:dyDescent="0.15">
      <c r="A52" s="172">
        <v>23</v>
      </c>
      <c r="B52" s="173">
        <v>42893</v>
      </c>
      <c r="C52" s="174" t="s">
        <v>362</v>
      </c>
      <c r="D52" s="291">
        <v>2</v>
      </c>
      <c r="E52" s="291">
        <v>4</v>
      </c>
      <c r="F52" s="291">
        <v>2</v>
      </c>
      <c r="G52" s="291">
        <v>9</v>
      </c>
      <c r="H52" s="291">
        <v>8</v>
      </c>
      <c r="I52" s="291">
        <v>4</v>
      </c>
      <c r="J52" s="292">
        <v>7</v>
      </c>
      <c r="K52" s="222">
        <v>6764020</v>
      </c>
      <c r="L52" s="234" t="s">
        <v>23</v>
      </c>
      <c r="M52" s="224" t="s">
        <v>368</v>
      </c>
      <c r="N52" s="225">
        <v>526175.5</v>
      </c>
      <c r="O52" s="226">
        <v>5</v>
      </c>
      <c r="P52" s="227">
        <v>25</v>
      </c>
      <c r="Q52" s="226">
        <v>282</v>
      </c>
      <c r="R52" s="227">
        <v>2924</v>
      </c>
      <c r="S52" s="226">
        <v>30010</v>
      </c>
      <c r="T52" s="227">
        <v>294851</v>
      </c>
      <c r="V52" s="228"/>
      <c r="X52" s="304"/>
    </row>
    <row r="53" spans="1:24" x14ac:dyDescent="0.15">
      <c r="A53" s="178"/>
      <c r="B53" s="179">
        <v>42896</v>
      </c>
      <c r="C53" s="180" t="s">
        <v>363</v>
      </c>
      <c r="D53" s="289">
        <v>4</v>
      </c>
      <c r="E53" s="289">
        <v>7</v>
      </c>
      <c r="F53" s="289">
        <v>4</v>
      </c>
      <c r="G53" s="289">
        <v>6</v>
      </c>
      <c r="H53" s="289">
        <v>7</v>
      </c>
      <c r="I53" s="289">
        <v>5</v>
      </c>
      <c r="J53" s="303">
        <v>4</v>
      </c>
      <c r="K53" s="229">
        <v>12195955</v>
      </c>
      <c r="L53" s="237">
        <v>1</v>
      </c>
      <c r="M53" s="229">
        <v>1377777</v>
      </c>
      <c r="N53" s="231">
        <v>15530.9</v>
      </c>
      <c r="O53" s="232" t="s">
        <v>17</v>
      </c>
      <c r="P53" s="233">
        <v>41</v>
      </c>
      <c r="Q53" s="232">
        <v>449</v>
      </c>
      <c r="R53" s="233">
        <v>4147</v>
      </c>
      <c r="S53" s="232">
        <v>42134</v>
      </c>
      <c r="T53" s="233">
        <v>397678</v>
      </c>
      <c r="V53" s="228"/>
      <c r="X53" s="304"/>
    </row>
    <row r="54" spans="1:24" x14ac:dyDescent="0.15">
      <c r="A54" s="172">
        <v>24</v>
      </c>
      <c r="B54" s="173">
        <v>42900</v>
      </c>
      <c r="C54" s="174" t="s">
        <v>362</v>
      </c>
      <c r="D54" s="291">
        <v>5</v>
      </c>
      <c r="E54" s="291">
        <v>0</v>
      </c>
      <c r="F54" s="291">
        <v>6</v>
      </c>
      <c r="G54" s="291">
        <v>1</v>
      </c>
      <c r="H54" s="291">
        <v>3</v>
      </c>
      <c r="I54" s="291">
        <v>4</v>
      </c>
      <c r="J54" s="292">
        <v>9</v>
      </c>
      <c r="K54" s="222">
        <v>5213277.5</v>
      </c>
      <c r="L54" s="223" t="s">
        <v>23</v>
      </c>
      <c r="M54" s="224" t="s">
        <v>368</v>
      </c>
      <c r="N54" s="225">
        <v>386194.9</v>
      </c>
      <c r="O54" s="226">
        <v>2</v>
      </c>
      <c r="P54" s="227">
        <v>18</v>
      </c>
      <c r="Q54" s="226">
        <v>175</v>
      </c>
      <c r="R54" s="227">
        <v>1779</v>
      </c>
      <c r="S54" s="226">
        <v>18269</v>
      </c>
      <c r="T54" s="227">
        <v>181123</v>
      </c>
      <c r="V54" s="228"/>
      <c r="X54" s="304"/>
    </row>
    <row r="55" spans="1:24" x14ac:dyDescent="0.15">
      <c r="A55" s="178"/>
      <c r="B55" s="179">
        <v>42903</v>
      </c>
      <c r="C55" s="180" t="s">
        <v>363</v>
      </c>
      <c r="D55" s="289">
        <v>8</v>
      </c>
      <c r="E55" s="289">
        <v>1</v>
      </c>
      <c r="F55" s="289">
        <v>8</v>
      </c>
      <c r="G55" s="289">
        <v>5</v>
      </c>
      <c r="H55" s="289">
        <v>9</v>
      </c>
      <c r="I55" s="289">
        <v>3</v>
      </c>
      <c r="J55" s="303">
        <v>0</v>
      </c>
      <c r="K55" s="229">
        <v>12048400</v>
      </c>
      <c r="L55" s="230" t="s">
        <v>23</v>
      </c>
      <c r="M55" s="229" t="s">
        <v>368</v>
      </c>
      <c r="N55" s="231">
        <v>1242836.1000000001</v>
      </c>
      <c r="O55" s="232">
        <v>4</v>
      </c>
      <c r="P55" s="233">
        <v>30</v>
      </c>
      <c r="Q55" s="232">
        <v>318</v>
      </c>
      <c r="R55" s="233">
        <v>3148</v>
      </c>
      <c r="S55" s="232">
        <v>30799</v>
      </c>
      <c r="T55" s="233">
        <v>316155</v>
      </c>
      <c r="V55" s="228"/>
      <c r="X55" s="304"/>
    </row>
    <row r="56" spans="1:24" x14ac:dyDescent="0.15">
      <c r="A56" s="172">
        <v>25</v>
      </c>
      <c r="B56" s="173">
        <v>42907</v>
      </c>
      <c r="C56" s="174" t="s">
        <v>362</v>
      </c>
      <c r="D56" s="291">
        <v>3</v>
      </c>
      <c r="E56" s="291">
        <v>6</v>
      </c>
      <c r="F56" s="291">
        <v>4</v>
      </c>
      <c r="G56" s="291">
        <v>7</v>
      </c>
      <c r="H56" s="291">
        <v>5</v>
      </c>
      <c r="I56" s="291">
        <v>4</v>
      </c>
      <c r="J56" s="292">
        <v>4</v>
      </c>
      <c r="K56" s="222">
        <v>4896580</v>
      </c>
      <c r="L56" s="234">
        <v>1</v>
      </c>
      <c r="M56" s="224">
        <v>1577777</v>
      </c>
      <c r="N56" s="225">
        <v>13205.9</v>
      </c>
      <c r="O56" s="226">
        <v>2</v>
      </c>
      <c r="P56" s="227">
        <v>19</v>
      </c>
      <c r="Q56" s="226">
        <v>158</v>
      </c>
      <c r="R56" s="227">
        <v>1644</v>
      </c>
      <c r="S56" s="226">
        <v>17054</v>
      </c>
      <c r="T56" s="227">
        <v>160355</v>
      </c>
      <c r="U56" s="240"/>
      <c r="V56" s="275"/>
      <c r="X56" s="304"/>
    </row>
    <row r="57" spans="1:24" x14ac:dyDescent="0.15">
      <c r="A57" s="178"/>
      <c r="B57" s="179">
        <v>42910</v>
      </c>
      <c r="C57" s="180" t="s">
        <v>363</v>
      </c>
      <c r="D57" s="289">
        <v>9</v>
      </c>
      <c r="E57" s="289">
        <v>0</v>
      </c>
      <c r="F57" s="289">
        <v>6</v>
      </c>
      <c r="G57" s="289">
        <v>4</v>
      </c>
      <c r="H57" s="289">
        <v>6</v>
      </c>
      <c r="I57" s="289">
        <v>3</v>
      </c>
      <c r="J57" s="303">
        <v>5</v>
      </c>
      <c r="K57" s="229">
        <v>11840527.5</v>
      </c>
      <c r="L57" s="230">
        <v>1</v>
      </c>
      <c r="M57" s="229">
        <v>777777</v>
      </c>
      <c r="N57" s="231">
        <v>77290.399999999994</v>
      </c>
      <c r="O57" s="232">
        <v>2</v>
      </c>
      <c r="P57" s="233">
        <v>47</v>
      </c>
      <c r="Q57" s="232">
        <v>552</v>
      </c>
      <c r="R57" s="233">
        <v>5135</v>
      </c>
      <c r="S57" s="232">
        <v>50304</v>
      </c>
      <c r="T57" s="233">
        <v>508497</v>
      </c>
      <c r="V57" s="228"/>
      <c r="X57" s="304"/>
    </row>
    <row r="58" spans="1:24" x14ac:dyDescent="0.15">
      <c r="A58" s="172">
        <v>26</v>
      </c>
      <c r="B58" s="173">
        <v>42914</v>
      </c>
      <c r="C58" s="174" t="s">
        <v>362</v>
      </c>
      <c r="D58" s="291">
        <v>4</v>
      </c>
      <c r="E58" s="291">
        <v>6</v>
      </c>
      <c r="F58" s="291">
        <v>2</v>
      </c>
      <c r="G58" s="291">
        <v>7</v>
      </c>
      <c r="H58" s="291">
        <v>8</v>
      </c>
      <c r="I58" s="291">
        <v>1</v>
      </c>
      <c r="J58" s="292">
        <v>0</v>
      </c>
      <c r="K58" s="222">
        <v>5144360</v>
      </c>
      <c r="L58" s="223" t="s">
        <v>23</v>
      </c>
      <c r="M58" s="224" t="s">
        <v>368</v>
      </c>
      <c r="N58" s="225">
        <v>443054.4</v>
      </c>
      <c r="O58" s="226">
        <v>3</v>
      </c>
      <c r="P58" s="227">
        <v>11</v>
      </c>
      <c r="Q58" s="226">
        <v>129</v>
      </c>
      <c r="R58" s="227">
        <v>1449</v>
      </c>
      <c r="S58" s="226">
        <v>14301</v>
      </c>
      <c r="T58" s="227">
        <v>139477</v>
      </c>
      <c r="V58" s="228"/>
      <c r="X58" s="304"/>
    </row>
    <row r="59" spans="1:24" x14ac:dyDescent="0.15">
      <c r="A59" s="178"/>
      <c r="B59" s="179">
        <v>42917</v>
      </c>
      <c r="C59" s="180" t="s">
        <v>363</v>
      </c>
      <c r="D59" s="307">
        <v>8</v>
      </c>
      <c r="E59" s="307">
        <v>5</v>
      </c>
      <c r="F59" s="307">
        <v>1</v>
      </c>
      <c r="G59" s="307">
        <v>2</v>
      </c>
      <c r="H59" s="307">
        <v>1</v>
      </c>
      <c r="I59" s="307">
        <v>0</v>
      </c>
      <c r="J59" s="308">
        <v>9</v>
      </c>
      <c r="K59" s="229">
        <v>12589630</v>
      </c>
      <c r="L59" s="230">
        <v>1</v>
      </c>
      <c r="M59" s="229">
        <v>1277777</v>
      </c>
      <c r="N59" s="231">
        <v>60400.1</v>
      </c>
      <c r="O59" s="232">
        <v>3</v>
      </c>
      <c r="P59" s="233">
        <v>39</v>
      </c>
      <c r="Q59" s="232">
        <v>398</v>
      </c>
      <c r="R59" s="233">
        <v>3956</v>
      </c>
      <c r="S59" s="232">
        <v>40061</v>
      </c>
      <c r="T59" s="233">
        <v>467004</v>
      </c>
      <c r="V59" s="228"/>
      <c r="X59" s="304"/>
    </row>
    <row r="60" spans="1:24" x14ac:dyDescent="0.15">
      <c r="A60" s="45"/>
      <c r="B60" s="46"/>
      <c r="C60" s="46"/>
      <c r="D60" s="309"/>
      <c r="E60" s="309"/>
      <c r="F60" s="309"/>
      <c r="G60" s="309"/>
      <c r="H60" s="309"/>
      <c r="I60" s="309" t="s">
        <v>24</v>
      </c>
      <c r="J60" s="309"/>
      <c r="K60" s="277"/>
      <c r="L60" s="278">
        <f>SUM(L8:L59)</f>
        <v>32</v>
      </c>
      <c r="M60" s="229"/>
      <c r="N60" s="278"/>
      <c r="O60" s="278">
        <f t="shared" ref="O60:T60" si="0">SUM(O8:O59)</f>
        <v>189</v>
      </c>
      <c r="P60" s="278">
        <f t="shared" si="0"/>
        <v>1779</v>
      </c>
      <c r="Q60" s="278">
        <f t="shared" si="0"/>
        <v>17390</v>
      </c>
      <c r="R60" s="278">
        <f t="shared" si="0"/>
        <v>174301</v>
      </c>
      <c r="S60" s="278">
        <f t="shared" si="0"/>
        <v>1748667</v>
      </c>
      <c r="T60" s="278">
        <f t="shared" si="0"/>
        <v>17369659</v>
      </c>
      <c r="V60" s="228"/>
      <c r="X60" s="304"/>
    </row>
    <row r="63" spans="1:24" x14ac:dyDescent="0.15">
      <c r="K63" s="254"/>
    </row>
    <row r="64" spans="1:24" ht="13.5" customHeight="1" x14ac:dyDescent="0.2">
      <c r="A64" s="1" t="s">
        <v>364</v>
      </c>
      <c r="T64" s="3" t="s">
        <v>445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299"/>
      <c r="E66" s="299"/>
      <c r="F66" s="299"/>
      <c r="G66" s="299"/>
      <c r="H66" s="299"/>
      <c r="I66" s="299"/>
      <c r="J66" s="30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301" t="s">
        <v>4</v>
      </c>
      <c r="E67" s="302"/>
      <c r="F67" s="302"/>
      <c r="G67" s="302"/>
      <c r="H67" s="302"/>
      <c r="I67" s="302"/>
      <c r="J67" s="290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3</v>
      </c>
      <c r="B68" s="14">
        <v>2017</v>
      </c>
      <c r="C68" s="220" t="s">
        <v>361</v>
      </c>
      <c r="D68" s="289"/>
      <c r="E68" s="289"/>
      <c r="F68" s="289"/>
      <c r="G68" s="289"/>
      <c r="H68" s="289"/>
      <c r="I68" s="289"/>
      <c r="J68" s="290" t="s">
        <v>13</v>
      </c>
      <c r="K68" s="14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4" ht="11.1" customHeight="1" x14ac:dyDescent="0.15">
      <c r="A69" s="39"/>
      <c r="B69" s="21"/>
      <c r="C69" s="220"/>
      <c r="D69" s="289"/>
      <c r="E69" s="289"/>
      <c r="F69" s="289"/>
      <c r="G69" s="289"/>
      <c r="H69" s="289"/>
      <c r="I69" s="289"/>
      <c r="J69" s="30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42921</v>
      </c>
      <c r="C70" s="174" t="s">
        <v>362</v>
      </c>
      <c r="D70" s="291">
        <v>1</v>
      </c>
      <c r="E70" s="291">
        <v>2</v>
      </c>
      <c r="F70" s="291">
        <v>1</v>
      </c>
      <c r="G70" s="291">
        <v>0</v>
      </c>
      <c r="H70" s="291">
        <v>6</v>
      </c>
      <c r="I70" s="291">
        <v>6</v>
      </c>
      <c r="J70" s="292">
        <v>0</v>
      </c>
      <c r="K70" s="222">
        <v>5482342.5</v>
      </c>
      <c r="L70" s="223" t="s">
        <v>23</v>
      </c>
      <c r="M70" s="224" t="s">
        <v>368</v>
      </c>
      <c r="N70" s="225">
        <v>450194.7</v>
      </c>
      <c r="O70" s="226">
        <v>2</v>
      </c>
      <c r="P70" s="227">
        <v>12</v>
      </c>
      <c r="Q70" s="226">
        <v>154</v>
      </c>
      <c r="R70" s="227">
        <v>1431</v>
      </c>
      <c r="S70" s="226">
        <v>15053</v>
      </c>
      <c r="T70" s="227">
        <v>150943</v>
      </c>
      <c r="U70" s="240"/>
      <c r="V70" s="275"/>
      <c r="X70" s="304"/>
    </row>
    <row r="71" spans="1:24" x14ac:dyDescent="0.15">
      <c r="A71" s="178"/>
      <c r="B71" s="179">
        <v>42924</v>
      </c>
      <c r="C71" s="180" t="s">
        <v>363</v>
      </c>
      <c r="D71" s="289">
        <v>3</v>
      </c>
      <c r="E71" s="289">
        <v>2</v>
      </c>
      <c r="F71" s="289">
        <v>4</v>
      </c>
      <c r="G71" s="289">
        <v>5</v>
      </c>
      <c r="H71" s="289">
        <v>4</v>
      </c>
      <c r="I71" s="289">
        <v>7</v>
      </c>
      <c r="J71" s="303">
        <v>8</v>
      </c>
      <c r="K71" s="229">
        <v>12695342.5</v>
      </c>
      <c r="L71" s="230">
        <v>2</v>
      </c>
      <c r="M71" s="229">
        <v>577777</v>
      </c>
      <c r="N71" s="231">
        <v>197279.6</v>
      </c>
      <c r="O71" s="232">
        <v>7</v>
      </c>
      <c r="P71" s="233">
        <v>61</v>
      </c>
      <c r="Q71" s="232">
        <v>550</v>
      </c>
      <c r="R71" s="233">
        <v>5195</v>
      </c>
      <c r="S71" s="232">
        <v>49782</v>
      </c>
      <c r="T71" s="233">
        <v>497241</v>
      </c>
      <c r="V71" s="228"/>
      <c r="X71" s="304"/>
    </row>
    <row r="72" spans="1:24" x14ac:dyDescent="0.15">
      <c r="A72" s="172">
        <v>28</v>
      </c>
      <c r="B72" s="173">
        <v>42928</v>
      </c>
      <c r="C72" s="174" t="s">
        <v>362</v>
      </c>
      <c r="D72" s="291">
        <v>7</v>
      </c>
      <c r="E72" s="291">
        <v>9</v>
      </c>
      <c r="F72" s="291">
        <v>2</v>
      </c>
      <c r="G72" s="291">
        <v>4</v>
      </c>
      <c r="H72" s="291">
        <v>9</v>
      </c>
      <c r="I72" s="291">
        <v>9</v>
      </c>
      <c r="J72" s="292">
        <v>1</v>
      </c>
      <c r="K72" s="222">
        <v>5021375</v>
      </c>
      <c r="L72" s="223" t="s">
        <v>23</v>
      </c>
      <c r="M72" s="224" t="s">
        <v>368</v>
      </c>
      <c r="N72" s="225">
        <v>554299.4</v>
      </c>
      <c r="O72" s="226">
        <v>4</v>
      </c>
      <c r="P72" s="227">
        <v>12</v>
      </c>
      <c r="Q72" s="226">
        <v>149</v>
      </c>
      <c r="R72" s="227">
        <v>1384</v>
      </c>
      <c r="S72" s="226">
        <v>13911</v>
      </c>
      <c r="T72" s="227">
        <v>152060</v>
      </c>
      <c r="V72" s="228"/>
      <c r="X72" s="304"/>
    </row>
    <row r="73" spans="1:24" x14ac:dyDescent="0.15">
      <c r="A73" s="178"/>
      <c r="B73" s="179">
        <v>42931</v>
      </c>
      <c r="C73" s="180" t="s">
        <v>363</v>
      </c>
      <c r="D73" s="289">
        <v>5</v>
      </c>
      <c r="E73" s="289">
        <v>7</v>
      </c>
      <c r="F73" s="289">
        <v>9</v>
      </c>
      <c r="G73" s="289">
        <v>5</v>
      </c>
      <c r="H73" s="289">
        <v>3</v>
      </c>
      <c r="I73" s="289">
        <v>5</v>
      </c>
      <c r="J73" s="303">
        <v>3</v>
      </c>
      <c r="K73" s="229">
        <v>12039060</v>
      </c>
      <c r="L73" s="237" t="s">
        <v>23</v>
      </c>
      <c r="M73" s="229" t="s">
        <v>368</v>
      </c>
      <c r="N73" s="231">
        <v>1410276.6</v>
      </c>
      <c r="O73" s="232">
        <v>8</v>
      </c>
      <c r="P73" s="233">
        <v>56</v>
      </c>
      <c r="Q73" s="232">
        <v>473</v>
      </c>
      <c r="R73" s="233">
        <v>4539</v>
      </c>
      <c r="S73" s="232">
        <v>46682</v>
      </c>
      <c r="T73" s="233">
        <v>443279</v>
      </c>
      <c r="V73" s="228"/>
      <c r="X73" s="304"/>
    </row>
    <row r="74" spans="1:24" x14ac:dyDescent="0.15">
      <c r="A74" s="172">
        <v>29</v>
      </c>
      <c r="B74" s="173">
        <v>42935</v>
      </c>
      <c r="C74" s="174" t="s">
        <v>362</v>
      </c>
      <c r="D74" s="291">
        <v>0</v>
      </c>
      <c r="E74" s="291">
        <v>1</v>
      </c>
      <c r="F74" s="291">
        <v>7</v>
      </c>
      <c r="G74" s="291">
        <v>7</v>
      </c>
      <c r="H74" s="291">
        <v>9</v>
      </c>
      <c r="I74" s="291">
        <v>9</v>
      </c>
      <c r="J74" s="292">
        <v>7</v>
      </c>
      <c r="K74" s="222">
        <v>5100027.5</v>
      </c>
      <c r="L74" s="223" t="s">
        <v>23</v>
      </c>
      <c r="M74" s="224" t="s">
        <v>368</v>
      </c>
      <c r="N74" s="225">
        <v>1772888.6</v>
      </c>
      <c r="O74" s="226" t="s">
        <v>17</v>
      </c>
      <c r="P74" s="227">
        <v>22</v>
      </c>
      <c r="Q74" s="226">
        <v>200</v>
      </c>
      <c r="R74" s="227">
        <v>1978</v>
      </c>
      <c r="S74" s="226">
        <v>20916</v>
      </c>
      <c r="T74" s="227">
        <v>232230</v>
      </c>
      <c r="V74" s="228"/>
      <c r="X74" s="304"/>
    </row>
    <row r="75" spans="1:24" x14ac:dyDescent="0.15">
      <c r="A75" s="178"/>
      <c r="B75" s="179">
        <v>42938</v>
      </c>
      <c r="C75" s="180" t="s">
        <v>363</v>
      </c>
      <c r="D75" s="289">
        <v>5</v>
      </c>
      <c r="E75" s="289">
        <v>6</v>
      </c>
      <c r="F75" s="289">
        <v>6</v>
      </c>
      <c r="G75" s="289">
        <v>2</v>
      </c>
      <c r="H75" s="289">
        <v>7</v>
      </c>
      <c r="I75" s="289">
        <v>8</v>
      </c>
      <c r="J75" s="303">
        <v>8</v>
      </c>
      <c r="K75" s="229">
        <v>12070905</v>
      </c>
      <c r="L75" s="230" t="s">
        <v>23</v>
      </c>
      <c r="M75" s="229" t="s">
        <v>368</v>
      </c>
      <c r="N75" s="231">
        <v>2631129.9</v>
      </c>
      <c r="O75" s="232">
        <v>3</v>
      </c>
      <c r="P75" s="233">
        <v>47</v>
      </c>
      <c r="Q75" s="232">
        <v>440</v>
      </c>
      <c r="R75" s="233">
        <v>4785</v>
      </c>
      <c r="S75" s="232">
        <v>50839</v>
      </c>
      <c r="T75" s="233">
        <v>473786</v>
      </c>
      <c r="V75" s="228"/>
      <c r="X75" s="304"/>
    </row>
    <row r="76" spans="1:24" x14ac:dyDescent="0.15">
      <c r="A76" s="172">
        <v>30</v>
      </c>
      <c r="B76" s="173">
        <v>42942</v>
      </c>
      <c r="C76" s="174" t="s">
        <v>362</v>
      </c>
      <c r="D76" s="291">
        <v>0</v>
      </c>
      <c r="E76" s="291">
        <v>2</v>
      </c>
      <c r="F76" s="291">
        <v>8</v>
      </c>
      <c r="G76" s="291">
        <v>2</v>
      </c>
      <c r="H76" s="291">
        <v>9</v>
      </c>
      <c r="I76" s="291">
        <v>7</v>
      </c>
      <c r="J76" s="292">
        <v>9</v>
      </c>
      <c r="K76" s="222">
        <v>5269990</v>
      </c>
      <c r="L76" s="223" t="s">
        <v>23</v>
      </c>
      <c r="M76" s="224" t="s">
        <v>368</v>
      </c>
      <c r="N76" s="225">
        <v>3005826.2</v>
      </c>
      <c r="O76" s="226" t="s">
        <v>17</v>
      </c>
      <c r="P76" s="227">
        <v>12</v>
      </c>
      <c r="Q76" s="226">
        <v>192</v>
      </c>
      <c r="R76" s="227">
        <v>1930</v>
      </c>
      <c r="S76" s="226">
        <v>18836</v>
      </c>
      <c r="T76" s="227">
        <v>182925</v>
      </c>
      <c r="V76" s="228"/>
      <c r="X76" s="304"/>
    </row>
    <row r="77" spans="1:24" x14ac:dyDescent="0.15">
      <c r="A77" s="178"/>
      <c r="B77" s="179">
        <v>42945</v>
      </c>
      <c r="C77" s="180" t="s">
        <v>363</v>
      </c>
      <c r="D77" s="289">
        <v>4</v>
      </c>
      <c r="E77" s="289">
        <v>2</v>
      </c>
      <c r="F77" s="289">
        <v>8</v>
      </c>
      <c r="G77" s="289">
        <v>6</v>
      </c>
      <c r="H77" s="289">
        <v>0</v>
      </c>
      <c r="I77" s="289">
        <v>5</v>
      </c>
      <c r="J77" s="303">
        <v>2</v>
      </c>
      <c r="K77" s="229">
        <v>12464427.5</v>
      </c>
      <c r="L77" s="230" t="s">
        <v>23</v>
      </c>
      <c r="M77" s="229" t="s">
        <v>368</v>
      </c>
      <c r="N77" s="231">
        <v>3892047</v>
      </c>
      <c r="O77" s="232">
        <v>3</v>
      </c>
      <c r="P77" s="233">
        <v>46</v>
      </c>
      <c r="Q77" s="232">
        <v>430</v>
      </c>
      <c r="R77" s="233">
        <v>3979</v>
      </c>
      <c r="S77" s="232">
        <v>43391</v>
      </c>
      <c r="T77" s="233">
        <v>400809</v>
      </c>
      <c r="V77" s="228"/>
      <c r="X77" s="304"/>
    </row>
    <row r="78" spans="1:24" x14ac:dyDescent="0.15">
      <c r="A78" s="172">
        <v>31</v>
      </c>
      <c r="B78" s="173">
        <v>42949</v>
      </c>
      <c r="C78" s="174" t="s">
        <v>362</v>
      </c>
      <c r="D78" s="291">
        <v>0</v>
      </c>
      <c r="E78" s="291">
        <v>2</v>
      </c>
      <c r="F78" s="291">
        <v>2</v>
      </c>
      <c r="G78" s="291">
        <v>4</v>
      </c>
      <c r="H78" s="291">
        <v>9</v>
      </c>
      <c r="I78" s="291">
        <v>9</v>
      </c>
      <c r="J78" s="292">
        <v>8</v>
      </c>
      <c r="K78" s="222">
        <v>5678892.5</v>
      </c>
      <c r="L78" s="223">
        <v>1</v>
      </c>
      <c r="M78" s="224">
        <v>4277777</v>
      </c>
      <c r="N78" s="225">
        <v>18039.3</v>
      </c>
      <c r="O78" s="226">
        <v>2</v>
      </c>
      <c r="P78" s="227">
        <v>25</v>
      </c>
      <c r="Q78" s="226">
        <v>202</v>
      </c>
      <c r="R78" s="227">
        <v>1965</v>
      </c>
      <c r="S78" s="226">
        <v>20189</v>
      </c>
      <c r="T78" s="227">
        <v>218459</v>
      </c>
      <c r="V78" s="228"/>
      <c r="X78" s="304"/>
    </row>
    <row r="79" spans="1:24" x14ac:dyDescent="0.15">
      <c r="A79" s="178"/>
      <c r="B79" s="179">
        <v>42952</v>
      </c>
      <c r="C79" s="180" t="s">
        <v>363</v>
      </c>
      <c r="D79" s="289">
        <v>2</v>
      </c>
      <c r="E79" s="289">
        <v>2</v>
      </c>
      <c r="F79" s="289">
        <v>8</v>
      </c>
      <c r="G79" s="289">
        <v>7</v>
      </c>
      <c r="H79" s="289">
        <v>8</v>
      </c>
      <c r="I79" s="289">
        <v>7</v>
      </c>
      <c r="J79" s="303">
        <v>4</v>
      </c>
      <c r="K79" s="229">
        <v>12261530</v>
      </c>
      <c r="L79" s="230" t="s">
        <v>23</v>
      </c>
      <c r="M79" s="229" t="s">
        <v>368</v>
      </c>
      <c r="N79" s="231">
        <v>889834.1</v>
      </c>
      <c r="O79" s="232">
        <v>3</v>
      </c>
      <c r="P79" s="233">
        <v>42</v>
      </c>
      <c r="Q79" s="232">
        <v>410</v>
      </c>
      <c r="R79" s="233">
        <v>4074</v>
      </c>
      <c r="S79" s="232">
        <v>39872</v>
      </c>
      <c r="T79" s="233">
        <v>406120</v>
      </c>
      <c r="V79" s="228"/>
      <c r="X79" s="304"/>
    </row>
    <row r="80" spans="1:24" x14ac:dyDescent="0.15">
      <c r="A80" s="172">
        <v>32</v>
      </c>
      <c r="B80" s="173">
        <v>42956</v>
      </c>
      <c r="C80" s="174" t="s">
        <v>362</v>
      </c>
      <c r="D80" s="291">
        <v>8</v>
      </c>
      <c r="E80" s="291">
        <v>5</v>
      </c>
      <c r="F80" s="291">
        <v>6</v>
      </c>
      <c r="G80" s="291">
        <v>3</v>
      </c>
      <c r="H80" s="291">
        <v>5</v>
      </c>
      <c r="I80" s="291">
        <v>4</v>
      </c>
      <c r="J80" s="292">
        <v>4</v>
      </c>
      <c r="K80" s="222">
        <v>5216752.5</v>
      </c>
      <c r="L80" s="234" t="s">
        <v>23</v>
      </c>
      <c r="M80" s="224" t="s">
        <v>368</v>
      </c>
      <c r="N80" s="225">
        <v>1260745.2</v>
      </c>
      <c r="O80" s="236">
        <v>1</v>
      </c>
      <c r="P80" s="227">
        <v>18</v>
      </c>
      <c r="Q80" s="226">
        <v>208</v>
      </c>
      <c r="R80" s="227">
        <v>1817</v>
      </c>
      <c r="S80" s="226">
        <v>18698</v>
      </c>
      <c r="T80" s="227">
        <v>173961</v>
      </c>
      <c r="V80" s="228"/>
      <c r="X80" s="304"/>
    </row>
    <row r="81" spans="1:24" x14ac:dyDescent="0.15">
      <c r="A81" s="178"/>
      <c r="B81" s="179">
        <v>42959</v>
      </c>
      <c r="C81" s="180" t="s">
        <v>363</v>
      </c>
      <c r="D81" s="289">
        <v>5</v>
      </c>
      <c r="E81" s="289">
        <v>3</v>
      </c>
      <c r="F81" s="289">
        <v>3</v>
      </c>
      <c r="G81" s="289">
        <v>8</v>
      </c>
      <c r="H81" s="289">
        <v>4</v>
      </c>
      <c r="I81" s="289">
        <v>6</v>
      </c>
      <c r="J81" s="303">
        <v>4</v>
      </c>
      <c r="K81" s="229">
        <v>12416230</v>
      </c>
      <c r="L81" s="230" t="s">
        <v>23</v>
      </c>
      <c r="M81" s="229" t="s">
        <v>368</v>
      </c>
      <c r="N81" s="231">
        <v>2143539.2000000002</v>
      </c>
      <c r="O81" s="232">
        <v>3</v>
      </c>
      <c r="P81" s="233">
        <v>41</v>
      </c>
      <c r="Q81" s="232">
        <v>462</v>
      </c>
      <c r="R81" s="233">
        <v>4343</v>
      </c>
      <c r="S81" s="232">
        <v>43286</v>
      </c>
      <c r="T81" s="233">
        <v>410819</v>
      </c>
      <c r="V81" s="228"/>
      <c r="X81" s="304"/>
    </row>
    <row r="82" spans="1:24" x14ac:dyDescent="0.15">
      <c r="A82" s="172">
        <v>33</v>
      </c>
      <c r="B82" s="173">
        <v>42963</v>
      </c>
      <c r="C82" s="174" t="s">
        <v>362</v>
      </c>
      <c r="D82" s="291">
        <v>2</v>
      </c>
      <c r="E82" s="291">
        <v>6</v>
      </c>
      <c r="F82" s="291">
        <v>3</v>
      </c>
      <c r="G82" s="291">
        <v>2</v>
      </c>
      <c r="H82" s="291">
        <v>6</v>
      </c>
      <c r="I82" s="291">
        <v>6</v>
      </c>
      <c r="J82" s="292">
        <v>0</v>
      </c>
      <c r="K82" s="222">
        <v>4973212.5</v>
      </c>
      <c r="L82" s="223" t="s">
        <v>23</v>
      </c>
      <c r="M82" s="279" t="s">
        <v>368</v>
      </c>
      <c r="N82" s="225">
        <v>2497134.6</v>
      </c>
      <c r="O82" s="226" t="s">
        <v>17</v>
      </c>
      <c r="P82" s="227">
        <v>18</v>
      </c>
      <c r="Q82" s="226">
        <v>142</v>
      </c>
      <c r="R82" s="227">
        <v>1362</v>
      </c>
      <c r="S82" s="226">
        <v>13606</v>
      </c>
      <c r="T82" s="227">
        <v>136627</v>
      </c>
      <c r="V82" s="228"/>
      <c r="X82" s="304"/>
    </row>
    <row r="83" spans="1:24" x14ac:dyDescent="0.15">
      <c r="A83" s="178"/>
      <c r="B83" s="179">
        <v>42966</v>
      </c>
      <c r="C83" s="180" t="s">
        <v>363</v>
      </c>
      <c r="D83" s="289">
        <v>4</v>
      </c>
      <c r="E83" s="289">
        <v>2</v>
      </c>
      <c r="F83" s="289">
        <v>7</v>
      </c>
      <c r="G83" s="289">
        <v>3</v>
      </c>
      <c r="H83" s="289">
        <v>3</v>
      </c>
      <c r="I83" s="289">
        <v>0</v>
      </c>
      <c r="J83" s="303">
        <v>1</v>
      </c>
      <c r="K83" s="229">
        <v>12174110</v>
      </c>
      <c r="L83" s="230">
        <v>1</v>
      </c>
      <c r="M83" s="229">
        <v>3277777</v>
      </c>
      <c r="N83" s="231">
        <v>84936.8</v>
      </c>
      <c r="O83" s="232">
        <v>1</v>
      </c>
      <c r="P83" s="233">
        <v>31</v>
      </c>
      <c r="Q83" s="232">
        <v>375</v>
      </c>
      <c r="R83" s="233">
        <v>3335</v>
      </c>
      <c r="S83" s="232">
        <v>33418</v>
      </c>
      <c r="T83" s="233">
        <v>370179</v>
      </c>
      <c r="V83" s="228"/>
      <c r="X83" s="304"/>
    </row>
    <row r="84" spans="1:24" x14ac:dyDescent="0.15">
      <c r="A84" s="172">
        <v>34</v>
      </c>
      <c r="B84" s="173">
        <v>42970</v>
      </c>
      <c r="C84" s="174" t="s">
        <v>362</v>
      </c>
      <c r="D84" s="291">
        <v>2</v>
      </c>
      <c r="E84" s="291">
        <v>8</v>
      </c>
      <c r="F84" s="291">
        <v>6</v>
      </c>
      <c r="G84" s="291">
        <v>0</v>
      </c>
      <c r="H84" s="291">
        <v>0</v>
      </c>
      <c r="I84" s="291">
        <v>9</v>
      </c>
      <c r="J84" s="292">
        <v>5</v>
      </c>
      <c r="K84" s="222">
        <v>5037777.5</v>
      </c>
      <c r="L84" s="223" t="s">
        <v>23</v>
      </c>
      <c r="M84" s="224" t="s">
        <v>368</v>
      </c>
      <c r="N84" s="225">
        <v>443122.8</v>
      </c>
      <c r="O84" s="226">
        <v>3</v>
      </c>
      <c r="P84" s="227">
        <v>13</v>
      </c>
      <c r="Q84" s="226">
        <v>166</v>
      </c>
      <c r="R84" s="227">
        <v>1798</v>
      </c>
      <c r="S84" s="226">
        <v>18943</v>
      </c>
      <c r="T84" s="227">
        <v>210475</v>
      </c>
      <c r="V84" s="228"/>
      <c r="X84" s="304"/>
    </row>
    <row r="85" spans="1:24" x14ac:dyDescent="0.15">
      <c r="A85" s="178"/>
      <c r="B85" s="179">
        <v>42973</v>
      </c>
      <c r="C85" s="180" t="s">
        <v>363</v>
      </c>
      <c r="D85" s="289">
        <v>0</v>
      </c>
      <c r="E85" s="289">
        <v>0</v>
      </c>
      <c r="F85" s="289">
        <v>9</v>
      </c>
      <c r="G85" s="289">
        <v>8</v>
      </c>
      <c r="H85" s="289">
        <v>9</v>
      </c>
      <c r="I85" s="289">
        <v>6</v>
      </c>
      <c r="J85" s="303">
        <v>7</v>
      </c>
      <c r="K85" s="229">
        <v>11977722.5</v>
      </c>
      <c r="L85" s="230" t="s">
        <v>23</v>
      </c>
      <c r="M85" s="229" t="s">
        <v>368</v>
      </c>
      <c r="N85" s="231">
        <v>1294738.8999999999</v>
      </c>
      <c r="O85" s="232">
        <v>8</v>
      </c>
      <c r="P85" s="233">
        <v>48</v>
      </c>
      <c r="Q85" s="232">
        <v>536</v>
      </c>
      <c r="R85" s="233">
        <v>5556</v>
      </c>
      <c r="S85" s="232">
        <v>52916</v>
      </c>
      <c r="T85" s="233">
        <v>532741</v>
      </c>
      <c r="V85" s="228"/>
      <c r="X85" s="304"/>
    </row>
    <row r="86" spans="1:24" x14ac:dyDescent="0.15">
      <c r="A86" s="172">
        <v>35</v>
      </c>
      <c r="B86" s="173">
        <v>42977</v>
      </c>
      <c r="C86" s="174" t="s">
        <v>362</v>
      </c>
      <c r="D86" s="291">
        <v>4</v>
      </c>
      <c r="E86" s="291">
        <v>9</v>
      </c>
      <c r="F86" s="291">
        <v>0</v>
      </c>
      <c r="G86" s="291">
        <v>5</v>
      </c>
      <c r="H86" s="291">
        <v>4</v>
      </c>
      <c r="I86" s="291">
        <v>7</v>
      </c>
      <c r="J86" s="292">
        <v>2</v>
      </c>
      <c r="K86" s="222">
        <v>5204735</v>
      </c>
      <c r="L86" s="223" t="s">
        <v>23</v>
      </c>
      <c r="M86" s="224" t="s">
        <v>368</v>
      </c>
      <c r="N86" s="225">
        <v>1664795.6</v>
      </c>
      <c r="O86" s="226">
        <v>2</v>
      </c>
      <c r="P86" s="227">
        <v>26</v>
      </c>
      <c r="Q86" s="226">
        <v>176</v>
      </c>
      <c r="R86" s="227">
        <v>1637</v>
      </c>
      <c r="S86" s="226">
        <v>16608</v>
      </c>
      <c r="T86" s="227">
        <v>165272</v>
      </c>
      <c r="V86" s="228"/>
      <c r="X86" s="304"/>
    </row>
    <row r="87" spans="1:24" x14ac:dyDescent="0.15">
      <c r="A87" s="178"/>
      <c r="B87" s="179">
        <v>42980</v>
      </c>
      <c r="C87" s="180" t="s">
        <v>363</v>
      </c>
      <c r="D87" s="289">
        <v>7</v>
      </c>
      <c r="E87" s="289">
        <v>0</v>
      </c>
      <c r="F87" s="289">
        <v>1</v>
      </c>
      <c r="G87" s="289">
        <v>2</v>
      </c>
      <c r="H87" s="289">
        <v>9</v>
      </c>
      <c r="I87" s="289">
        <v>6</v>
      </c>
      <c r="J87" s="303">
        <v>6</v>
      </c>
      <c r="K87" s="229">
        <v>12576545</v>
      </c>
      <c r="L87" s="230">
        <v>1</v>
      </c>
      <c r="M87" s="229">
        <v>2477777</v>
      </c>
      <c r="N87" s="231">
        <v>81210.899999999994</v>
      </c>
      <c r="O87" s="232">
        <v>5</v>
      </c>
      <c r="P87" s="233">
        <v>60</v>
      </c>
      <c r="Q87" s="232">
        <v>460</v>
      </c>
      <c r="R87" s="233">
        <v>5072</v>
      </c>
      <c r="S87" s="232">
        <v>51017</v>
      </c>
      <c r="T87" s="233">
        <v>459746</v>
      </c>
      <c r="V87" s="228"/>
      <c r="X87" s="304"/>
    </row>
    <row r="88" spans="1:24" x14ac:dyDescent="0.15">
      <c r="A88" s="172">
        <v>36</v>
      </c>
      <c r="B88" s="173">
        <v>42984</v>
      </c>
      <c r="C88" s="174" t="s">
        <v>362</v>
      </c>
      <c r="D88" s="291">
        <v>8</v>
      </c>
      <c r="E88" s="291">
        <v>7</v>
      </c>
      <c r="F88" s="291">
        <v>3</v>
      </c>
      <c r="G88" s="291">
        <v>2</v>
      </c>
      <c r="H88" s="291">
        <v>5</v>
      </c>
      <c r="I88" s="291">
        <v>0</v>
      </c>
      <c r="J88" s="292">
        <v>5</v>
      </c>
      <c r="K88" s="222">
        <v>5532692.5</v>
      </c>
      <c r="L88" s="234" t="s">
        <v>23</v>
      </c>
      <c r="M88" s="224" t="s">
        <v>368</v>
      </c>
      <c r="N88" s="225">
        <v>474585.3</v>
      </c>
      <c r="O88" s="226">
        <v>1</v>
      </c>
      <c r="P88" s="227">
        <v>17</v>
      </c>
      <c r="Q88" s="226">
        <v>194</v>
      </c>
      <c r="R88" s="227">
        <v>1927</v>
      </c>
      <c r="S88" s="226">
        <v>18635</v>
      </c>
      <c r="T88" s="227">
        <v>232819</v>
      </c>
      <c r="V88" s="228"/>
      <c r="X88" s="304"/>
    </row>
    <row r="89" spans="1:24" x14ac:dyDescent="0.15">
      <c r="A89" s="178"/>
      <c r="B89" s="179">
        <v>42987</v>
      </c>
      <c r="C89" s="180" t="s">
        <v>363</v>
      </c>
      <c r="D89" s="289">
        <v>3</v>
      </c>
      <c r="E89" s="289">
        <v>4</v>
      </c>
      <c r="F89" s="289">
        <v>0</v>
      </c>
      <c r="G89" s="289">
        <v>6</v>
      </c>
      <c r="H89" s="289">
        <v>1</v>
      </c>
      <c r="I89" s="289">
        <v>1</v>
      </c>
      <c r="J89" s="303">
        <v>4</v>
      </c>
      <c r="K89" s="229">
        <v>12795540</v>
      </c>
      <c r="L89" s="237">
        <v>1</v>
      </c>
      <c r="M89" s="229">
        <v>1377777</v>
      </c>
      <c r="N89" s="231">
        <v>6571.2</v>
      </c>
      <c r="O89" s="232">
        <v>3</v>
      </c>
      <c r="P89" s="233">
        <v>42</v>
      </c>
      <c r="Q89" s="232">
        <v>412</v>
      </c>
      <c r="R89" s="233">
        <v>4119</v>
      </c>
      <c r="S89" s="232">
        <v>42870</v>
      </c>
      <c r="T89" s="233">
        <v>428034</v>
      </c>
      <c r="V89" s="228"/>
      <c r="X89" s="304"/>
    </row>
    <row r="90" spans="1:24" x14ac:dyDescent="0.15">
      <c r="A90" s="172">
        <v>37</v>
      </c>
      <c r="B90" s="173">
        <v>42991</v>
      </c>
      <c r="C90" s="174" t="s">
        <v>362</v>
      </c>
      <c r="D90" s="310">
        <v>3</v>
      </c>
      <c r="E90" s="310">
        <v>3</v>
      </c>
      <c r="F90" s="310">
        <v>0</v>
      </c>
      <c r="G90" s="310">
        <v>5</v>
      </c>
      <c r="H90" s="310">
        <v>7</v>
      </c>
      <c r="I90" s="310">
        <v>6</v>
      </c>
      <c r="J90" s="311">
        <v>8</v>
      </c>
      <c r="K90" s="312">
        <v>5014690</v>
      </c>
      <c r="L90" s="313" t="s">
        <v>23</v>
      </c>
      <c r="M90" s="314" t="s">
        <v>368</v>
      </c>
      <c r="N90" s="315">
        <v>363115.7</v>
      </c>
      <c r="O90" s="316">
        <v>1</v>
      </c>
      <c r="P90" s="317">
        <v>19</v>
      </c>
      <c r="Q90" s="316">
        <v>218</v>
      </c>
      <c r="R90" s="317">
        <v>2020</v>
      </c>
      <c r="S90" s="316">
        <v>20256</v>
      </c>
      <c r="T90" s="317">
        <v>191826</v>
      </c>
      <c r="V90" s="228"/>
      <c r="X90" s="304"/>
    </row>
    <row r="91" spans="1:24" x14ac:dyDescent="0.15">
      <c r="A91" s="178"/>
      <c r="B91" s="179">
        <v>42994</v>
      </c>
      <c r="C91" s="180" t="s">
        <v>363</v>
      </c>
      <c r="D91" s="289">
        <v>4</v>
      </c>
      <c r="E91" s="289">
        <v>7</v>
      </c>
      <c r="F91" s="289">
        <v>4</v>
      </c>
      <c r="G91" s="289">
        <v>1</v>
      </c>
      <c r="H91" s="289">
        <v>6</v>
      </c>
      <c r="I91" s="289">
        <v>0</v>
      </c>
      <c r="J91" s="303">
        <v>0</v>
      </c>
      <c r="K91" s="229">
        <v>12054122.5</v>
      </c>
      <c r="L91" s="230" t="s">
        <v>23</v>
      </c>
      <c r="M91" s="229" t="s">
        <v>368</v>
      </c>
      <c r="N91" s="231">
        <v>1220163.8</v>
      </c>
      <c r="O91" s="232">
        <v>2</v>
      </c>
      <c r="P91" s="233">
        <v>32</v>
      </c>
      <c r="Q91" s="232">
        <v>336</v>
      </c>
      <c r="R91" s="233">
        <v>3340</v>
      </c>
      <c r="S91" s="232">
        <v>35099</v>
      </c>
      <c r="T91" s="233">
        <v>315427</v>
      </c>
      <c r="V91" s="228"/>
      <c r="X91" s="304"/>
    </row>
    <row r="92" spans="1:24" x14ac:dyDescent="0.15">
      <c r="A92" s="172">
        <v>38</v>
      </c>
      <c r="B92" s="173">
        <v>42998</v>
      </c>
      <c r="C92" s="174" t="s">
        <v>362</v>
      </c>
      <c r="D92" s="291">
        <v>2</v>
      </c>
      <c r="E92" s="291">
        <v>6</v>
      </c>
      <c r="F92" s="291">
        <v>8</v>
      </c>
      <c r="G92" s="291">
        <v>2</v>
      </c>
      <c r="H92" s="291">
        <v>0</v>
      </c>
      <c r="I92" s="291">
        <v>8</v>
      </c>
      <c r="J92" s="292">
        <v>0</v>
      </c>
      <c r="K92" s="222">
        <v>5110265</v>
      </c>
      <c r="L92" s="223" t="s">
        <v>23</v>
      </c>
      <c r="M92" s="224" t="s">
        <v>368</v>
      </c>
      <c r="N92" s="225">
        <v>1583503.6</v>
      </c>
      <c r="O92" s="226">
        <v>1</v>
      </c>
      <c r="P92" s="226">
        <v>10</v>
      </c>
      <c r="Q92" s="227">
        <v>126</v>
      </c>
      <c r="R92" s="226">
        <v>1319</v>
      </c>
      <c r="S92" s="227">
        <v>14057</v>
      </c>
      <c r="T92" s="226">
        <v>142322</v>
      </c>
      <c r="V92" s="228"/>
      <c r="X92" s="304"/>
    </row>
    <row r="93" spans="1:24" x14ac:dyDescent="0.15">
      <c r="A93" s="178"/>
      <c r="B93" s="179">
        <v>43001</v>
      </c>
      <c r="C93" s="180" t="s">
        <v>363</v>
      </c>
      <c r="D93" s="289">
        <v>8</v>
      </c>
      <c r="E93" s="289">
        <v>6</v>
      </c>
      <c r="F93" s="289">
        <v>5</v>
      </c>
      <c r="G93" s="289">
        <v>8</v>
      </c>
      <c r="H93" s="289">
        <v>8</v>
      </c>
      <c r="I93" s="289">
        <v>5</v>
      </c>
      <c r="J93" s="303">
        <v>6</v>
      </c>
      <c r="K93" s="229">
        <v>12094710</v>
      </c>
      <c r="L93" s="237">
        <v>1</v>
      </c>
      <c r="M93" s="229">
        <v>2377777</v>
      </c>
      <c r="N93" s="231">
        <v>65660.5</v>
      </c>
      <c r="O93" s="232">
        <v>4</v>
      </c>
      <c r="P93" s="232">
        <v>45</v>
      </c>
      <c r="Q93" s="233">
        <v>469</v>
      </c>
      <c r="R93" s="232">
        <v>4950</v>
      </c>
      <c r="S93" s="233">
        <v>48278</v>
      </c>
      <c r="T93" s="232">
        <v>444180</v>
      </c>
      <c r="V93" s="228"/>
      <c r="X93" s="304"/>
    </row>
    <row r="94" spans="1:24" x14ac:dyDescent="0.15">
      <c r="A94" s="172">
        <v>39</v>
      </c>
      <c r="B94" s="173">
        <v>43005</v>
      </c>
      <c r="C94" s="174" t="s">
        <v>362</v>
      </c>
      <c r="D94" s="291">
        <v>3</v>
      </c>
      <c r="E94" s="291">
        <v>0</v>
      </c>
      <c r="F94" s="291">
        <v>4</v>
      </c>
      <c r="G94" s="291">
        <v>0</v>
      </c>
      <c r="H94" s="291">
        <v>1</v>
      </c>
      <c r="I94" s="291">
        <v>9</v>
      </c>
      <c r="J94" s="292">
        <v>4</v>
      </c>
      <c r="K94" s="222">
        <v>4849945</v>
      </c>
      <c r="L94" s="234" t="s">
        <v>23</v>
      </c>
      <c r="M94" s="224" t="s">
        <v>368</v>
      </c>
      <c r="N94" s="225">
        <v>410491.6</v>
      </c>
      <c r="O94" s="226">
        <v>2</v>
      </c>
      <c r="P94" s="226">
        <v>15</v>
      </c>
      <c r="Q94" s="227">
        <v>152</v>
      </c>
      <c r="R94" s="226">
        <v>1434</v>
      </c>
      <c r="S94" s="227">
        <v>14889</v>
      </c>
      <c r="T94" s="226">
        <v>164648</v>
      </c>
      <c r="V94" s="228"/>
      <c r="X94" s="304"/>
    </row>
    <row r="95" spans="1:24" x14ac:dyDescent="0.15">
      <c r="A95" s="178"/>
      <c r="B95" s="179">
        <v>43008</v>
      </c>
      <c r="C95" s="180" t="s">
        <v>363</v>
      </c>
      <c r="D95" s="289">
        <v>0</v>
      </c>
      <c r="E95" s="289">
        <v>9</v>
      </c>
      <c r="F95" s="289">
        <v>0</v>
      </c>
      <c r="G95" s="289">
        <v>2</v>
      </c>
      <c r="H95" s="289">
        <v>6</v>
      </c>
      <c r="I95" s="289">
        <v>1</v>
      </c>
      <c r="J95" s="303">
        <v>9</v>
      </c>
      <c r="K95" s="229">
        <v>12117307.5</v>
      </c>
      <c r="L95" s="230">
        <v>1</v>
      </c>
      <c r="M95" s="229">
        <v>1177777</v>
      </c>
      <c r="N95" s="231">
        <v>94255.2</v>
      </c>
      <c r="O95" s="232">
        <v>4</v>
      </c>
      <c r="P95" s="233">
        <v>40</v>
      </c>
      <c r="Q95" s="232">
        <v>437</v>
      </c>
      <c r="R95" s="233">
        <v>4185</v>
      </c>
      <c r="S95" s="232">
        <v>41966</v>
      </c>
      <c r="T95" s="233">
        <v>453100</v>
      </c>
      <c r="V95" s="228"/>
      <c r="X95" s="304"/>
    </row>
    <row r="96" spans="1:24" x14ac:dyDescent="0.15">
      <c r="A96" s="172">
        <v>40</v>
      </c>
      <c r="B96" s="173">
        <v>43012</v>
      </c>
      <c r="C96" s="174" t="s">
        <v>362</v>
      </c>
      <c r="D96" s="291">
        <v>6</v>
      </c>
      <c r="E96" s="291">
        <v>1</v>
      </c>
      <c r="F96" s="291">
        <v>7</v>
      </c>
      <c r="G96" s="291">
        <v>0</v>
      </c>
      <c r="H96" s="291">
        <v>4</v>
      </c>
      <c r="I96" s="291">
        <v>9</v>
      </c>
      <c r="J96" s="292">
        <v>3</v>
      </c>
      <c r="K96" s="222">
        <v>4951950</v>
      </c>
      <c r="L96" s="234" t="s">
        <v>23</v>
      </c>
      <c r="M96" s="224" t="s">
        <v>368</v>
      </c>
      <c r="N96" s="225">
        <v>446338.8</v>
      </c>
      <c r="O96" s="226">
        <v>2</v>
      </c>
      <c r="P96" s="226">
        <v>20</v>
      </c>
      <c r="Q96" s="227">
        <v>175</v>
      </c>
      <c r="R96" s="226">
        <v>1705</v>
      </c>
      <c r="S96" s="227">
        <v>17781</v>
      </c>
      <c r="T96" s="226">
        <v>198777</v>
      </c>
      <c r="V96" s="228"/>
      <c r="X96" s="304"/>
    </row>
    <row r="97" spans="1:24" x14ac:dyDescent="0.15">
      <c r="A97" s="178"/>
      <c r="B97" s="179">
        <v>43015</v>
      </c>
      <c r="C97" s="180" t="s">
        <v>363</v>
      </c>
      <c r="D97" s="289">
        <v>1</v>
      </c>
      <c r="E97" s="289">
        <v>4</v>
      </c>
      <c r="F97" s="289">
        <v>1</v>
      </c>
      <c r="G97" s="289">
        <v>2</v>
      </c>
      <c r="H97" s="289">
        <v>6</v>
      </c>
      <c r="I97" s="289">
        <v>8</v>
      </c>
      <c r="J97" s="303">
        <v>1</v>
      </c>
      <c r="K97" s="229">
        <v>12165617.5</v>
      </c>
      <c r="L97" s="237">
        <v>2</v>
      </c>
      <c r="M97" s="229">
        <v>577777</v>
      </c>
      <c r="N97" s="231">
        <v>155760.20000000001</v>
      </c>
      <c r="O97" s="232">
        <v>3</v>
      </c>
      <c r="P97" s="233">
        <v>36</v>
      </c>
      <c r="Q97" s="232">
        <v>372</v>
      </c>
      <c r="R97" s="233">
        <v>3726</v>
      </c>
      <c r="S97" s="232">
        <v>36442</v>
      </c>
      <c r="T97" s="233">
        <v>362968</v>
      </c>
      <c r="V97" s="228"/>
      <c r="X97" s="304"/>
    </row>
    <row r="98" spans="1:24" x14ac:dyDescent="0.15">
      <c r="A98" s="172">
        <v>41</v>
      </c>
      <c r="B98" s="173">
        <v>43019</v>
      </c>
      <c r="C98" s="174" t="s">
        <v>362</v>
      </c>
      <c r="D98" s="291">
        <v>0</v>
      </c>
      <c r="E98" s="291">
        <v>8</v>
      </c>
      <c r="F98" s="291">
        <v>3</v>
      </c>
      <c r="G98" s="291">
        <v>6</v>
      </c>
      <c r="H98" s="291">
        <v>1</v>
      </c>
      <c r="I98" s="291">
        <v>0</v>
      </c>
      <c r="J98" s="292">
        <v>4</v>
      </c>
      <c r="K98" s="222">
        <v>5405220</v>
      </c>
      <c r="L98" s="223" t="s">
        <v>23</v>
      </c>
      <c r="M98" s="224" t="s">
        <v>368</v>
      </c>
      <c r="N98" s="225">
        <v>540071.30000000005</v>
      </c>
      <c r="O98" s="226">
        <v>2</v>
      </c>
      <c r="P98" s="227">
        <v>16</v>
      </c>
      <c r="Q98" s="226">
        <v>202</v>
      </c>
      <c r="R98" s="227">
        <v>1653</v>
      </c>
      <c r="S98" s="226">
        <v>16494</v>
      </c>
      <c r="T98" s="227">
        <v>184087</v>
      </c>
      <c r="V98" s="228"/>
      <c r="X98" s="304"/>
    </row>
    <row r="99" spans="1:24" x14ac:dyDescent="0.15">
      <c r="A99" s="178"/>
      <c r="B99" s="179">
        <v>43022</v>
      </c>
      <c r="C99" s="180" t="s">
        <v>363</v>
      </c>
      <c r="D99" s="289">
        <v>6</v>
      </c>
      <c r="E99" s="289">
        <v>6</v>
      </c>
      <c r="F99" s="289">
        <v>6</v>
      </c>
      <c r="G99" s="289">
        <v>3</v>
      </c>
      <c r="H99" s="289">
        <v>1</v>
      </c>
      <c r="I99" s="289">
        <v>4</v>
      </c>
      <c r="J99" s="303">
        <v>9</v>
      </c>
      <c r="K99" s="229">
        <v>12809035</v>
      </c>
      <c r="L99" s="230" t="s">
        <v>23</v>
      </c>
      <c r="M99" s="229" t="s">
        <v>368</v>
      </c>
      <c r="N99" s="231">
        <v>1450793.7</v>
      </c>
      <c r="O99" s="232">
        <v>7</v>
      </c>
      <c r="P99" s="233">
        <v>61</v>
      </c>
      <c r="Q99" s="232">
        <v>470</v>
      </c>
      <c r="R99" s="233">
        <v>4807</v>
      </c>
      <c r="S99" s="232">
        <v>48493</v>
      </c>
      <c r="T99" s="233">
        <v>473029</v>
      </c>
      <c r="V99" s="228"/>
      <c r="X99" s="304"/>
    </row>
    <row r="100" spans="1:24" x14ac:dyDescent="0.15">
      <c r="A100" s="172">
        <v>42</v>
      </c>
      <c r="B100" s="173">
        <v>43026</v>
      </c>
      <c r="C100" s="174" t="s">
        <v>362</v>
      </c>
      <c r="D100" s="291">
        <v>3</v>
      </c>
      <c r="E100" s="291">
        <v>8</v>
      </c>
      <c r="F100" s="291">
        <v>8</v>
      </c>
      <c r="G100" s="291">
        <v>8</v>
      </c>
      <c r="H100" s="291">
        <v>3</v>
      </c>
      <c r="I100" s="291">
        <v>1</v>
      </c>
      <c r="J100" s="292">
        <v>1</v>
      </c>
      <c r="K100" s="222">
        <v>4975437.5</v>
      </c>
      <c r="L100" s="234" t="s">
        <v>23</v>
      </c>
      <c r="M100" s="224" t="s">
        <v>368</v>
      </c>
      <c r="N100" s="225">
        <v>1804547.3</v>
      </c>
      <c r="O100" s="226">
        <v>2</v>
      </c>
      <c r="P100" s="227">
        <v>14</v>
      </c>
      <c r="Q100" s="226">
        <v>130</v>
      </c>
      <c r="R100" s="227">
        <v>1533</v>
      </c>
      <c r="S100" s="226">
        <v>16174</v>
      </c>
      <c r="T100" s="227">
        <v>146788</v>
      </c>
      <c r="V100" s="228"/>
      <c r="X100" s="304"/>
    </row>
    <row r="101" spans="1:24" x14ac:dyDescent="0.15">
      <c r="A101" s="178"/>
      <c r="B101" s="179">
        <v>43029</v>
      </c>
      <c r="C101" s="180" t="s">
        <v>363</v>
      </c>
      <c r="D101" s="289">
        <v>5</v>
      </c>
      <c r="E101" s="289">
        <v>5</v>
      </c>
      <c r="F101" s="289">
        <v>2</v>
      </c>
      <c r="G101" s="289">
        <v>7</v>
      </c>
      <c r="H101" s="289">
        <v>2</v>
      </c>
      <c r="I101" s="289">
        <v>3</v>
      </c>
      <c r="J101" s="303">
        <v>1</v>
      </c>
      <c r="K101" s="229">
        <v>12196952.5</v>
      </c>
      <c r="L101" s="237" t="s">
        <v>23</v>
      </c>
      <c r="M101" s="229" t="s">
        <v>368</v>
      </c>
      <c r="N101" s="231">
        <v>2671750.6</v>
      </c>
      <c r="O101" s="232">
        <v>3</v>
      </c>
      <c r="P101" s="233">
        <v>33</v>
      </c>
      <c r="Q101" s="232">
        <v>336</v>
      </c>
      <c r="R101" s="233">
        <v>3765</v>
      </c>
      <c r="S101" s="232">
        <v>37511</v>
      </c>
      <c r="T101" s="233">
        <v>365699</v>
      </c>
      <c r="U101" s="228"/>
      <c r="V101" s="228"/>
      <c r="X101" s="304"/>
    </row>
    <row r="102" spans="1:24" x14ac:dyDescent="0.15">
      <c r="A102" s="172">
        <v>43</v>
      </c>
      <c r="B102" s="173">
        <v>43033</v>
      </c>
      <c r="C102" s="174" t="s">
        <v>362</v>
      </c>
      <c r="D102" s="291">
        <v>6</v>
      </c>
      <c r="E102" s="291">
        <v>7</v>
      </c>
      <c r="F102" s="291">
        <v>3</v>
      </c>
      <c r="G102" s="291">
        <v>5</v>
      </c>
      <c r="H102" s="291">
        <v>3</v>
      </c>
      <c r="I102" s="291">
        <v>8</v>
      </c>
      <c r="J102" s="292">
        <v>5</v>
      </c>
      <c r="K102" s="222">
        <v>5079047.5</v>
      </c>
      <c r="L102" s="223" t="s">
        <v>23</v>
      </c>
      <c r="M102" s="224" t="s">
        <v>368</v>
      </c>
      <c r="N102" s="225">
        <v>3032870.9</v>
      </c>
      <c r="O102" s="226">
        <v>1</v>
      </c>
      <c r="P102" s="227">
        <v>21</v>
      </c>
      <c r="Q102" s="226">
        <v>231</v>
      </c>
      <c r="R102" s="227">
        <v>2094</v>
      </c>
      <c r="S102" s="226">
        <v>20700</v>
      </c>
      <c r="T102" s="227">
        <v>211730</v>
      </c>
      <c r="V102" s="228"/>
      <c r="X102" s="304"/>
    </row>
    <row r="103" spans="1:24" x14ac:dyDescent="0.15">
      <c r="A103" s="178"/>
      <c r="B103" s="287">
        <v>43036</v>
      </c>
      <c r="C103" s="180" t="s">
        <v>363</v>
      </c>
      <c r="D103" s="289">
        <v>7</v>
      </c>
      <c r="E103" s="289">
        <v>2</v>
      </c>
      <c r="F103" s="289">
        <v>2</v>
      </c>
      <c r="G103" s="289">
        <v>6</v>
      </c>
      <c r="H103" s="289">
        <v>9</v>
      </c>
      <c r="I103" s="289">
        <v>2</v>
      </c>
      <c r="J103" s="303">
        <v>9</v>
      </c>
      <c r="K103" s="229">
        <v>12205277.5</v>
      </c>
      <c r="L103" s="237">
        <v>1</v>
      </c>
      <c r="M103" s="229">
        <v>3877777</v>
      </c>
      <c r="N103" s="231">
        <v>22889.1</v>
      </c>
      <c r="O103" s="232">
        <v>2</v>
      </c>
      <c r="P103" s="233">
        <v>46</v>
      </c>
      <c r="Q103" s="232">
        <v>450</v>
      </c>
      <c r="R103" s="233">
        <v>4697</v>
      </c>
      <c r="S103" s="232">
        <v>45711</v>
      </c>
      <c r="T103" s="233">
        <v>455896</v>
      </c>
      <c r="V103" s="228"/>
      <c r="X103" s="304"/>
    </row>
    <row r="104" spans="1:24" x14ac:dyDescent="0.15">
      <c r="A104" s="172">
        <v>44</v>
      </c>
      <c r="B104" s="173">
        <v>43040</v>
      </c>
      <c r="C104" s="174" t="s">
        <v>362</v>
      </c>
      <c r="D104" s="291">
        <v>9</v>
      </c>
      <c r="E104" s="291">
        <v>4</v>
      </c>
      <c r="F104" s="291">
        <v>6</v>
      </c>
      <c r="G104" s="291">
        <v>1</v>
      </c>
      <c r="H104" s="291">
        <v>0</v>
      </c>
      <c r="I104" s="291">
        <v>4</v>
      </c>
      <c r="J104" s="292">
        <v>2</v>
      </c>
      <c r="K104" s="222">
        <v>5017235</v>
      </c>
      <c r="L104" s="234" t="s">
        <v>23</v>
      </c>
      <c r="M104" s="224" t="s">
        <v>368</v>
      </c>
      <c r="N104" s="225">
        <v>379614.5</v>
      </c>
      <c r="O104" s="226">
        <v>2</v>
      </c>
      <c r="P104" s="227">
        <v>18</v>
      </c>
      <c r="Q104" s="226">
        <v>157</v>
      </c>
      <c r="R104" s="227">
        <v>1472</v>
      </c>
      <c r="S104" s="226">
        <v>16142</v>
      </c>
      <c r="T104" s="227">
        <v>158126</v>
      </c>
      <c r="V104" s="228"/>
      <c r="X104" s="304"/>
    </row>
    <row r="105" spans="1:24" x14ac:dyDescent="0.15">
      <c r="A105" s="178"/>
      <c r="B105" s="179">
        <v>43043</v>
      </c>
      <c r="C105" s="180" t="s">
        <v>363</v>
      </c>
      <c r="D105" s="289">
        <v>9</v>
      </c>
      <c r="E105" s="289">
        <v>5</v>
      </c>
      <c r="F105" s="289">
        <v>2</v>
      </c>
      <c r="G105" s="289">
        <v>5</v>
      </c>
      <c r="H105" s="289">
        <v>4</v>
      </c>
      <c r="I105" s="289">
        <v>4</v>
      </c>
      <c r="J105" s="303">
        <v>3</v>
      </c>
      <c r="K105" s="229">
        <v>12574037.5</v>
      </c>
      <c r="L105" s="237">
        <v>2</v>
      </c>
      <c r="M105" s="229">
        <v>577777</v>
      </c>
      <c r="N105" s="231">
        <v>118074.6</v>
      </c>
      <c r="O105" s="232">
        <v>3</v>
      </c>
      <c r="P105" s="232">
        <v>49</v>
      </c>
      <c r="Q105" s="233">
        <v>477</v>
      </c>
      <c r="R105" s="232">
        <v>4493</v>
      </c>
      <c r="S105" s="233">
        <v>46256</v>
      </c>
      <c r="T105" s="232">
        <v>469712</v>
      </c>
      <c r="V105" s="228"/>
      <c r="X105" s="304"/>
    </row>
    <row r="106" spans="1:24" x14ac:dyDescent="0.15">
      <c r="A106" s="172">
        <v>45</v>
      </c>
      <c r="B106" s="173">
        <v>43047</v>
      </c>
      <c r="C106" s="174" t="s">
        <v>362</v>
      </c>
      <c r="D106" s="291">
        <v>5</v>
      </c>
      <c r="E106" s="291">
        <v>1</v>
      </c>
      <c r="F106" s="291">
        <v>8</v>
      </c>
      <c r="G106" s="291">
        <v>4</v>
      </c>
      <c r="H106" s="291">
        <v>4</v>
      </c>
      <c r="I106" s="291">
        <v>2</v>
      </c>
      <c r="J106" s="292">
        <v>2</v>
      </c>
      <c r="K106" s="222">
        <v>5600137.5</v>
      </c>
      <c r="L106" s="223" t="s">
        <v>23</v>
      </c>
      <c r="M106" s="224" t="s">
        <v>368</v>
      </c>
      <c r="N106" s="225">
        <v>516244.4</v>
      </c>
      <c r="O106" s="226">
        <v>1</v>
      </c>
      <c r="P106" s="227">
        <v>21</v>
      </c>
      <c r="Q106" s="226">
        <v>188</v>
      </c>
      <c r="R106" s="227">
        <v>1782</v>
      </c>
      <c r="S106" s="226">
        <v>18607</v>
      </c>
      <c r="T106" s="227">
        <v>177325</v>
      </c>
      <c r="V106" s="228"/>
      <c r="X106" s="304"/>
    </row>
    <row r="107" spans="1:24" x14ac:dyDescent="0.15">
      <c r="A107" s="178"/>
      <c r="B107" s="179">
        <v>43050</v>
      </c>
      <c r="C107" s="180" t="s">
        <v>363</v>
      </c>
      <c r="D107" s="289">
        <v>3</v>
      </c>
      <c r="E107" s="289">
        <v>1</v>
      </c>
      <c r="F107" s="289">
        <v>6</v>
      </c>
      <c r="G107" s="289">
        <v>7</v>
      </c>
      <c r="H107" s="289">
        <v>5</v>
      </c>
      <c r="I107" s="289">
        <v>1</v>
      </c>
      <c r="J107" s="303">
        <v>5</v>
      </c>
      <c r="K107" s="229">
        <v>13167957.5</v>
      </c>
      <c r="L107" s="237" t="s">
        <v>23</v>
      </c>
      <c r="M107" s="229" t="s">
        <v>368</v>
      </c>
      <c r="N107" s="231">
        <v>1452486.2</v>
      </c>
      <c r="O107" s="232">
        <v>8</v>
      </c>
      <c r="P107" s="233">
        <v>53</v>
      </c>
      <c r="Q107" s="232">
        <v>487</v>
      </c>
      <c r="R107" s="233">
        <v>5710</v>
      </c>
      <c r="S107" s="232">
        <v>53949</v>
      </c>
      <c r="T107" s="233">
        <v>554335</v>
      </c>
      <c r="V107" s="228"/>
      <c r="X107" s="304"/>
    </row>
    <row r="108" spans="1:24" x14ac:dyDescent="0.15">
      <c r="A108" s="172">
        <v>46</v>
      </c>
      <c r="B108" s="173">
        <v>43054</v>
      </c>
      <c r="C108" s="174" t="s">
        <v>362</v>
      </c>
      <c r="D108" s="291">
        <v>0</v>
      </c>
      <c r="E108" s="291">
        <v>1</v>
      </c>
      <c r="F108" s="291">
        <v>1</v>
      </c>
      <c r="G108" s="291">
        <v>6</v>
      </c>
      <c r="H108" s="291">
        <v>8</v>
      </c>
      <c r="I108" s="291">
        <v>2</v>
      </c>
      <c r="J108" s="292">
        <v>4</v>
      </c>
      <c r="K108" s="222">
        <v>5048782.5</v>
      </c>
      <c r="L108" s="234" t="s">
        <v>23</v>
      </c>
      <c r="M108" s="224" t="s">
        <v>368</v>
      </c>
      <c r="N108" s="225">
        <v>1811454.6</v>
      </c>
      <c r="O108" s="226">
        <v>1</v>
      </c>
      <c r="P108" s="227">
        <v>18</v>
      </c>
      <c r="Q108" s="226">
        <v>165</v>
      </c>
      <c r="R108" s="227">
        <v>1691</v>
      </c>
      <c r="S108" s="226">
        <v>16909</v>
      </c>
      <c r="T108" s="227">
        <v>170214</v>
      </c>
      <c r="V108" s="228"/>
      <c r="X108" s="304"/>
    </row>
    <row r="109" spans="1:24" x14ac:dyDescent="0.15">
      <c r="A109" s="178"/>
      <c r="B109" s="179">
        <v>43057</v>
      </c>
      <c r="C109" s="180" t="s">
        <v>363</v>
      </c>
      <c r="D109" s="289">
        <v>5</v>
      </c>
      <c r="E109" s="289">
        <v>4</v>
      </c>
      <c r="F109" s="289">
        <v>4</v>
      </c>
      <c r="G109" s="289">
        <v>9</v>
      </c>
      <c r="H109" s="289">
        <v>9</v>
      </c>
      <c r="I109" s="289">
        <v>7</v>
      </c>
      <c r="J109" s="303">
        <v>2</v>
      </c>
      <c r="K109" s="229">
        <v>12069185</v>
      </c>
      <c r="L109" s="237" t="s">
        <v>23</v>
      </c>
      <c r="M109" s="229" t="s">
        <v>368</v>
      </c>
      <c r="N109" s="231">
        <v>2669573.7000000002</v>
      </c>
      <c r="O109" s="232">
        <v>5</v>
      </c>
      <c r="P109" s="233">
        <v>31</v>
      </c>
      <c r="Q109" s="232">
        <v>403</v>
      </c>
      <c r="R109" s="233">
        <v>4043</v>
      </c>
      <c r="S109" s="232">
        <v>38517</v>
      </c>
      <c r="T109" s="233">
        <v>386463</v>
      </c>
      <c r="V109" s="228"/>
      <c r="X109" s="304"/>
    </row>
    <row r="110" spans="1:24" x14ac:dyDescent="0.15">
      <c r="A110" s="172">
        <v>47</v>
      </c>
      <c r="B110" s="173">
        <v>43061</v>
      </c>
      <c r="C110" s="174" t="s">
        <v>362</v>
      </c>
      <c r="D110" s="291">
        <v>8</v>
      </c>
      <c r="E110" s="291">
        <v>6</v>
      </c>
      <c r="F110" s="291">
        <v>8</v>
      </c>
      <c r="G110" s="291">
        <v>9</v>
      </c>
      <c r="H110" s="291">
        <v>6</v>
      </c>
      <c r="I110" s="291">
        <v>3</v>
      </c>
      <c r="J110" s="292">
        <v>1</v>
      </c>
      <c r="K110" s="222">
        <v>5098745</v>
      </c>
      <c r="L110" s="234" t="s">
        <v>23</v>
      </c>
      <c r="M110" s="224" t="s">
        <v>368</v>
      </c>
      <c r="N110" s="225">
        <v>3032094.5</v>
      </c>
      <c r="O110" s="226">
        <v>1</v>
      </c>
      <c r="P110" s="227">
        <v>13</v>
      </c>
      <c r="Q110" s="226">
        <v>172</v>
      </c>
      <c r="R110" s="227">
        <v>1563</v>
      </c>
      <c r="S110" s="226">
        <v>16055</v>
      </c>
      <c r="T110" s="227">
        <v>153713</v>
      </c>
      <c r="V110" s="228"/>
      <c r="X110" s="304"/>
    </row>
    <row r="111" spans="1:24" x14ac:dyDescent="0.15">
      <c r="A111" s="178"/>
      <c r="B111" s="179">
        <v>43064</v>
      </c>
      <c r="C111" s="180" t="s">
        <v>363</v>
      </c>
      <c r="D111" s="289">
        <v>2</v>
      </c>
      <c r="E111" s="289">
        <v>9</v>
      </c>
      <c r="F111" s="289">
        <v>3</v>
      </c>
      <c r="G111" s="289">
        <v>2</v>
      </c>
      <c r="H111" s="289">
        <v>8</v>
      </c>
      <c r="I111" s="289">
        <v>4</v>
      </c>
      <c r="J111" s="303">
        <v>4</v>
      </c>
      <c r="K111" s="229">
        <v>12140267.5</v>
      </c>
      <c r="L111" s="230" t="s">
        <v>23</v>
      </c>
      <c r="M111" s="229" t="s">
        <v>368</v>
      </c>
      <c r="N111" s="231">
        <v>3895267.5</v>
      </c>
      <c r="O111" s="232">
        <v>6</v>
      </c>
      <c r="P111" s="233">
        <v>42</v>
      </c>
      <c r="Q111" s="232">
        <v>372</v>
      </c>
      <c r="R111" s="233">
        <v>3977</v>
      </c>
      <c r="S111" s="232">
        <v>41090</v>
      </c>
      <c r="T111" s="233">
        <v>404118</v>
      </c>
      <c r="V111" s="228"/>
      <c r="X111" s="304"/>
    </row>
    <row r="112" spans="1:24" x14ac:dyDescent="0.15">
      <c r="A112" s="172">
        <v>48</v>
      </c>
      <c r="B112" s="173">
        <v>43068</v>
      </c>
      <c r="C112" s="174" t="s">
        <v>362</v>
      </c>
      <c r="D112" s="291">
        <v>8</v>
      </c>
      <c r="E112" s="291">
        <v>1</v>
      </c>
      <c r="F112" s="291">
        <v>5</v>
      </c>
      <c r="G112" s="291">
        <v>3</v>
      </c>
      <c r="H112" s="291">
        <v>6</v>
      </c>
      <c r="I112" s="291">
        <v>5</v>
      </c>
      <c r="J112" s="292">
        <v>0</v>
      </c>
      <c r="K112" s="222">
        <v>4948610</v>
      </c>
      <c r="L112" s="234" t="s">
        <v>23</v>
      </c>
      <c r="M112" s="224" t="s">
        <v>368</v>
      </c>
      <c r="N112" s="225">
        <v>4247113.7</v>
      </c>
      <c r="O112" s="226">
        <v>1</v>
      </c>
      <c r="P112" s="227">
        <v>14</v>
      </c>
      <c r="Q112" s="226">
        <v>130</v>
      </c>
      <c r="R112" s="227">
        <v>1370</v>
      </c>
      <c r="S112" s="226">
        <v>13968</v>
      </c>
      <c r="T112" s="227">
        <v>135640</v>
      </c>
      <c r="V112" s="228"/>
      <c r="X112" s="304"/>
    </row>
    <row r="113" spans="1:24" x14ac:dyDescent="0.15">
      <c r="A113" s="178"/>
      <c r="B113" s="179">
        <v>43071</v>
      </c>
      <c r="C113" s="180" t="s">
        <v>363</v>
      </c>
      <c r="D113" s="289">
        <v>1</v>
      </c>
      <c r="E113" s="289">
        <v>7</v>
      </c>
      <c r="F113" s="289">
        <v>4</v>
      </c>
      <c r="G113" s="289">
        <v>6</v>
      </c>
      <c r="H113" s="289">
        <v>2</v>
      </c>
      <c r="I113" s="289">
        <v>6</v>
      </c>
      <c r="J113" s="303">
        <v>3</v>
      </c>
      <c r="K113" s="229">
        <v>12255420</v>
      </c>
      <c r="L113" s="230" t="s">
        <v>23</v>
      </c>
      <c r="M113" s="229" t="s">
        <v>368</v>
      </c>
      <c r="N113" s="231">
        <v>5118474.0999999996</v>
      </c>
      <c r="O113" s="232">
        <v>7</v>
      </c>
      <c r="P113" s="233">
        <v>52</v>
      </c>
      <c r="Q113" s="232">
        <v>451</v>
      </c>
      <c r="R113" s="233">
        <v>4716</v>
      </c>
      <c r="S113" s="232">
        <v>46961</v>
      </c>
      <c r="T113" s="233">
        <v>457456</v>
      </c>
      <c r="V113" s="228"/>
      <c r="X113" s="304"/>
    </row>
    <row r="114" spans="1:24" x14ac:dyDescent="0.15">
      <c r="A114" s="172">
        <v>49</v>
      </c>
      <c r="B114" s="173">
        <v>43075</v>
      </c>
      <c r="C114" s="174" t="s">
        <v>362</v>
      </c>
      <c r="D114" s="291">
        <v>3</v>
      </c>
      <c r="E114" s="291">
        <v>8</v>
      </c>
      <c r="F114" s="291">
        <v>9</v>
      </c>
      <c r="G114" s="291">
        <v>7</v>
      </c>
      <c r="H114" s="291">
        <v>8</v>
      </c>
      <c r="I114" s="291">
        <v>4</v>
      </c>
      <c r="J114" s="292">
        <v>2</v>
      </c>
      <c r="K114" s="222">
        <v>5777037.5</v>
      </c>
      <c r="L114" s="234" t="s">
        <v>23</v>
      </c>
      <c r="M114" s="224" t="s">
        <v>368</v>
      </c>
      <c r="N114" s="225">
        <v>5529221.5</v>
      </c>
      <c r="O114" s="226">
        <v>1</v>
      </c>
      <c r="P114" s="227">
        <v>19</v>
      </c>
      <c r="Q114" s="226">
        <v>183</v>
      </c>
      <c r="R114" s="227">
        <v>1928</v>
      </c>
      <c r="S114" s="226">
        <v>18794</v>
      </c>
      <c r="T114" s="227">
        <v>185146</v>
      </c>
      <c r="V114" s="228"/>
      <c r="X114" s="304"/>
    </row>
    <row r="115" spans="1:24" x14ac:dyDescent="0.15">
      <c r="A115" s="178"/>
      <c r="B115" s="179">
        <v>43078</v>
      </c>
      <c r="C115" s="180" t="s">
        <v>363</v>
      </c>
      <c r="D115" s="289">
        <v>0</v>
      </c>
      <c r="E115" s="289">
        <v>5</v>
      </c>
      <c r="F115" s="289">
        <v>6</v>
      </c>
      <c r="G115" s="289">
        <v>3</v>
      </c>
      <c r="H115" s="289">
        <v>3</v>
      </c>
      <c r="I115" s="289">
        <v>2</v>
      </c>
      <c r="J115" s="303">
        <v>6</v>
      </c>
      <c r="K115" s="229">
        <v>13181052.5</v>
      </c>
      <c r="L115" s="230" t="s">
        <v>23</v>
      </c>
      <c r="M115" s="229" t="s">
        <v>368</v>
      </c>
      <c r="N115" s="231">
        <v>6466394.2999999998</v>
      </c>
      <c r="O115" s="232">
        <v>8</v>
      </c>
      <c r="P115" s="233">
        <v>49</v>
      </c>
      <c r="Q115" s="232">
        <v>502</v>
      </c>
      <c r="R115" s="233">
        <v>5184</v>
      </c>
      <c r="S115" s="232">
        <v>49942</v>
      </c>
      <c r="T115" s="233">
        <v>491141</v>
      </c>
      <c r="V115" s="228"/>
      <c r="X115" s="304"/>
    </row>
    <row r="116" spans="1:24" x14ac:dyDescent="0.15">
      <c r="A116" s="172">
        <v>50</v>
      </c>
      <c r="B116" s="173">
        <v>43082</v>
      </c>
      <c r="C116" s="174" t="s">
        <v>362</v>
      </c>
      <c r="D116" s="291">
        <v>7</v>
      </c>
      <c r="E116" s="291">
        <v>4</v>
      </c>
      <c r="F116" s="291">
        <v>6</v>
      </c>
      <c r="G116" s="291">
        <v>5</v>
      </c>
      <c r="H116" s="291">
        <v>9</v>
      </c>
      <c r="I116" s="291">
        <v>3</v>
      </c>
      <c r="J116" s="292">
        <v>1</v>
      </c>
      <c r="K116" s="222">
        <v>5637102.5</v>
      </c>
      <c r="L116" s="234">
        <v>1</v>
      </c>
      <c r="M116" s="224">
        <v>6777777</v>
      </c>
      <c r="N116" s="225">
        <v>89415.3</v>
      </c>
      <c r="O116" s="226" t="s">
        <v>17</v>
      </c>
      <c r="P116" s="227">
        <v>23</v>
      </c>
      <c r="Q116" s="226">
        <v>181</v>
      </c>
      <c r="R116" s="227">
        <v>1731</v>
      </c>
      <c r="S116" s="226">
        <v>17811</v>
      </c>
      <c r="T116" s="227">
        <v>170778</v>
      </c>
      <c r="V116" s="228"/>
      <c r="X116" s="304"/>
    </row>
    <row r="117" spans="1:24" x14ac:dyDescent="0.15">
      <c r="A117" s="178"/>
      <c r="B117" s="179">
        <v>43085</v>
      </c>
      <c r="C117" s="180" t="s">
        <v>363</v>
      </c>
      <c r="D117" s="289">
        <v>0</v>
      </c>
      <c r="E117" s="289">
        <v>3</v>
      </c>
      <c r="F117" s="289">
        <v>5</v>
      </c>
      <c r="G117" s="289">
        <v>4</v>
      </c>
      <c r="H117" s="289">
        <v>8</v>
      </c>
      <c r="I117" s="289">
        <v>9</v>
      </c>
      <c r="J117" s="303">
        <v>2</v>
      </c>
      <c r="K117" s="229">
        <v>12938432.5</v>
      </c>
      <c r="L117" s="230" t="s">
        <v>23</v>
      </c>
      <c r="M117" s="229" t="s">
        <v>368</v>
      </c>
      <c r="N117" s="231">
        <v>1009337.9</v>
      </c>
      <c r="O117" s="232">
        <v>4</v>
      </c>
      <c r="P117" s="233">
        <v>41</v>
      </c>
      <c r="Q117" s="232">
        <v>397</v>
      </c>
      <c r="R117" s="233">
        <v>3963</v>
      </c>
      <c r="S117" s="232">
        <v>39911</v>
      </c>
      <c r="T117" s="233">
        <v>419722</v>
      </c>
      <c r="V117" s="228"/>
      <c r="X117" s="304"/>
    </row>
    <row r="118" spans="1:24" x14ac:dyDescent="0.15">
      <c r="A118" s="172">
        <v>51</v>
      </c>
      <c r="B118" s="173">
        <v>43089</v>
      </c>
      <c r="C118" s="174" t="s">
        <v>362</v>
      </c>
      <c r="D118" s="291">
        <v>7</v>
      </c>
      <c r="E118" s="291">
        <v>6</v>
      </c>
      <c r="F118" s="291">
        <v>0</v>
      </c>
      <c r="G118" s="291">
        <v>3</v>
      </c>
      <c r="H118" s="291">
        <v>1</v>
      </c>
      <c r="I118" s="291">
        <v>6</v>
      </c>
      <c r="J118" s="292">
        <v>5</v>
      </c>
      <c r="K118" s="222">
        <v>5907257.5</v>
      </c>
      <c r="L118" s="234">
        <v>1</v>
      </c>
      <c r="M118" s="224">
        <v>1377777</v>
      </c>
      <c r="N118" s="225">
        <v>51566.9</v>
      </c>
      <c r="O118" s="226">
        <v>3</v>
      </c>
      <c r="P118" s="227">
        <v>32</v>
      </c>
      <c r="Q118" s="226">
        <v>237</v>
      </c>
      <c r="R118" s="227">
        <v>2554</v>
      </c>
      <c r="S118" s="226">
        <v>25038</v>
      </c>
      <c r="T118" s="227">
        <v>240720</v>
      </c>
      <c r="V118" s="228"/>
      <c r="X118" s="304"/>
    </row>
    <row r="119" spans="1:24" x14ac:dyDescent="0.15">
      <c r="A119" s="178"/>
      <c r="B119" s="179">
        <v>43092</v>
      </c>
      <c r="C119" s="180" t="s">
        <v>363</v>
      </c>
      <c r="D119" s="289">
        <v>8</v>
      </c>
      <c r="E119" s="289">
        <v>8</v>
      </c>
      <c r="F119" s="289">
        <v>5</v>
      </c>
      <c r="G119" s="289">
        <v>3</v>
      </c>
      <c r="H119" s="289">
        <v>1</v>
      </c>
      <c r="I119" s="289">
        <v>3</v>
      </c>
      <c r="J119" s="303">
        <v>0</v>
      </c>
      <c r="K119" s="229">
        <v>14392850</v>
      </c>
      <c r="L119" s="230">
        <v>1</v>
      </c>
      <c r="M119" s="229">
        <v>977777</v>
      </c>
      <c r="N119" s="231">
        <v>97121.5</v>
      </c>
      <c r="O119" s="232">
        <v>5</v>
      </c>
      <c r="P119" s="233">
        <v>42</v>
      </c>
      <c r="Q119" s="232">
        <v>369</v>
      </c>
      <c r="R119" s="233">
        <v>3901</v>
      </c>
      <c r="S119" s="232">
        <v>37923</v>
      </c>
      <c r="T119" s="233">
        <v>388176</v>
      </c>
      <c r="V119" s="228"/>
      <c r="X119" s="304"/>
    </row>
    <row r="120" spans="1:24" x14ac:dyDescent="0.15">
      <c r="A120" s="172">
        <v>52</v>
      </c>
      <c r="B120" s="173">
        <v>43096</v>
      </c>
      <c r="C120" s="174" t="s">
        <v>362</v>
      </c>
      <c r="D120" s="291">
        <v>0</v>
      </c>
      <c r="E120" s="291">
        <v>7</v>
      </c>
      <c r="F120" s="291">
        <v>4</v>
      </c>
      <c r="G120" s="291">
        <v>6</v>
      </c>
      <c r="H120" s="291">
        <v>9</v>
      </c>
      <c r="I120" s="291">
        <v>4</v>
      </c>
      <c r="J120" s="292">
        <v>6</v>
      </c>
      <c r="K120" s="222">
        <v>5243597.5</v>
      </c>
      <c r="L120" s="223" t="s">
        <v>23</v>
      </c>
      <c r="M120" s="224" t="s">
        <v>368</v>
      </c>
      <c r="N120" s="225">
        <v>469941.3</v>
      </c>
      <c r="O120" s="226">
        <v>3</v>
      </c>
      <c r="P120" s="227">
        <v>26</v>
      </c>
      <c r="Q120" s="226">
        <v>181</v>
      </c>
      <c r="R120" s="227">
        <v>2072</v>
      </c>
      <c r="S120" s="226">
        <v>20165</v>
      </c>
      <c r="T120" s="227">
        <v>196540</v>
      </c>
      <c r="V120" s="228"/>
      <c r="X120" s="304"/>
    </row>
    <row r="121" spans="1:24" x14ac:dyDescent="0.15">
      <c r="A121" s="178"/>
      <c r="B121" s="179">
        <v>43099</v>
      </c>
      <c r="C121" s="180" t="s">
        <v>363</v>
      </c>
      <c r="D121" s="307">
        <v>8</v>
      </c>
      <c r="E121" s="307">
        <v>0</v>
      </c>
      <c r="F121" s="307">
        <v>7</v>
      </c>
      <c r="G121" s="307">
        <v>9</v>
      </c>
      <c r="H121" s="307">
        <v>2</v>
      </c>
      <c r="I121" s="307">
        <v>3</v>
      </c>
      <c r="J121" s="308">
        <v>2</v>
      </c>
      <c r="K121" s="229">
        <v>13591997.5</v>
      </c>
      <c r="L121" s="237">
        <v>1</v>
      </c>
      <c r="M121" s="229">
        <v>1377777</v>
      </c>
      <c r="N121" s="231">
        <v>58555.3</v>
      </c>
      <c r="O121" s="232">
        <v>6</v>
      </c>
      <c r="P121" s="233">
        <v>45</v>
      </c>
      <c r="Q121" s="232">
        <v>434</v>
      </c>
      <c r="R121" s="233">
        <v>4452</v>
      </c>
      <c r="S121" s="232">
        <v>44475</v>
      </c>
      <c r="T121" s="233">
        <v>441171</v>
      </c>
      <c r="V121" s="228"/>
      <c r="X121" s="304"/>
    </row>
    <row r="122" spans="1:24" x14ac:dyDescent="0.15">
      <c r="A122" s="45"/>
      <c r="B122" s="46"/>
      <c r="C122" s="46"/>
      <c r="D122" s="309"/>
      <c r="E122" s="309"/>
      <c r="F122" s="309"/>
      <c r="G122" s="309"/>
      <c r="H122" s="309"/>
      <c r="I122" s="309" t="s">
        <v>24</v>
      </c>
      <c r="J122" s="309"/>
      <c r="K122" s="277"/>
      <c r="L122" s="278">
        <f>SUM(L70:L121)</f>
        <v>17</v>
      </c>
      <c r="M122" s="229"/>
      <c r="N122" s="278"/>
      <c r="O122" s="278">
        <f t="shared" ref="O122:T122" si="1">SUM(O70:O121)</f>
        <v>160</v>
      </c>
      <c r="P122" s="278">
        <f t="shared" si="1"/>
        <v>1645</v>
      </c>
      <c r="Q122" s="278">
        <f t="shared" si="1"/>
        <v>15921</v>
      </c>
      <c r="R122" s="278">
        <f t="shared" si="1"/>
        <v>160056</v>
      </c>
      <c r="S122" s="278">
        <f t="shared" si="1"/>
        <v>1605832</v>
      </c>
      <c r="T122" s="278">
        <f t="shared" si="1"/>
        <v>15989498</v>
      </c>
      <c r="V122" s="228"/>
      <c r="X122" s="304"/>
    </row>
    <row r="123" spans="1:24" x14ac:dyDescent="0.15">
      <c r="K123" s="222"/>
      <c r="V123" s="280"/>
      <c r="X123" s="304"/>
    </row>
  </sheetData>
  <printOptions horizontalCentered="1" verticalCentered="1"/>
  <pageMargins left="0" right="0" top="0" bottom="0.39370078740157483" header="0.23622047244094491" footer="0.23622047244094491"/>
  <pageSetup paperSize="9" scale="87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23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8" customWidth="1"/>
    <col min="10" max="10" width="5" style="298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4" ht="14.1" customHeight="1" x14ac:dyDescent="0.2">
      <c r="A2" s="318" t="s">
        <v>364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20" t="s">
        <v>446</v>
      </c>
    </row>
    <row r="3" spans="1:24" ht="11.1" customHeight="1" x14ac:dyDescent="0.15">
      <c r="A3" s="321" t="s">
        <v>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</row>
    <row r="4" spans="1:24" ht="11.1" customHeight="1" x14ac:dyDescent="0.15">
      <c r="A4" s="311"/>
      <c r="B4" s="322"/>
      <c r="C4" s="323"/>
      <c r="D4" s="324"/>
      <c r="E4" s="324"/>
      <c r="F4" s="324"/>
      <c r="G4" s="324"/>
      <c r="H4" s="324"/>
      <c r="I4" s="324"/>
      <c r="J4" s="325"/>
      <c r="K4" s="322"/>
      <c r="L4" s="324"/>
      <c r="M4" s="326"/>
      <c r="N4" s="325"/>
      <c r="O4" s="322"/>
      <c r="P4" s="325"/>
      <c r="Q4" s="322"/>
      <c r="R4" s="325"/>
      <c r="S4" s="322"/>
      <c r="T4" s="325"/>
    </row>
    <row r="5" spans="1:24" ht="11.1" customHeight="1" x14ac:dyDescent="0.15">
      <c r="A5" s="327"/>
      <c r="B5" s="328"/>
      <c r="C5" s="329"/>
      <c r="D5" s="330" t="s">
        <v>4</v>
      </c>
      <c r="E5" s="331"/>
      <c r="F5" s="331"/>
      <c r="G5" s="331"/>
      <c r="H5" s="331"/>
      <c r="I5" s="331"/>
      <c r="J5" s="332" t="s">
        <v>5</v>
      </c>
      <c r="K5" s="333" t="s">
        <v>6</v>
      </c>
      <c r="L5" s="321" t="s">
        <v>7</v>
      </c>
      <c r="M5" s="334"/>
      <c r="N5" s="327" t="s">
        <v>21</v>
      </c>
      <c r="O5" s="328" t="s">
        <v>8</v>
      </c>
      <c r="P5" s="327" t="s">
        <v>9</v>
      </c>
      <c r="Q5" s="328" t="s">
        <v>10</v>
      </c>
      <c r="R5" s="327" t="s">
        <v>11</v>
      </c>
      <c r="S5" s="328" t="s">
        <v>12</v>
      </c>
      <c r="T5" s="327" t="s">
        <v>49</v>
      </c>
    </row>
    <row r="6" spans="1:24" ht="11.1" customHeight="1" x14ac:dyDescent="0.15">
      <c r="A6" s="327" t="s">
        <v>428</v>
      </c>
      <c r="B6" s="328">
        <v>2018</v>
      </c>
      <c r="C6" s="335" t="s">
        <v>361</v>
      </c>
      <c r="D6" s="336"/>
      <c r="E6" s="336"/>
      <c r="F6" s="336"/>
      <c r="G6" s="336"/>
      <c r="H6" s="336"/>
      <c r="I6" s="336"/>
      <c r="J6" s="332" t="s">
        <v>13</v>
      </c>
      <c r="K6" s="328"/>
      <c r="L6" s="321" t="s">
        <v>371</v>
      </c>
      <c r="M6" s="334"/>
      <c r="N6" s="327" t="s">
        <v>367</v>
      </c>
      <c r="O6" s="337">
        <v>77777</v>
      </c>
      <c r="P6" s="337">
        <v>7777</v>
      </c>
      <c r="Q6" s="337">
        <v>777</v>
      </c>
      <c r="R6" s="337">
        <v>77</v>
      </c>
      <c r="S6" s="337">
        <v>17</v>
      </c>
      <c r="T6" s="337">
        <v>5</v>
      </c>
    </row>
    <row r="7" spans="1:24" ht="10.5" customHeight="1" x14ac:dyDescent="0.15">
      <c r="A7" s="338"/>
      <c r="B7" s="339"/>
      <c r="C7" s="335"/>
      <c r="D7" s="336"/>
      <c r="E7" s="336"/>
      <c r="F7" s="336"/>
      <c r="G7" s="336"/>
      <c r="H7" s="336"/>
      <c r="I7" s="336"/>
      <c r="J7" s="327"/>
      <c r="K7" s="339" t="s">
        <v>367</v>
      </c>
      <c r="L7" s="340" t="s">
        <v>15</v>
      </c>
      <c r="M7" s="341" t="s">
        <v>367</v>
      </c>
      <c r="N7" s="327"/>
      <c r="O7" s="342" t="s">
        <v>15</v>
      </c>
      <c r="P7" s="327" t="s">
        <v>15</v>
      </c>
      <c r="Q7" s="342" t="s">
        <v>15</v>
      </c>
      <c r="R7" s="327" t="s">
        <v>15</v>
      </c>
      <c r="S7" s="342" t="s">
        <v>15</v>
      </c>
      <c r="T7" s="327" t="s">
        <v>15</v>
      </c>
    </row>
    <row r="8" spans="1:24" x14ac:dyDescent="0.15">
      <c r="A8" s="343">
        <v>1</v>
      </c>
      <c r="B8" s="344">
        <v>43103</v>
      </c>
      <c r="C8" s="345" t="s">
        <v>362</v>
      </c>
      <c r="D8" s="310">
        <v>8</v>
      </c>
      <c r="E8" s="310">
        <v>9</v>
      </c>
      <c r="F8" s="310">
        <v>7</v>
      </c>
      <c r="G8" s="310">
        <v>7</v>
      </c>
      <c r="H8" s="310">
        <v>1</v>
      </c>
      <c r="I8" s="310">
        <v>8</v>
      </c>
      <c r="J8" s="311">
        <v>0</v>
      </c>
      <c r="K8" s="312">
        <v>5402187.5</v>
      </c>
      <c r="L8" s="346" t="s">
        <v>23</v>
      </c>
      <c r="M8" s="314" t="s">
        <v>368</v>
      </c>
      <c r="N8" s="314">
        <v>442650.79999999888</v>
      </c>
      <c r="O8" s="316">
        <v>4</v>
      </c>
      <c r="P8" s="317">
        <v>10</v>
      </c>
      <c r="Q8" s="316">
        <v>125</v>
      </c>
      <c r="R8" s="317">
        <v>1372</v>
      </c>
      <c r="S8" s="316">
        <v>14789</v>
      </c>
      <c r="T8" s="317">
        <v>150196</v>
      </c>
      <c r="V8" s="228"/>
      <c r="X8" s="304"/>
    </row>
    <row r="9" spans="1:24" x14ac:dyDescent="0.15">
      <c r="A9" s="347"/>
      <c r="B9" s="348">
        <v>43106</v>
      </c>
      <c r="C9" s="349" t="s">
        <v>363</v>
      </c>
      <c r="D9" s="336">
        <v>7</v>
      </c>
      <c r="E9" s="336">
        <v>4</v>
      </c>
      <c r="F9" s="336">
        <v>3</v>
      </c>
      <c r="G9" s="336">
        <v>4</v>
      </c>
      <c r="H9" s="336">
        <v>3</v>
      </c>
      <c r="I9" s="336">
        <v>5</v>
      </c>
      <c r="J9" s="327">
        <v>2</v>
      </c>
      <c r="K9" s="350">
        <v>12844210</v>
      </c>
      <c r="L9" s="351" t="s">
        <v>23</v>
      </c>
      <c r="M9" s="350" t="s">
        <v>368</v>
      </c>
      <c r="N9" s="352">
        <v>1355874.0999999992</v>
      </c>
      <c r="O9" s="353">
        <v>1</v>
      </c>
      <c r="P9" s="354">
        <v>39</v>
      </c>
      <c r="Q9" s="353">
        <v>460</v>
      </c>
      <c r="R9" s="354">
        <v>4538</v>
      </c>
      <c r="S9" s="353">
        <v>44635</v>
      </c>
      <c r="T9" s="354">
        <v>417906</v>
      </c>
      <c r="U9">
        <v>737224</v>
      </c>
      <c r="V9" s="228"/>
      <c r="X9" s="304"/>
    </row>
    <row r="10" spans="1:24" x14ac:dyDescent="0.15">
      <c r="A10" s="343">
        <v>2</v>
      </c>
      <c r="B10" s="344">
        <v>43110</v>
      </c>
      <c r="C10" s="345" t="s">
        <v>362</v>
      </c>
      <c r="D10" s="355">
        <v>2</v>
      </c>
      <c r="E10" s="310">
        <v>8</v>
      </c>
      <c r="F10" s="310">
        <v>9</v>
      </c>
      <c r="G10" s="310">
        <v>9</v>
      </c>
      <c r="H10" s="310">
        <v>4</v>
      </c>
      <c r="I10" s="310">
        <v>7</v>
      </c>
      <c r="J10" s="311">
        <v>1</v>
      </c>
      <c r="K10" s="312">
        <v>5608427.5</v>
      </c>
      <c r="L10" s="313" t="s">
        <v>23</v>
      </c>
      <c r="M10" s="314" t="s">
        <v>368</v>
      </c>
      <c r="N10" s="315">
        <v>1754633.2999999986</v>
      </c>
      <c r="O10" s="316">
        <v>1</v>
      </c>
      <c r="P10" s="317">
        <v>10</v>
      </c>
      <c r="Q10" s="316">
        <v>165</v>
      </c>
      <c r="R10" s="317">
        <v>1726</v>
      </c>
      <c r="S10" s="316">
        <v>16741</v>
      </c>
      <c r="T10" s="317">
        <v>172491</v>
      </c>
      <c r="V10" s="228"/>
      <c r="X10" s="304"/>
    </row>
    <row r="11" spans="1:24" x14ac:dyDescent="0.15">
      <c r="A11" s="347"/>
      <c r="B11" s="348">
        <v>43113</v>
      </c>
      <c r="C11" s="349" t="s">
        <v>363</v>
      </c>
      <c r="D11" s="356">
        <v>8</v>
      </c>
      <c r="E11" s="356">
        <v>5</v>
      </c>
      <c r="F11" s="356">
        <v>4</v>
      </c>
      <c r="G11" s="356">
        <v>7</v>
      </c>
      <c r="H11" s="356">
        <v>9</v>
      </c>
      <c r="I11" s="356">
        <v>9</v>
      </c>
      <c r="J11" s="327">
        <v>8</v>
      </c>
      <c r="K11" s="350">
        <v>13423817.5</v>
      </c>
      <c r="L11" s="351" t="s">
        <v>23</v>
      </c>
      <c r="M11" s="350" t="s">
        <v>368</v>
      </c>
      <c r="N11" s="350">
        <v>2709066.6999999993</v>
      </c>
      <c r="O11" s="353">
        <v>8</v>
      </c>
      <c r="P11" s="354">
        <v>36</v>
      </c>
      <c r="Q11" s="353">
        <v>465</v>
      </c>
      <c r="R11" s="354">
        <v>4650</v>
      </c>
      <c r="S11" s="353">
        <v>49333</v>
      </c>
      <c r="T11" s="354">
        <v>515218</v>
      </c>
      <c r="V11" s="228"/>
      <c r="X11" s="304"/>
    </row>
    <row r="12" spans="1:24" x14ac:dyDescent="0.15">
      <c r="A12" s="343">
        <v>3</v>
      </c>
      <c r="B12" s="344">
        <v>43117</v>
      </c>
      <c r="C12" s="345" t="s">
        <v>362</v>
      </c>
      <c r="D12" s="355">
        <v>7</v>
      </c>
      <c r="E12" s="310">
        <v>5</v>
      </c>
      <c r="F12" s="310">
        <v>4</v>
      </c>
      <c r="G12" s="310">
        <v>2</v>
      </c>
      <c r="H12" s="310">
        <v>6</v>
      </c>
      <c r="I12" s="310">
        <v>8</v>
      </c>
      <c r="J12" s="311">
        <v>6</v>
      </c>
      <c r="K12" s="312">
        <v>5872125</v>
      </c>
      <c r="L12" s="313" t="s">
        <v>23</v>
      </c>
      <c r="M12" s="314" t="s">
        <v>368</v>
      </c>
      <c r="N12" s="315">
        <v>3126574.7999999989</v>
      </c>
      <c r="O12" s="316">
        <v>2</v>
      </c>
      <c r="P12" s="317">
        <v>14</v>
      </c>
      <c r="Q12" s="316">
        <v>212</v>
      </c>
      <c r="R12" s="317">
        <v>2158</v>
      </c>
      <c r="S12" s="316">
        <v>21131</v>
      </c>
      <c r="T12" s="317">
        <v>221134</v>
      </c>
      <c r="V12" s="228"/>
      <c r="X12" s="304"/>
    </row>
    <row r="13" spans="1:24" x14ac:dyDescent="0.15">
      <c r="A13" s="347"/>
      <c r="B13" s="348">
        <v>43120</v>
      </c>
      <c r="C13" s="349" t="s">
        <v>363</v>
      </c>
      <c r="D13" s="356">
        <v>3</v>
      </c>
      <c r="E13" s="356">
        <v>6</v>
      </c>
      <c r="F13" s="356">
        <v>8</v>
      </c>
      <c r="G13" s="356">
        <v>5</v>
      </c>
      <c r="H13" s="356">
        <v>2</v>
      </c>
      <c r="I13" s="356">
        <v>0</v>
      </c>
      <c r="J13" s="327">
        <v>7</v>
      </c>
      <c r="K13" s="350">
        <v>12803590</v>
      </c>
      <c r="L13" s="357">
        <v>1</v>
      </c>
      <c r="M13" s="350">
        <v>3977777</v>
      </c>
      <c r="N13" s="352">
        <v>0</v>
      </c>
      <c r="O13" s="353">
        <v>5</v>
      </c>
      <c r="P13" s="354">
        <v>52</v>
      </c>
      <c r="Q13" s="353">
        <v>490</v>
      </c>
      <c r="R13" s="354">
        <v>4785</v>
      </c>
      <c r="S13" s="353">
        <v>47479</v>
      </c>
      <c r="T13" s="354">
        <v>568405</v>
      </c>
      <c r="V13" s="228"/>
      <c r="X13" s="304"/>
    </row>
    <row r="14" spans="1:24" x14ac:dyDescent="0.15">
      <c r="A14" s="343">
        <v>4</v>
      </c>
      <c r="B14" s="344">
        <v>43124</v>
      </c>
      <c r="C14" s="345" t="s">
        <v>362</v>
      </c>
      <c r="D14" s="310">
        <v>7</v>
      </c>
      <c r="E14" s="310">
        <v>7</v>
      </c>
      <c r="F14" s="310">
        <v>7</v>
      </c>
      <c r="G14" s="310">
        <v>0</v>
      </c>
      <c r="H14" s="310">
        <v>2</v>
      </c>
      <c r="I14" s="310">
        <v>9</v>
      </c>
      <c r="J14" s="311">
        <v>1</v>
      </c>
      <c r="K14" s="312">
        <v>5182767.5</v>
      </c>
      <c r="L14" s="313" t="s">
        <v>23</v>
      </c>
      <c r="M14" s="314" t="s">
        <v>368</v>
      </c>
      <c r="N14" s="315">
        <v>368494.8</v>
      </c>
      <c r="O14" s="316" t="s">
        <v>17</v>
      </c>
      <c r="P14" s="317">
        <v>16</v>
      </c>
      <c r="Q14" s="316">
        <v>147</v>
      </c>
      <c r="R14" s="317">
        <v>1467</v>
      </c>
      <c r="S14" s="316">
        <v>14838</v>
      </c>
      <c r="T14" s="317">
        <v>159025</v>
      </c>
      <c r="V14" s="228"/>
      <c r="X14" s="304"/>
    </row>
    <row r="15" spans="1:24" x14ac:dyDescent="0.15">
      <c r="A15" s="347"/>
      <c r="B15" s="348">
        <v>43127</v>
      </c>
      <c r="C15" s="349" t="s">
        <v>363</v>
      </c>
      <c r="D15" s="336">
        <v>6</v>
      </c>
      <c r="E15" s="336">
        <v>2</v>
      </c>
      <c r="F15" s="336">
        <v>8</v>
      </c>
      <c r="G15" s="336">
        <v>0</v>
      </c>
      <c r="H15" s="336">
        <v>7</v>
      </c>
      <c r="I15" s="336">
        <v>9</v>
      </c>
      <c r="J15" s="327">
        <v>4</v>
      </c>
      <c r="K15" s="350">
        <v>13161597.5</v>
      </c>
      <c r="L15" s="357" t="s">
        <v>23</v>
      </c>
      <c r="M15" s="350" t="s">
        <v>368</v>
      </c>
      <c r="N15" s="352">
        <v>1304284.4000000001</v>
      </c>
      <c r="O15" s="353">
        <v>2</v>
      </c>
      <c r="P15" s="354">
        <v>33</v>
      </c>
      <c r="Q15" s="353">
        <v>399</v>
      </c>
      <c r="R15" s="354">
        <v>4134</v>
      </c>
      <c r="S15" s="353">
        <v>41720</v>
      </c>
      <c r="T15" s="354">
        <v>446958</v>
      </c>
      <c r="V15" s="228"/>
      <c r="X15" s="304"/>
    </row>
    <row r="16" spans="1:24" x14ac:dyDescent="0.15">
      <c r="A16" s="343">
        <v>5</v>
      </c>
      <c r="B16" s="344">
        <v>43131</v>
      </c>
      <c r="C16" s="345" t="s">
        <v>362</v>
      </c>
      <c r="D16" s="310">
        <v>0</v>
      </c>
      <c r="E16" s="310">
        <v>0</v>
      </c>
      <c r="F16" s="310">
        <v>8</v>
      </c>
      <c r="G16" s="310">
        <v>4</v>
      </c>
      <c r="H16" s="310">
        <v>0</v>
      </c>
      <c r="I16" s="310">
        <v>9</v>
      </c>
      <c r="J16" s="311">
        <v>3</v>
      </c>
      <c r="K16" s="312">
        <v>5501432.5</v>
      </c>
      <c r="L16" s="346">
        <v>1</v>
      </c>
      <c r="M16" s="314">
        <v>1677777</v>
      </c>
      <c r="N16" s="314">
        <v>0</v>
      </c>
      <c r="O16" s="316">
        <v>3</v>
      </c>
      <c r="P16" s="316">
        <v>19</v>
      </c>
      <c r="Q16" s="316">
        <v>192</v>
      </c>
      <c r="R16" s="316">
        <v>1856</v>
      </c>
      <c r="S16" s="316">
        <v>19990</v>
      </c>
      <c r="T16" s="316">
        <v>219976</v>
      </c>
      <c r="V16" s="228"/>
      <c r="X16" s="304"/>
    </row>
    <row r="17" spans="1:24" x14ac:dyDescent="0.15">
      <c r="A17" s="347"/>
      <c r="B17" s="348">
        <v>43134</v>
      </c>
      <c r="C17" s="349" t="s">
        <v>363</v>
      </c>
      <c r="D17" s="336">
        <v>6</v>
      </c>
      <c r="E17" s="336">
        <v>2</v>
      </c>
      <c r="F17" s="336">
        <v>8</v>
      </c>
      <c r="G17" s="336">
        <v>4</v>
      </c>
      <c r="H17" s="336">
        <v>6</v>
      </c>
      <c r="I17" s="336">
        <v>6</v>
      </c>
      <c r="J17" s="327">
        <v>6</v>
      </c>
      <c r="K17" s="350">
        <v>14028080</v>
      </c>
      <c r="L17" s="357" t="s">
        <v>23</v>
      </c>
      <c r="M17" s="350" t="s">
        <v>368</v>
      </c>
      <c r="N17" s="350">
        <v>997396.5</v>
      </c>
      <c r="O17" s="353">
        <v>8</v>
      </c>
      <c r="P17" s="354">
        <v>61</v>
      </c>
      <c r="Q17" s="353">
        <v>694</v>
      </c>
      <c r="R17" s="354">
        <v>7339</v>
      </c>
      <c r="S17" s="353">
        <v>54895</v>
      </c>
      <c r="T17" s="354">
        <v>519574</v>
      </c>
      <c r="V17" s="228"/>
      <c r="X17" s="304"/>
    </row>
    <row r="18" spans="1:24" x14ac:dyDescent="0.15">
      <c r="A18" s="343">
        <v>6</v>
      </c>
      <c r="B18" s="344">
        <v>43138</v>
      </c>
      <c r="C18" s="345" t="s">
        <v>362</v>
      </c>
      <c r="D18" s="310">
        <v>2</v>
      </c>
      <c r="E18" s="310">
        <v>4</v>
      </c>
      <c r="F18" s="310">
        <v>1</v>
      </c>
      <c r="G18" s="310">
        <v>8</v>
      </c>
      <c r="H18" s="310">
        <v>3</v>
      </c>
      <c r="I18" s="310">
        <v>4</v>
      </c>
      <c r="J18" s="311">
        <v>4</v>
      </c>
      <c r="K18" s="312">
        <v>5337325</v>
      </c>
      <c r="L18" s="346" t="s">
        <v>23</v>
      </c>
      <c r="M18" s="314" t="s">
        <v>368</v>
      </c>
      <c r="N18" s="314">
        <v>1376880.2999999998</v>
      </c>
      <c r="O18" s="316">
        <v>1</v>
      </c>
      <c r="P18" s="317">
        <v>17</v>
      </c>
      <c r="Q18" s="316">
        <v>218</v>
      </c>
      <c r="R18" s="317">
        <v>1908</v>
      </c>
      <c r="S18" s="316">
        <v>20006</v>
      </c>
      <c r="T18" s="317">
        <v>182355</v>
      </c>
      <c r="V18" s="228"/>
      <c r="X18" s="304"/>
    </row>
    <row r="19" spans="1:24" x14ac:dyDescent="0.15">
      <c r="A19" s="347"/>
      <c r="B19" s="348">
        <v>43141</v>
      </c>
      <c r="C19" s="349" t="s">
        <v>363</v>
      </c>
      <c r="D19" s="336">
        <v>5</v>
      </c>
      <c r="E19" s="336">
        <v>9</v>
      </c>
      <c r="F19" s="336">
        <v>2</v>
      </c>
      <c r="G19" s="336">
        <v>7</v>
      </c>
      <c r="H19" s="336">
        <v>0</v>
      </c>
      <c r="I19" s="336">
        <v>5</v>
      </c>
      <c r="J19" s="327">
        <v>5</v>
      </c>
      <c r="K19" s="350">
        <v>14060520</v>
      </c>
      <c r="L19" s="357">
        <v>1</v>
      </c>
      <c r="M19" s="350">
        <v>2277777</v>
      </c>
      <c r="N19" s="352">
        <v>0</v>
      </c>
      <c r="O19" s="353">
        <v>8</v>
      </c>
      <c r="P19" s="354">
        <v>43</v>
      </c>
      <c r="Q19" s="353">
        <v>570</v>
      </c>
      <c r="R19" s="354">
        <v>5751</v>
      </c>
      <c r="S19" s="353">
        <v>62304</v>
      </c>
      <c r="T19" s="354">
        <v>573104</v>
      </c>
      <c r="V19" s="228"/>
      <c r="X19" s="304"/>
    </row>
    <row r="20" spans="1:24" x14ac:dyDescent="0.15">
      <c r="A20" s="343">
        <v>7</v>
      </c>
      <c r="B20" s="344">
        <v>43145</v>
      </c>
      <c r="C20" s="345" t="s">
        <v>362</v>
      </c>
      <c r="D20" s="310">
        <v>8</v>
      </c>
      <c r="E20" s="310">
        <v>7</v>
      </c>
      <c r="F20" s="310">
        <v>8</v>
      </c>
      <c r="G20" s="310">
        <v>0</v>
      </c>
      <c r="H20" s="310">
        <v>2</v>
      </c>
      <c r="I20" s="310">
        <v>6</v>
      </c>
      <c r="J20" s="311">
        <v>0</v>
      </c>
      <c r="K20" s="312">
        <v>5098002.5</v>
      </c>
      <c r="L20" s="346" t="s">
        <v>23</v>
      </c>
      <c r="M20" s="314" t="s">
        <v>368</v>
      </c>
      <c r="N20" s="315">
        <v>362468</v>
      </c>
      <c r="O20" s="316">
        <v>1</v>
      </c>
      <c r="P20" s="317">
        <v>18</v>
      </c>
      <c r="Q20" s="316">
        <v>137</v>
      </c>
      <c r="R20" s="317">
        <v>1418</v>
      </c>
      <c r="S20" s="316">
        <v>14216</v>
      </c>
      <c r="T20" s="317">
        <v>141146</v>
      </c>
      <c r="V20" s="228"/>
      <c r="X20" s="304"/>
    </row>
    <row r="21" spans="1:24" x14ac:dyDescent="0.15">
      <c r="A21" s="347"/>
      <c r="B21" s="348">
        <v>43148</v>
      </c>
      <c r="C21" s="349" t="s">
        <v>363</v>
      </c>
      <c r="D21" s="336">
        <v>5</v>
      </c>
      <c r="E21" s="336">
        <v>5</v>
      </c>
      <c r="F21" s="336">
        <v>5</v>
      </c>
      <c r="G21" s="336">
        <v>9</v>
      </c>
      <c r="H21" s="336">
        <v>0</v>
      </c>
      <c r="I21" s="336">
        <v>1</v>
      </c>
      <c r="J21" s="327">
        <v>8</v>
      </c>
      <c r="K21" s="350">
        <v>12317062.5</v>
      </c>
      <c r="L21" s="357" t="s">
        <v>23</v>
      </c>
      <c r="M21" s="350" t="s">
        <v>368</v>
      </c>
      <c r="N21" s="352">
        <v>1238211.0999999999</v>
      </c>
      <c r="O21" s="353">
        <v>4</v>
      </c>
      <c r="P21" s="354">
        <v>39</v>
      </c>
      <c r="Q21" s="353">
        <v>441</v>
      </c>
      <c r="R21" s="354">
        <v>4388</v>
      </c>
      <c r="S21" s="353">
        <v>45926</v>
      </c>
      <c r="T21" s="354">
        <v>477091</v>
      </c>
      <c r="U21" s="240"/>
      <c r="V21" s="228"/>
      <c r="X21" s="304"/>
    </row>
    <row r="22" spans="1:24" x14ac:dyDescent="0.15">
      <c r="A22" s="343">
        <v>8</v>
      </c>
      <c r="B22" s="344">
        <v>43152</v>
      </c>
      <c r="C22" s="345" t="s">
        <v>362</v>
      </c>
      <c r="D22" s="310">
        <v>7</v>
      </c>
      <c r="E22" s="310">
        <v>4</v>
      </c>
      <c r="F22" s="310">
        <v>0</v>
      </c>
      <c r="G22" s="310">
        <v>1</v>
      </c>
      <c r="H22" s="310">
        <v>2</v>
      </c>
      <c r="I22" s="310">
        <v>0</v>
      </c>
      <c r="J22" s="311">
        <v>6</v>
      </c>
      <c r="K22" s="312">
        <v>5148265</v>
      </c>
      <c r="L22" s="346" t="s">
        <v>23</v>
      </c>
      <c r="M22" s="314" t="s">
        <v>368</v>
      </c>
      <c r="N22" s="315">
        <v>1604252.7000000002</v>
      </c>
      <c r="O22" s="316">
        <v>4</v>
      </c>
      <c r="P22" s="317">
        <v>22</v>
      </c>
      <c r="Q22" s="316">
        <v>166</v>
      </c>
      <c r="R22" s="317">
        <v>1649</v>
      </c>
      <c r="S22" s="316">
        <v>16444</v>
      </c>
      <c r="T22" s="317">
        <v>198820</v>
      </c>
      <c r="V22" s="228"/>
      <c r="X22" s="304"/>
    </row>
    <row r="23" spans="1:24" x14ac:dyDescent="0.15">
      <c r="A23" s="347"/>
      <c r="B23" s="348">
        <v>43155</v>
      </c>
      <c r="C23" s="349" t="s">
        <v>363</v>
      </c>
      <c r="D23" s="336">
        <v>7</v>
      </c>
      <c r="E23" s="336">
        <v>9</v>
      </c>
      <c r="F23" s="336">
        <v>2</v>
      </c>
      <c r="G23" s="336">
        <v>8</v>
      </c>
      <c r="H23" s="336">
        <v>4</v>
      </c>
      <c r="I23" s="336">
        <v>0</v>
      </c>
      <c r="J23" s="327">
        <v>5</v>
      </c>
      <c r="K23" s="350">
        <v>12338732.5</v>
      </c>
      <c r="L23" s="357" t="s">
        <v>23</v>
      </c>
      <c r="M23" s="350" t="s">
        <v>368</v>
      </c>
      <c r="N23" s="352">
        <v>2481536.6</v>
      </c>
      <c r="O23" s="353">
        <v>3</v>
      </c>
      <c r="P23" s="354">
        <v>44</v>
      </c>
      <c r="Q23" s="353">
        <v>404</v>
      </c>
      <c r="R23" s="354">
        <v>4431</v>
      </c>
      <c r="S23" s="353">
        <v>42703</v>
      </c>
      <c r="T23" s="354">
        <v>526934</v>
      </c>
      <c r="V23" s="228"/>
      <c r="X23" s="304"/>
    </row>
    <row r="24" spans="1:24" x14ac:dyDescent="0.15">
      <c r="A24" s="343">
        <v>9</v>
      </c>
      <c r="B24" s="344">
        <v>43159</v>
      </c>
      <c r="C24" s="345" t="s">
        <v>362</v>
      </c>
      <c r="D24" s="310">
        <v>8</v>
      </c>
      <c r="E24" s="310">
        <v>4</v>
      </c>
      <c r="F24" s="310">
        <v>1</v>
      </c>
      <c r="G24" s="310">
        <v>7</v>
      </c>
      <c r="H24" s="310">
        <v>9</v>
      </c>
      <c r="I24" s="310">
        <v>9</v>
      </c>
      <c r="J24" s="311">
        <v>7</v>
      </c>
      <c r="K24" s="312">
        <v>4989515</v>
      </c>
      <c r="L24" s="346" t="s">
        <v>23</v>
      </c>
      <c r="M24" s="314" t="s">
        <v>368</v>
      </c>
      <c r="N24" s="315">
        <v>2836291.1</v>
      </c>
      <c r="O24" s="316" t="s">
        <v>17</v>
      </c>
      <c r="P24" s="317">
        <v>15</v>
      </c>
      <c r="Q24" s="316">
        <v>203</v>
      </c>
      <c r="R24" s="317">
        <v>1911</v>
      </c>
      <c r="S24" s="316">
        <v>20313</v>
      </c>
      <c r="T24" s="317">
        <v>221170</v>
      </c>
      <c r="V24" s="228"/>
      <c r="X24" s="304"/>
    </row>
    <row r="25" spans="1:24" x14ac:dyDescent="0.15">
      <c r="A25" s="347"/>
      <c r="B25" s="348">
        <v>43162</v>
      </c>
      <c r="C25" s="349" t="s">
        <v>363</v>
      </c>
      <c r="D25" s="336">
        <v>2</v>
      </c>
      <c r="E25" s="336">
        <v>0</v>
      </c>
      <c r="F25" s="336">
        <v>9</v>
      </c>
      <c r="G25" s="336">
        <v>0</v>
      </c>
      <c r="H25" s="336">
        <v>6</v>
      </c>
      <c r="I25" s="336">
        <v>6</v>
      </c>
      <c r="J25" s="327">
        <v>8</v>
      </c>
      <c r="K25" s="350">
        <v>12339990</v>
      </c>
      <c r="L25" s="357" t="s">
        <v>23</v>
      </c>
      <c r="M25" s="350" t="s">
        <v>368</v>
      </c>
      <c r="N25" s="352">
        <v>3713664.3999999994</v>
      </c>
      <c r="O25" s="353">
        <v>4</v>
      </c>
      <c r="P25" s="354">
        <v>36</v>
      </c>
      <c r="Q25" s="353">
        <v>493</v>
      </c>
      <c r="R25" s="354">
        <v>4856</v>
      </c>
      <c r="S25" s="353">
        <v>51599</v>
      </c>
      <c r="T25" s="354">
        <v>476828</v>
      </c>
      <c r="V25" s="228"/>
      <c r="X25" s="304"/>
    </row>
    <row r="26" spans="1:24" x14ac:dyDescent="0.15">
      <c r="A26" s="343">
        <v>10</v>
      </c>
      <c r="B26" s="344">
        <v>43166</v>
      </c>
      <c r="C26" s="345" t="s">
        <v>362</v>
      </c>
      <c r="D26" s="310">
        <v>8</v>
      </c>
      <c r="E26" s="310">
        <v>0</v>
      </c>
      <c r="F26" s="310">
        <v>4</v>
      </c>
      <c r="G26" s="310">
        <v>6</v>
      </c>
      <c r="H26" s="310">
        <v>9</v>
      </c>
      <c r="I26" s="310">
        <v>9</v>
      </c>
      <c r="J26" s="311">
        <v>8</v>
      </c>
      <c r="K26" s="312">
        <v>5113225</v>
      </c>
      <c r="L26" s="346" t="s">
        <v>23</v>
      </c>
      <c r="M26" s="314" t="s">
        <v>368</v>
      </c>
      <c r="N26" s="315">
        <v>4077214.6999999988</v>
      </c>
      <c r="O26" s="316">
        <v>2</v>
      </c>
      <c r="P26" s="317">
        <v>19</v>
      </c>
      <c r="Q26" s="316">
        <v>165</v>
      </c>
      <c r="R26" s="317">
        <v>1779</v>
      </c>
      <c r="S26" s="316">
        <v>18050</v>
      </c>
      <c r="T26" s="317">
        <v>195264</v>
      </c>
      <c r="V26" s="228"/>
      <c r="X26" s="304"/>
    </row>
    <row r="27" spans="1:24" x14ac:dyDescent="0.15">
      <c r="A27" s="347"/>
      <c r="B27" s="348">
        <v>43169</v>
      </c>
      <c r="C27" s="349" t="s">
        <v>363</v>
      </c>
      <c r="D27" s="336">
        <v>3</v>
      </c>
      <c r="E27" s="336">
        <v>2</v>
      </c>
      <c r="F27" s="336">
        <v>3</v>
      </c>
      <c r="G27" s="336">
        <v>0</v>
      </c>
      <c r="H27" s="336">
        <v>2</v>
      </c>
      <c r="I27" s="336">
        <v>1</v>
      </c>
      <c r="J27" s="327">
        <v>0</v>
      </c>
      <c r="K27" s="350">
        <v>12544652.5</v>
      </c>
      <c r="L27" s="357" t="s">
        <v>23</v>
      </c>
      <c r="M27" s="350" t="s">
        <v>368</v>
      </c>
      <c r="N27" s="352">
        <v>4969139.5000000009</v>
      </c>
      <c r="O27" s="353">
        <v>2</v>
      </c>
      <c r="P27" s="354">
        <v>39</v>
      </c>
      <c r="Q27" s="353">
        <v>322</v>
      </c>
      <c r="R27" s="354">
        <v>3301</v>
      </c>
      <c r="S27" s="353">
        <v>33757</v>
      </c>
      <c r="T27" s="354">
        <v>334953</v>
      </c>
      <c r="V27" s="228"/>
      <c r="X27" s="304"/>
    </row>
    <row r="28" spans="1:24" x14ac:dyDescent="0.15">
      <c r="A28" s="343">
        <v>11</v>
      </c>
      <c r="B28" s="344">
        <v>43173</v>
      </c>
      <c r="C28" s="345" t="s">
        <v>362</v>
      </c>
      <c r="D28" s="310">
        <v>9</v>
      </c>
      <c r="E28" s="310">
        <v>7</v>
      </c>
      <c r="F28" s="310">
        <v>7</v>
      </c>
      <c r="G28" s="310">
        <v>7</v>
      </c>
      <c r="H28" s="310">
        <v>6</v>
      </c>
      <c r="I28" s="310">
        <v>5</v>
      </c>
      <c r="J28" s="311">
        <v>0</v>
      </c>
      <c r="K28" s="312">
        <v>5277612.5</v>
      </c>
      <c r="L28" s="346">
        <v>1</v>
      </c>
      <c r="M28" s="314">
        <v>5277777</v>
      </c>
      <c r="N28" s="315">
        <v>0</v>
      </c>
      <c r="O28" s="316" t="s">
        <v>17</v>
      </c>
      <c r="P28" s="317">
        <v>11</v>
      </c>
      <c r="Q28" s="316">
        <v>160</v>
      </c>
      <c r="R28" s="317">
        <v>1525</v>
      </c>
      <c r="S28" s="316">
        <v>15244</v>
      </c>
      <c r="T28" s="317">
        <v>146569</v>
      </c>
      <c r="V28" s="228"/>
      <c r="X28" s="304"/>
    </row>
    <row r="29" spans="1:24" x14ac:dyDescent="0.15">
      <c r="A29" s="347"/>
      <c r="B29" s="348">
        <v>43176</v>
      </c>
      <c r="C29" s="349" t="s">
        <v>363</v>
      </c>
      <c r="D29" s="336">
        <v>1</v>
      </c>
      <c r="E29" s="336">
        <v>0</v>
      </c>
      <c r="F29" s="336">
        <v>3</v>
      </c>
      <c r="G29" s="336">
        <v>5</v>
      </c>
      <c r="H29" s="336">
        <v>9</v>
      </c>
      <c r="I29" s="336">
        <v>3</v>
      </c>
      <c r="J29" s="327">
        <v>3</v>
      </c>
      <c r="K29" s="350">
        <v>12415222.5</v>
      </c>
      <c r="L29" s="357" t="s">
        <v>23</v>
      </c>
      <c r="M29" s="350" t="s">
        <v>368</v>
      </c>
      <c r="N29" s="352">
        <v>882722.3</v>
      </c>
      <c r="O29" s="353">
        <v>3</v>
      </c>
      <c r="P29" s="354">
        <v>40</v>
      </c>
      <c r="Q29" s="353">
        <v>457</v>
      </c>
      <c r="R29" s="354">
        <v>4393</v>
      </c>
      <c r="S29" s="353">
        <v>45432</v>
      </c>
      <c r="T29" s="354">
        <v>462870</v>
      </c>
      <c r="V29" s="228"/>
      <c r="X29" s="304"/>
    </row>
    <row r="30" spans="1:24" x14ac:dyDescent="0.15">
      <c r="A30" s="343">
        <v>12</v>
      </c>
      <c r="B30" s="344">
        <v>43180</v>
      </c>
      <c r="C30" s="345" t="s">
        <v>362</v>
      </c>
      <c r="D30" s="310">
        <v>3</v>
      </c>
      <c r="E30" s="310">
        <v>0</v>
      </c>
      <c r="F30" s="310">
        <v>4</v>
      </c>
      <c r="G30" s="310">
        <v>0</v>
      </c>
      <c r="H30" s="310">
        <v>6</v>
      </c>
      <c r="I30" s="310">
        <v>8</v>
      </c>
      <c r="J30" s="311">
        <v>2</v>
      </c>
      <c r="K30" s="312">
        <v>5434012.5</v>
      </c>
      <c r="L30" s="346" t="s">
        <v>23</v>
      </c>
      <c r="M30" s="314" t="s">
        <v>368</v>
      </c>
      <c r="N30" s="315">
        <v>1269080.6000000003</v>
      </c>
      <c r="O30" s="316">
        <v>2</v>
      </c>
      <c r="P30" s="317">
        <v>18</v>
      </c>
      <c r="Q30" s="316">
        <v>165</v>
      </c>
      <c r="R30" s="317">
        <v>1777</v>
      </c>
      <c r="S30" s="316">
        <v>16586</v>
      </c>
      <c r="T30" s="317">
        <v>173979</v>
      </c>
      <c r="V30" s="228"/>
      <c r="X30" s="304"/>
    </row>
    <row r="31" spans="1:24" x14ac:dyDescent="0.15">
      <c r="A31" s="347"/>
      <c r="B31" s="348">
        <v>43183</v>
      </c>
      <c r="C31" s="349" t="s">
        <v>363</v>
      </c>
      <c r="D31" s="336">
        <v>8</v>
      </c>
      <c r="E31" s="336">
        <v>0</v>
      </c>
      <c r="F31" s="336">
        <v>4</v>
      </c>
      <c r="G31" s="336">
        <v>1</v>
      </c>
      <c r="H31" s="336">
        <v>2</v>
      </c>
      <c r="I31" s="336">
        <v>4</v>
      </c>
      <c r="J31" s="327">
        <v>8</v>
      </c>
      <c r="K31" s="350">
        <v>12058110</v>
      </c>
      <c r="L31" s="357">
        <v>2</v>
      </c>
      <c r="M31" s="350">
        <v>977777</v>
      </c>
      <c r="N31" s="352">
        <v>0</v>
      </c>
      <c r="O31" s="353">
        <v>6</v>
      </c>
      <c r="P31" s="354">
        <v>46</v>
      </c>
      <c r="Q31" s="353">
        <v>477</v>
      </c>
      <c r="R31" s="354">
        <v>5024</v>
      </c>
      <c r="S31" s="353">
        <v>48956</v>
      </c>
      <c r="T31" s="354">
        <v>474373</v>
      </c>
      <c r="V31" s="228"/>
      <c r="X31" s="304"/>
    </row>
    <row r="32" spans="1:24" x14ac:dyDescent="0.15">
      <c r="A32" s="343">
        <v>13</v>
      </c>
      <c r="B32" s="344">
        <v>43187</v>
      </c>
      <c r="C32" s="345" t="s">
        <v>362</v>
      </c>
      <c r="D32" s="310">
        <v>8</v>
      </c>
      <c r="E32" s="310">
        <v>5</v>
      </c>
      <c r="F32" s="310">
        <v>3</v>
      </c>
      <c r="G32" s="310">
        <v>2</v>
      </c>
      <c r="H32" s="310">
        <v>3</v>
      </c>
      <c r="I32" s="310">
        <v>3</v>
      </c>
      <c r="J32" s="311">
        <v>6</v>
      </c>
      <c r="K32" s="312">
        <v>5040300</v>
      </c>
      <c r="L32" s="346" t="s">
        <v>23</v>
      </c>
      <c r="M32" s="314" t="s">
        <v>368</v>
      </c>
      <c r="N32" s="315">
        <v>358365.3</v>
      </c>
      <c r="O32" s="316">
        <v>3</v>
      </c>
      <c r="P32" s="317">
        <v>17</v>
      </c>
      <c r="Q32" s="316">
        <v>184</v>
      </c>
      <c r="R32" s="317">
        <v>1823</v>
      </c>
      <c r="S32" s="316">
        <v>19823</v>
      </c>
      <c r="T32" s="317">
        <v>192007</v>
      </c>
      <c r="V32" s="228"/>
      <c r="X32" s="304"/>
    </row>
    <row r="33" spans="1:24" x14ac:dyDescent="0.15">
      <c r="A33" s="347"/>
      <c r="B33" s="348">
        <v>43190</v>
      </c>
      <c r="C33" s="349" t="s">
        <v>363</v>
      </c>
      <c r="D33" s="336">
        <v>8</v>
      </c>
      <c r="E33" s="336">
        <v>9</v>
      </c>
      <c r="F33" s="336">
        <v>7</v>
      </c>
      <c r="G33" s="336">
        <v>1</v>
      </c>
      <c r="H33" s="336">
        <v>3</v>
      </c>
      <c r="I33" s="336">
        <v>7</v>
      </c>
      <c r="J33" s="327">
        <v>8</v>
      </c>
      <c r="K33" s="350">
        <v>12229855</v>
      </c>
      <c r="L33" s="357">
        <v>1</v>
      </c>
      <c r="M33" s="350">
        <v>1177777</v>
      </c>
      <c r="N33" s="352">
        <v>0</v>
      </c>
      <c r="O33" s="353">
        <v>5</v>
      </c>
      <c r="P33" s="354">
        <v>56</v>
      </c>
      <c r="Q33" s="353">
        <v>515</v>
      </c>
      <c r="R33" s="354">
        <v>4986</v>
      </c>
      <c r="S33" s="353">
        <v>48836</v>
      </c>
      <c r="T33" s="354">
        <v>486029</v>
      </c>
      <c r="U33" s="240"/>
      <c r="V33" s="228"/>
      <c r="X33" s="304"/>
    </row>
    <row r="34" spans="1:24" x14ac:dyDescent="0.15">
      <c r="A34" s="343">
        <v>14</v>
      </c>
      <c r="B34" s="344">
        <v>43194</v>
      </c>
      <c r="C34" s="345" t="s">
        <v>362</v>
      </c>
      <c r="D34" s="310">
        <v>8</v>
      </c>
      <c r="E34" s="310">
        <v>9</v>
      </c>
      <c r="F34" s="310">
        <v>0</v>
      </c>
      <c r="G34" s="310">
        <v>9</v>
      </c>
      <c r="H34" s="310">
        <v>4</v>
      </c>
      <c r="I34" s="310">
        <v>8</v>
      </c>
      <c r="J34" s="311">
        <v>7</v>
      </c>
      <c r="K34" s="312">
        <v>4886422.5</v>
      </c>
      <c r="L34" s="346" t="s">
        <v>23</v>
      </c>
      <c r="M34" s="314" t="s">
        <v>368</v>
      </c>
      <c r="N34" s="315">
        <v>347424.6</v>
      </c>
      <c r="O34" s="316" t="s">
        <v>17</v>
      </c>
      <c r="P34" s="317">
        <v>14</v>
      </c>
      <c r="Q34" s="316">
        <v>206</v>
      </c>
      <c r="R34" s="317">
        <v>2017</v>
      </c>
      <c r="S34" s="316">
        <v>20171</v>
      </c>
      <c r="T34" s="317">
        <v>218533</v>
      </c>
      <c r="V34" s="228"/>
      <c r="X34" s="304"/>
    </row>
    <row r="35" spans="1:24" x14ac:dyDescent="0.15">
      <c r="A35" s="347"/>
      <c r="B35" s="348">
        <v>43197</v>
      </c>
      <c r="C35" s="349" t="s">
        <v>363</v>
      </c>
      <c r="D35" s="336">
        <v>3</v>
      </c>
      <c r="E35" s="336">
        <v>0</v>
      </c>
      <c r="F35" s="336">
        <v>7</v>
      </c>
      <c r="G35" s="336">
        <v>8</v>
      </c>
      <c r="H35" s="336">
        <v>0</v>
      </c>
      <c r="I35" s="336">
        <v>3</v>
      </c>
      <c r="J35" s="327">
        <v>6</v>
      </c>
      <c r="K35" s="350">
        <v>11958202.5</v>
      </c>
      <c r="L35" s="357">
        <v>1</v>
      </c>
      <c r="M35" s="350">
        <v>1177777</v>
      </c>
      <c r="N35" s="352">
        <v>0</v>
      </c>
      <c r="O35" s="353">
        <v>5</v>
      </c>
      <c r="P35" s="354">
        <v>40</v>
      </c>
      <c r="Q35" s="353">
        <v>435</v>
      </c>
      <c r="R35" s="354">
        <v>4315</v>
      </c>
      <c r="S35" s="353">
        <v>47286</v>
      </c>
      <c r="T35" s="354">
        <v>448757</v>
      </c>
      <c r="V35" s="228"/>
      <c r="X35" s="304"/>
    </row>
    <row r="36" spans="1:24" x14ac:dyDescent="0.15">
      <c r="A36" s="343">
        <v>15</v>
      </c>
      <c r="B36" s="344">
        <v>43201</v>
      </c>
      <c r="C36" s="345" t="s">
        <v>362</v>
      </c>
      <c r="D36" s="310">
        <v>2</v>
      </c>
      <c r="E36" s="310">
        <v>6</v>
      </c>
      <c r="F36" s="310">
        <v>7</v>
      </c>
      <c r="G36" s="310">
        <v>5</v>
      </c>
      <c r="H36" s="310">
        <v>2</v>
      </c>
      <c r="I36" s="310">
        <v>3</v>
      </c>
      <c r="J36" s="311">
        <v>3</v>
      </c>
      <c r="K36" s="312">
        <v>4893010</v>
      </c>
      <c r="L36" s="313" t="s">
        <v>23</v>
      </c>
      <c r="M36" s="314" t="s">
        <v>368</v>
      </c>
      <c r="N36" s="315">
        <v>347893</v>
      </c>
      <c r="O36" s="316">
        <v>2</v>
      </c>
      <c r="P36" s="317">
        <v>19</v>
      </c>
      <c r="Q36" s="316">
        <v>171</v>
      </c>
      <c r="R36" s="317">
        <v>1824</v>
      </c>
      <c r="S36" s="316">
        <v>19943</v>
      </c>
      <c r="T36" s="317">
        <v>192274</v>
      </c>
      <c r="V36" s="228"/>
      <c r="X36" s="304"/>
    </row>
    <row r="37" spans="1:24" x14ac:dyDescent="0.15">
      <c r="A37" s="347"/>
      <c r="B37" s="348">
        <v>43204</v>
      </c>
      <c r="C37" s="349" t="s">
        <v>363</v>
      </c>
      <c r="D37" s="336">
        <v>0</v>
      </c>
      <c r="E37" s="336">
        <v>0</v>
      </c>
      <c r="F37" s="336">
        <v>3</v>
      </c>
      <c r="G37" s="336">
        <v>4</v>
      </c>
      <c r="H37" s="336">
        <v>4</v>
      </c>
      <c r="I37" s="336">
        <v>2</v>
      </c>
      <c r="J37" s="327">
        <v>2</v>
      </c>
      <c r="K37" s="350">
        <v>12054935</v>
      </c>
      <c r="L37" s="357" t="s">
        <v>23</v>
      </c>
      <c r="M37" s="350" t="s">
        <v>368</v>
      </c>
      <c r="N37" s="352">
        <v>1204998.9000000001</v>
      </c>
      <c r="O37" s="353">
        <v>5</v>
      </c>
      <c r="P37" s="354">
        <v>37</v>
      </c>
      <c r="Q37" s="353">
        <v>423</v>
      </c>
      <c r="R37" s="354">
        <v>3844</v>
      </c>
      <c r="S37" s="353">
        <v>38677</v>
      </c>
      <c r="T37" s="354">
        <v>387656</v>
      </c>
      <c r="V37" s="228"/>
      <c r="X37" s="304"/>
    </row>
    <row r="38" spans="1:24" x14ac:dyDescent="0.15">
      <c r="A38" s="343">
        <v>16</v>
      </c>
      <c r="B38" s="344">
        <v>43208</v>
      </c>
      <c r="C38" s="345" t="s">
        <v>362</v>
      </c>
      <c r="D38" s="310">
        <v>5</v>
      </c>
      <c r="E38" s="310">
        <v>5</v>
      </c>
      <c r="F38" s="310">
        <v>3</v>
      </c>
      <c r="G38" s="310">
        <v>4</v>
      </c>
      <c r="H38" s="310">
        <v>1</v>
      </c>
      <c r="I38" s="310">
        <v>3</v>
      </c>
      <c r="J38" s="311">
        <v>6</v>
      </c>
      <c r="K38" s="312">
        <v>4893975</v>
      </c>
      <c r="L38" s="313" t="s">
        <v>23</v>
      </c>
      <c r="M38" s="314" t="s">
        <v>368</v>
      </c>
      <c r="N38" s="315">
        <v>1552960.5</v>
      </c>
      <c r="O38" s="316" t="s">
        <v>17</v>
      </c>
      <c r="P38" s="317">
        <v>17</v>
      </c>
      <c r="Q38" s="316">
        <v>174</v>
      </c>
      <c r="R38" s="317">
        <v>1994</v>
      </c>
      <c r="S38" s="316">
        <v>19547</v>
      </c>
      <c r="T38" s="317">
        <v>187257</v>
      </c>
      <c r="V38" s="228"/>
      <c r="X38" s="304"/>
    </row>
    <row r="39" spans="1:24" x14ac:dyDescent="0.15">
      <c r="A39" s="347"/>
      <c r="B39" s="348">
        <v>43211</v>
      </c>
      <c r="C39" s="349" t="s">
        <v>363</v>
      </c>
      <c r="D39" s="336">
        <v>9</v>
      </c>
      <c r="E39" s="336">
        <v>2</v>
      </c>
      <c r="F39" s="336">
        <v>9</v>
      </c>
      <c r="G39" s="336">
        <v>6</v>
      </c>
      <c r="H39" s="336">
        <v>6</v>
      </c>
      <c r="I39" s="336">
        <v>0</v>
      </c>
      <c r="J39" s="327">
        <v>8</v>
      </c>
      <c r="K39" s="350">
        <v>11849765</v>
      </c>
      <c r="L39" s="357" t="s">
        <v>23</v>
      </c>
      <c r="M39" s="350" t="s">
        <v>368</v>
      </c>
      <c r="N39" s="352">
        <v>2395478.7999999993</v>
      </c>
      <c r="O39" s="353">
        <v>8</v>
      </c>
      <c r="P39" s="354">
        <v>44</v>
      </c>
      <c r="Q39" s="353">
        <v>403</v>
      </c>
      <c r="R39" s="354">
        <v>3967</v>
      </c>
      <c r="S39" s="353">
        <v>38959</v>
      </c>
      <c r="T39" s="354">
        <v>485591</v>
      </c>
      <c r="V39" s="228"/>
      <c r="X39" s="304"/>
    </row>
    <row r="40" spans="1:24" x14ac:dyDescent="0.15">
      <c r="A40" s="343">
        <v>17</v>
      </c>
      <c r="B40" s="344">
        <v>43215</v>
      </c>
      <c r="C40" s="345" t="s">
        <v>362</v>
      </c>
      <c r="D40" s="310">
        <v>1</v>
      </c>
      <c r="E40" s="310">
        <v>5</v>
      </c>
      <c r="F40" s="310">
        <v>0</v>
      </c>
      <c r="G40" s="310">
        <v>4</v>
      </c>
      <c r="H40" s="310">
        <v>3</v>
      </c>
      <c r="I40" s="310">
        <v>2</v>
      </c>
      <c r="J40" s="311">
        <v>4</v>
      </c>
      <c r="K40" s="312">
        <v>5073220</v>
      </c>
      <c r="L40" s="346" t="s">
        <v>23</v>
      </c>
      <c r="M40" s="314" t="s">
        <v>368</v>
      </c>
      <c r="N40" s="315">
        <v>2756184.7000000007</v>
      </c>
      <c r="O40" s="316">
        <v>2</v>
      </c>
      <c r="P40" s="317">
        <v>21</v>
      </c>
      <c r="Q40" s="316">
        <v>171</v>
      </c>
      <c r="R40" s="317">
        <v>1712</v>
      </c>
      <c r="S40" s="316">
        <v>17237</v>
      </c>
      <c r="T40" s="317">
        <v>172144</v>
      </c>
      <c r="V40" s="228"/>
      <c r="X40" s="304"/>
    </row>
    <row r="41" spans="1:24" x14ac:dyDescent="0.15">
      <c r="A41" s="347"/>
      <c r="B41" s="348">
        <v>43218</v>
      </c>
      <c r="C41" s="349" t="s">
        <v>363</v>
      </c>
      <c r="D41" s="336">
        <v>1</v>
      </c>
      <c r="E41" s="336">
        <v>7</v>
      </c>
      <c r="F41" s="336">
        <v>3</v>
      </c>
      <c r="G41" s="336">
        <v>4</v>
      </c>
      <c r="H41" s="336">
        <v>1</v>
      </c>
      <c r="I41" s="336">
        <v>8</v>
      </c>
      <c r="J41" s="327">
        <v>4</v>
      </c>
      <c r="K41" s="350">
        <v>12039895</v>
      </c>
      <c r="L41" s="357">
        <v>1</v>
      </c>
      <c r="M41" s="350">
        <v>3577777</v>
      </c>
      <c r="N41" s="352">
        <v>0</v>
      </c>
      <c r="O41" s="353">
        <v>2</v>
      </c>
      <c r="P41" s="354">
        <v>39</v>
      </c>
      <c r="Q41" s="353">
        <v>414</v>
      </c>
      <c r="R41" s="354">
        <v>4203</v>
      </c>
      <c r="S41" s="353">
        <v>40774</v>
      </c>
      <c r="T41" s="354">
        <v>401800</v>
      </c>
      <c r="V41" s="228"/>
      <c r="X41" s="304"/>
    </row>
    <row r="42" spans="1:24" x14ac:dyDescent="0.15">
      <c r="A42" s="343">
        <v>18</v>
      </c>
      <c r="B42" s="344">
        <v>43222</v>
      </c>
      <c r="C42" s="345" t="s">
        <v>362</v>
      </c>
      <c r="D42" s="310">
        <v>9</v>
      </c>
      <c r="E42" s="310">
        <v>7</v>
      </c>
      <c r="F42" s="310">
        <v>2</v>
      </c>
      <c r="G42" s="310">
        <v>9</v>
      </c>
      <c r="H42" s="310">
        <v>1</v>
      </c>
      <c r="I42" s="310">
        <v>8</v>
      </c>
      <c r="J42" s="311">
        <v>6</v>
      </c>
      <c r="K42" s="312">
        <v>4822645</v>
      </c>
      <c r="L42" s="313" t="s">
        <v>23</v>
      </c>
      <c r="M42" s="314" t="s">
        <v>368</v>
      </c>
      <c r="N42" s="315">
        <v>342890.1</v>
      </c>
      <c r="O42" s="316">
        <v>2</v>
      </c>
      <c r="P42" s="317">
        <v>26</v>
      </c>
      <c r="Q42" s="316">
        <v>188</v>
      </c>
      <c r="R42" s="317">
        <v>1880</v>
      </c>
      <c r="S42" s="316">
        <v>18115</v>
      </c>
      <c r="T42" s="317">
        <v>187694</v>
      </c>
      <c r="V42" s="228"/>
      <c r="X42" s="304"/>
    </row>
    <row r="43" spans="1:24" x14ac:dyDescent="0.15">
      <c r="A43" s="347"/>
      <c r="B43" s="348">
        <v>43225</v>
      </c>
      <c r="C43" s="349" t="s">
        <v>363</v>
      </c>
      <c r="D43" s="336">
        <v>8</v>
      </c>
      <c r="E43" s="336">
        <v>3</v>
      </c>
      <c r="F43" s="336">
        <v>4</v>
      </c>
      <c r="G43" s="336">
        <v>0</v>
      </c>
      <c r="H43" s="336">
        <v>8</v>
      </c>
      <c r="I43" s="336">
        <v>3</v>
      </c>
      <c r="J43" s="327">
        <v>8</v>
      </c>
      <c r="K43" s="350">
        <v>12148700</v>
      </c>
      <c r="L43" s="351" t="s">
        <v>23</v>
      </c>
      <c r="M43" s="350" t="s">
        <v>368</v>
      </c>
      <c r="N43" s="352">
        <v>1206662.6999999997</v>
      </c>
      <c r="O43" s="353">
        <v>8</v>
      </c>
      <c r="P43" s="354">
        <v>54</v>
      </c>
      <c r="Q43" s="353">
        <v>511</v>
      </c>
      <c r="R43" s="354">
        <v>5133</v>
      </c>
      <c r="S43" s="353">
        <v>48671</v>
      </c>
      <c r="T43" s="354">
        <v>492110</v>
      </c>
      <c r="V43" s="228"/>
      <c r="X43" s="304"/>
    </row>
    <row r="44" spans="1:24" x14ac:dyDescent="0.15">
      <c r="A44" s="343">
        <v>19</v>
      </c>
      <c r="B44" s="344">
        <v>43229</v>
      </c>
      <c r="C44" s="345" t="s">
        <v>362</v>
      </c>
      <c r="D44" s="310">
        <v>5</v>
      </c>
      <c r="E44" s="310">
        <v>5</v>
      </c>
      <c r="F44" s="310">
        <v>8</v>
      </c>
      <c r="G44" s="310">
        <v>0</v>
      </c>
      <c r="H44" s="310">
        <v>2</v>
      </c>
      <c r="I44" s="310">
        <v>3</v>
      </c>
      <c r="J44" s="311">
        <v>3</v>
      </c>
      <c r="K44" s="312">
        <v>5250377.5</v>
      </c>
      <c r="L44" s="313" t="s">
        <v>23</v>
      </c>
      <c r="M44" s="314" t="s">
        <v>368</v>
      </c>
      <c r="N44" s="315">
        <v>1579964.5</v>
      </c>
      <c r="O44" s="316">
        <v>1</v>
      </c>
      <c r="P44" s="317">
        <v>24</v>
      </c>
      <c r="Q44" s="316">
        <v>180</v>
      </c>
      <c r="R44" s="317">
        <v>1979</v>
      </c>
      <c r="S44" s="316">
        <v>21336</v>
      </c>
      <c r="T44" s="317">
        <v>206053</v>
      </c>
      <c r="V44" s="228"/>
      <c r="X44" s="304"/>
    </row>
    <row r="45" spans="1:24" x14ac:dyDescent="0.15">
      <c r="A45" s="347"/>
      <c r="B45" s="348">
        <v>43232</v>
      </c>
      <c r="C45" s="349" t="s">
        <v>363</v>
      </c>
      <c r="D45" s="336">
        <v>7</v>
      </c>
      <c r="E45" s="336">
        <v>8</v>
      </c>
      <c r="F45" s="336">
        <v>4</v>
      </c>
      <c r="G45" s="336">
        <v>8</v>
      </c>
      <c r="H45" s="336">
        <v>6</v>
      </c>
      <c r="I45" s="336">
        <v>1</v>
      </c>
      <c r="J45" s="327">
        <v>2</v>
      </c>
      <c r="K45" s="350">
        <v>11964977.5</v>
      </c>
      <c r="L45" s="351" t="s">
        <v>23</v>
      </c>
      <c r="M45" s="350" t="s">
        <v>368</v>
      </c>
      <c r="N45" s="358">
        <v>2430674.3999999994</v>
      </c>
      <c r="O45" s="353">
        <v>3</v>
      </c>
      <c r="P45" s="354">
        <v>33</v>
      </c>
      <c r="Q45" s="353">
        <v>378</v>
      </c>
      <c r="R45" s="354">
        <v>3889</v>
      </c>
      <c r="S45" s="353">
        <v>39075</v>
      </c>
      <c r="T45" s="354">
        <v>384181</v>
      </c>
      <c r="V45" s="228"/>
      <c r="X45" s="304"/>
    </row>
    <row r="46" spans="1:24" x14ac:dyDescent="0.15">
      <c r="A46" s="343">
        <v>20</v>
      </c>
      <c r="B46" s="344">
        <v>43236</v>
      </c>
      <c r="C46" s="345" t="s">
        <v>362</v>
      </c>
      <c r="D46" s="310">
        <v>7</v>
      </c>
      <c r="E46" s="310">
        <v>3</v>
      </c>
      <c r="F46" s="310">
        <v>9</v>
      </c>
      <c r="G46" s="310">
        <v>2</v>
      </c>
      <c r="H46" s="310">
        <v>5</v>
      </c>
      <c r="I46" s="310">
        <v>5</v>
      </c>
      <c r="J46" s="311">
        <v>9</v>
      </c>
      <c r="K46" s="312">
        <v>4880065</v>
      </c>
      <c r="L46" s="313" t="s">
        <v>23</v>
      </c>
      <c r="M46" s="312" t="s">
        <v>368</v>
      </c>
      <c r="N46" s="315">
        <v>2777647</v>
      </c>
      <c r="O46" s="316">
        <v>1</v>
      </c>
      <c r="P46" s="317">
        <v>18</v>
      </c>
      <c r="Q46" s="316">
        <v>149</v>
      </c>
      <c r="R46" s="317">
        <v>1578</v>
      </c>
      <c r="S46" s="316">
        <v>17455</v>
      </c>
      <c r="T46" s="317">
        <v>164689</v>
      </c>
      <c r="V46" s="228"/>
      <c r="X46" s="304"/>
    </row>
    <row r="47" spans="1:24" x14ac:dyDescent="0.15">
      <c r="A47" s="347"/>
      <c r="B47" s="348">
        <v>43239</v>
      </c>
      <c r="C47" s="349" t="s">
        <v>363</v>
      </c>
      <c r="D47" s="336">
        <v>9</v>
      </c>
      <c r="E47" s="336">
        <v>4</v>
      </c>
      <c r="F47" s="336">
        <v>0</v>
      </c>
      <c r="G47" s="336">
        <v>6</v>
      </c>
      <c r="H47" s="336">
        <v>8</v>
      </c>
      <c r="I47" s="336">
        <v>9</v>
      </c>
      <c r="J47" s="327">
        <v>3</v>
      </c>
      <c r="K47" s="350">
        <v>12386865</v>
      </c>
      <c r="L47" s="357" t="s">
        <v>23</v>
      </c>
      <c r="M47" s="359" t="s">
        <v>368</v>
      </c>
      <c r="N47" s="352">
        <v>3658353.1</v>
      </c>
      <c r="O47" s="353">
        <v>5</v>
      </c>
      <c r="P47" s="354">
        <v>51</v>
      </c>
      <c r="Q47" s="353">
        <v>409</v>
      </c>
      <c r="R47" s="354">
        <v>4461</v>
      </c>
      <c r="S47" s="353">
        <v>42902</v>
      </c>
      <c r="T47" s="354">
        <v>463184</v>
      </c>
      <c r="V47" s="228"/>
      <c r="X47" s="304"/>
    </row>
    <row r="48" spans="1:24" x14ac:dyDescent="0.15">
      <c r="A48" s="343">
        <v>21</v>
      </c>
      <c r="B48" s="344">
        <v>43243</v>
      </c>
      <c r="C48" s="345" t="s">
        <v>362</v>
      </c>
      <c r="D48" s="355">
        <v>2</v>
      </c>
      <c r="E48" s="310">
        <v>5</v>
      </c>
      <c r="F48" s="310">
        <v>5</v>
      </c>
      <c r="G48" s="310">
        <v>6</v>
      </c>
      <c r="H48" s="310">
        <v>3</v>
      </c>
      <c r="I48" s="310">
        <v>1</v>
      </c>
      <c r="J48" s="311">
        <v>6</v>
      </c>
      <c r="K48" s="312">
        <v>4935390</v>
      </c>
      <c r="L48" s="313" t="s">
        <v>23</v>
      </c>
      <c r="M48" s="314" t="s">
        <v>368</v>
      </c>
      <c r="N48" s="358">
        <v>4009259.2999999993</v>
      </c>
      <c r="O48" s="316">
        <v>4</v>
      </c>
      <c r="P48" s="317">
        <v>27</v>
      </c>
      <c r="Q48" s="316">
        <v>161</v>
      </c>
      <c r="R48" s="317">
        <v>1816</v>
      </c>
      <c r="S48" s="316">
        <v>17859</v>
      </c>
      <c r="T48" s="317">
        <v>193132</v>
      </c>
      <c r="V48" s="228"/>
      <c r="X48" s="304"/>
    </row>
    <row r="49" spans="1:24" x14ac:dyDescent="0.15">
      <c r="A49" s="347"/>
      <c r="B49" s="348">
        <v>43246</v>
      </c>
      <c r="C49" s="349" t="s">
        <v>363</v>
      </c>
      <c r="D49" s="356">
        <v>0</v>
      </c>
      <c r="E49" s="356">
        <v>7</v>
      </c>
      <c r="F49" s="356">
        <v>6</v>
      </c>
      <c r="G49" s="356">
        <v>0</v>
      </c>
      <c r="H49" s="356">
        <v>6</v>
      </c>
      <c r="I49" s="356">
        <v>7</v>
      </c>
      <c r="J49" s="327">
        <v>1</v>
      </c>
      <c r="K49" s="350">
        <v>12344227.5</v>
      </c>
      <c r="L49" s="351" t="s">
        <v>23</v>
      </c>
      <c r="M49" s="350" t="s">
        <v>368</v>
      </c>
      <c r="N49" s="352">
        <v>4886933.9000000004</v>
      </c>
      <c r="O49" s="353">
        <v>3</v>
      </c>
      <c r="P49" s="354">
        <v>35</v>
      </c>
      <c r="Q49" s="353">
        <v>342</v>
      </c>
      <c r="R49" s="354">
        <v>3629</v>
      </c>
      <c r="S49" s="353">
        <v>36262</v>
      </c>
      <c r="T49" s="354">
        <v>369242</v>
      </c>
      <c r="V49" s="228"/>
      <c r="X49" s="304"/>
    </row>
    <row r="50" spans="1:24" x14ac:dyDescent="0.15">
      <c r="A50" s="343">
        <v>22</v>
      </c>
      <c r="B50" s="344">
        <v>43250</v>
      </c>
      <c r="C50" s="345" t="s">
        <v>362</v>
      </c>
      <c r="D50" s="310">
        <v>3</v>
      </c>
      <c r="E50" s="310">
        <v>2</v>
      </c>
      <c r="F50" s="310">
        <v>8</v>
      </c>
      <c r="G50" s="310">
        <v>8</v>
      </c>
      <c r="H50" s="310">
        <v>7</v>
      </c>
      <c r="I50" s="310">
        <v>6</v>
      </c>
      <c r="J50" s="311">
        <v>3</v>
      </c>
      <c r="K50" s="312">
        <v>5041120</v>
      </c>
      <c r="L50" s="313" t="s">
        <v>23</v>
      </c>
      <c r="M50" s="314" t="s">
        <v>368</v>
      </c>
      <c r="N50" s="315">
        <v>5245357.5000000009</v>
      </c>
      <c r="O50" s="316">
        <v>2</v>
      </c>
      <c r="P50" s="317">
        <v>26</v>
      </c>
      <c r="Q50" s="316">
        <v>217</v>
      </c>
      <c r="R50" s="317">
        <v>2013</v>
      </c>
      <c r="S50" s="316">
        <v>20824</v>
      </c>
      <c r="T50" s="317">
        <v>199763</v>
      </c>
      <c r="V50" s="228"/>
      <c r="X50" s="304"/>
    </row>
    <row r="51" spans="1:24" x14ac:dyDescent="0.15">
      <c r="A51" s="347"/>
      <c r="B51" s="348">
        <v>43253</v>
      </c>
      <c r="C51" s="349" t="s">
        <v>363</v>
      </c>
      <c r="D51" s="336">
        <v>0</v>
      </c>
      <c r="E51" s="336">
        <v>4</v>
      </c>
      <c r="F51" s="336">
        <v>9</v>
      </c>
      <c r="G51" s="336">
        <v>5</v>
      </c>
      <c r="H51" s="336">
        <v>5</v>
      </c>
      <c r="I51" s="336">
        <v>8</v>
      </c>
      <c r="J51" s="327">
        <v>2</v>
      </c>
      <c r="K51" s="350">
        <v>12804425</v>
      </c>
      <c r="L51" s="351" t="s">
        <v>23</v>
      </c>
      <c r="M51" s="350" t="s">
        <v>368</v>
      </c>
      <c r="N51" s="352">
        <v>6155752.0999999996</v>
      </c>
      <c r="O51" s="353">
        <v>6</v>
      </c>
      <c r="P51" s="354">
        <v>31</v>
      </c>
      <c r="Q51" s="353">
        <v>374</v>
      </c>
      <c r="R51" s="354">
        <v>4055</v>
      </c>
      <c r="S51" s="353">
        <v>40680</v>
      </c>
      <c r="T51" s="354">
        <v>414685</v>
      </c>
      <c r="V51" s="228"/>
      <c r="X51" s="304"/>
    </row>
    <row r="52" spans="1:24" x14ac:dyDescent="0.15">
      <c r="A52" s="343">
        <v>23</v>
      </c>
      <c r="B52" s="344">
        <v>43257</v>
      </c>
      <c r="C52" s="345" t="s">
        <v>362</v>
      </c>
      <c r="D52" s="310">
        <v>6</v>
      </c>
      <c r="E52" s="310">
        <v>5</v>
      </c>
      <c r="F52" s="310">
        <v>4</v>
      </c>
      <c r="G52" s="310">
        <v>0</v>
      </c>
      <c r="H52" s="310">
        <v>6</v>
      </c>
      <c r="I52" s="310">
        <v>4</v>
      </c>
      <c r="J52" s="311">
        <v>1</v>
      </c>
      <c r="K52" s="312">
        <v>4927317.5</v>
      </c>
      <c r="L52" s="313">
        <v>1</v>
      </c>
      <c r="M52" s="314">
        <v>6477777</v>
      </c>
      <c r="N52" s="315">
        <v>0</v>
      </c>
      <c r="O52" s="316">
        <v>2</v>
      </c>
      <c r="P52" s="317">
        <v>17</v>
      </c>
      <c r="Q52" s="316">
        <v>139</v>
      </c>
      <c r="R52" s="317">
        <v>1337</v>
      </c>
      <c r="S52" s="316">
        <v>13929</v>
      </c>
      <c r="T52" s="317">
        <v>146862</v>
      </c>
      <c r="V52" s="228"/>
      <c r="X52" s="304"/>
    </row>
    <row r="53" spans="1:24" x14ac:dyDescent="0.15">
      <c r="A53" s="347"/>
      <c r="B53" s="348">
        <v>43260</v>
      </c>
      <c r="C53" s="349" t="s">
        <v>363</v>
      </c>
      <c r="D53" s="336">
        <v>3</v>
      </c>
      <c r="E53" s="336">
        <v>2</v>
      </c>
      <c r="F53" s="336">
        <v>1</v>
      </c>
      <c r="G53" s="336">
        <v>4</v>
      </c>
      <c r="H53" s="336">
        <v>7</v>
      </c>
      <c r="I53" s="336">
        <v>3</v>
      </c>
      <c r="J53" s="327">
        <v>3</v>
      </c>
      <c r="K53" s="350">
        <v>12734815</v>
      </c>
      <c r="L53" s="351" t="s">
        <v>23</v>
      </c>
      <c r="M53" s="350" t="s">
        <v>368</v>
      </c>
      <c r="N53" s="352">
        <v>905445.3</v>
      </c>
      <c r="O53" s="353">
        <v>12</v>
      </c>
      <c r="P53" s="354">
        <v>48</v>
      </c>
      <c r="Q53" s="353">
        <v>498</v>
      </c>
      <c r="R53" s="354">
        <v>4794</v>
      </c>
      <c r="S53" s="353">
        <v>47145</v>
      </c>
      <c r="T53" s="354">
        <v>476285</v>
      </c>
      <c r="V53" s="228"/>
      <c r="X53" s="304"/>
    </row>
    <row r="54" spans="1:24" x14ac:dyDescent="0.15">
      <c r="A54" s="343">
        <v>24</v>
      </c>
      <c r="B54" s="344">
        <v>43264</v>
      </c>
      <c r="C54" s="345" t="s">
        <v>362</v>
      </c>
      <c r="D54" s="310">
        <v>9</v>
      </c>
      <c r="E54" s="310">
        <v>1</v>
      </c>
      <c r="F54" s="310">
        <v>9</v>
      </c>
      <c r="G54" s="310">
        <v>3</v>
      </c>
      <c r="H54" s="310">
        <v>0</v>
      </c>
      <c r="I54" s="310">
        <v>9</v>
      </c>
      <c r="J54" s="311">
        <v>9</v>
      </c>
      <c r="K54" s="312">
        <v>4980695</v>
      </c>
      <c r="L54" s="346" t="s">
        <v>23</v>
      </c>
      <c r="M54" s="314" t="s">
        <v>368</v>
      </c>
      <c r="N54" s="315">
        <v>1259572.7000000002</v>
      </c>
      <c r="O54" s="316">
        <v>1</v>
      </c>
      <c r="P54" s="317">
        <v>16</v>
      </c>
      <c r="Q54" s="316">
        <v>136</v>
      </c>
      <c r="R54" s="317">
        <v>1518</v>
      </c>
      <c r="S54" s="316">
        <v>17771</v>
      </c>
      <c r="T54" s="317">
        <v>165884</v>
      </c>
      <c r="V54" s="228"/>
      <c r="X54" s="304"/>
    </row>
    <row r="55" spans="1:24" x14ac:dyDescent="0.15">
      <c r="A55" s="347"/>
      <c r="B55" s="348">
        <v>43267</v>
      </c>
      <c r="C55" s="349" t="s">
        <v>363</v>
      </c>
      <c r="D55" s="336">
        <v>3</v>
      </c>
      <c r="E55" s="336">
        <v>8</v>
      </c>
      <c r="F55" s="336">
        <v>3</v>
      </c>
      <c r="G55" s="336">
        <v>1</v>
      </c>
      <c r="H55" s="336">
        <v>9</v>
      </c>
      <c r="I55" s="336">
        <v>7</v>
      </c>
      <c r="J55" s="327">
        <v>1</v>
      </c>
      <c r="K55" s="350">
        <v>12810822.5</v>
      </c>
      <c r="L55" s="357" t="s">
        <v>23</v>
      </c>
      <c r="M55" s="350" t="s">
        <v>368</v>
      </c>
      <c r="N55" s="352">
        <v>2170422.2000000002</v>
      </c>
      <c r="O55" s="353">
        <v>8</v>
      </c>
      <c r="P55" s="354">
        <v>54</v>
      </c>
      <c r="Q55" s="353">
        <v>613</v>
      </c>
      <c r="R55" s="354">
        <v>4008</v>
      </c>
      <c r="S55" s="353">
        <v>37921</v>
      </c>
      <c r="T55" s="354">
        <v>385711</v>
      </c>
      <c r="V55" s="228"/>
      <c r="X55" s="304"/>
    </row>
    <row r="56" spans="1:24" x14ac:dyDescent="0.15">
      <c r="A56" s="343">
        <v>25</v>
      </c>
      <c r="B56" s="344">
        <v>43271</v>
      </c>
      <c r="C56" s="345" t="s">
        <v>362</v>
      </c>
      <c r="D56" s="310">
        <v>4</v>
      </c>
      <c r="E56" s="310">
        <v>8</v>
      </c>
      <c r="F56" s="310">
        <v>3</v>
      </c>
      <c r="G56" s="310">
        <v>5</v>
      </c>
      <c r="H56" s="310">
        <v>3</v>
      </c>
      <c r="I56" s="310">
        <v>5</v>
      </c>
      <c r="J56" s="311">
        <v>6</v>
      </c>
      <c r="K56" s="312">
        <v>4796675</v>
      </c>
      <c r="L56" s="313" t="s">
        <v>23</v>
      </c>
      <c r="M56" s="314" t="s">
        <v>368</v>
      </c>
      <c r="N56" s="315">
        <v>2511465.7999999998</v>
      </c>
      <c r="O56" s="316">
        <v>1</v>
      </c>
      <c r="P56" s="317">
        <v>17</v>
      </c>
      <c r="Q56" s="316">
        <v>201</v>
      </c>
      <c r="R56" s="317">
        <v>1971</v>
      </c>
      <c r="S56" s="316">
        <v>19547</v>
      </c>
      <c r="T56" s="317">
        <v>186427</v>
      </c>
      <c r="U56" s="240"/>
      <c r="V56" s="275"/>
      <c r="X56" s="304"/>
    </row>
    <row r="57" spans="1:24" x14ac:dyDescent="0.15">
      <c r="A57" s="347"/>
      <c r="B57" s="348">
        <v>43274</v>
      </c>
      <c r="C57" s="349" t="s">
        <v>363</v>
      </c>
      <c r="D57" s="336">
        <v>0</v>
      </c>
      <c r="E57" s="336">
        <v>6</v>
      </c>
      <c r="F57" s="336">
        <v>7</v>
      </c>
      <c r="G57" s="336">
        <v>8</v>
      </c>
      <c r="H57" s="336">
        <v>7</v>
      </c>
      <c r="I57" s="336">
        <v>5</v>
      </c>
      <c r="J57" s="327">
        <v>5</v>
      </c>
      <c r="K57" s="350">
        <v>12740920</v>
      </c>
      <c r="L57" s="357" t="s">
        <v>23</v>
      </c>
      <c r="M57" s="350" t="s">
        <v>368</v>
      </c>
      <c r="N57" s="352">
        <v>3417345.1999999997</v>
      </c>
      <c r="O57" s="353">
        <v>2</v>
      </c>
      <c r="P57" s="354">
        <v>48</v>
      </c>
      <c r="Q57" s="353">
        <v>580</v>
      </c>
      <c r="R57" s="354">
        <v>5807</v>
      </c>
      <c r="S57" s="353">
        <v>56984</v>
      </c>
      <c r="T57" s="354">
        <v>524870</v>
      </c>
      <c r="V57" s="228"/>
      <c r="X57" s="304"/>
    </row>
    <row r="58" spans="1:24" x14ac:dyDescent="0.15">
      <c r="A58" s="343">
        <v>26</v>
      </c>
      <c r="B58" s="344">
        <v>43278</v>
      </c>
      <c r="C58" s="345" t="s">
        <v>362</v>
      </c>
      <c r="D58" s="310">
        <v>3</v>
      </c>
      <c r="E58" s="310">
        <v>0</v>
      </c>
      <c r="F58" s="310">
        <v>1</v>
      </c>
      <c r="G58" s="310">
        <v>5</v>
      </c>
      <c r="H58" s="310">
        <v>7</v>
      </c>
      <c r="I58" s="310">
        <v>5</v>
      </c>
      <c r="J58" s="311">
        <v>0</v>
      </c>
      <c r="K58" s="312">
        <v>4916640</v>
      </c>
      <c r="L58" s="346" t="s">
        <v>23</v>
      </c>
      <c r="M58" s="314" t="s">
        <v>368</v>
      </c>
      <c r="N58" s="315">
        <v>3766918.3000000007</v>
      </c>
      <c r="O58" s="316">
        <v>2</v>
      </c>
      <c r="P58" s="317">
        <v>8</v>
      </c>
      <c r="Q58" s="316">
        <v>153</v>
      </c>
      <c r="R58" s="317">
        <v>1406</v>
      </c>
      <c r="S58" s="316">
        <v>14090</v>
      </c>
      <c r="T58" s="317">
        <v>135581</v>
      </c>
      <c r="V58" s="228"/>
      <c r="X58" s="304"/>
    </row>
    <row r="59" spans="1:24" x14ac:dyDescent="0.15">
      <c r="A59" s="347"/>
      <c r="B59" s="348">
        <v>43281</v>
      </c>
      <c r="C59" s="349" t="s">
        <v>363</v>
      </c>
      <c r="D59" s="360">
        <v>6</v>
      </c>
      <c r="E59" s="360">
        <v>3</v>
      </c>
      <c r="F59" s="360">
        <v>7</v>
      </c>
      <c r="G59" s="360">
        <v>5</v>
      </c>
      <c r="H59" s="360">
        <v>5</v>
      </c>
      <c r="I59" s="360">
        <v>0</v>
      </c>
      <c r="J59" s="338">
        <v>4</v>
      </c>
      <c r="K59" s="350">
        <v>13030772.5</v>
      </c>
      <c r="L59" s="357" t="s">
        <v>23</v>
      </c>
      <c r="M59" s="350" t="s">
        <v>368</v>
      </c>
      <c r="N59" s="352">
        <v>4693406.2</v>
      </c>
      <c r="O59" s="353">
        <v>2</v>
      </c>
      <c r="P59" s="354">
        <v>39</v>
      </c>
      <c r="Q59" s="353">
        <v>372</v>
      </c>
      <c r="R59" s="354">
        <v>3891</v>
      </c>
      <c r="S59" s="353">
        <v>38996</v>
      </c>
      <c r="T59" s="354">
        <v>439943</v>
      </c>
      <c r="V59" s="228"/>
      <c r="X59" s="304"/>
    </row>
    <row r="60" spans="1:24" x14ac:dyDescent="0.15">
      <c r="A60" s="45"/>
      <c r="B60" s="46"/>
      <c r="C60" s="46"/>
      <c r="D60" s="309"/>
      <c r="E60" s="309"/>
      <c r="F60" s="309"/>
      <c r="G60" s="309"/>
      <c r="H60" s="309"/>
      <c r="I60" s="309" t="s">
        <v>24</v>
      </c>
      <c r="J60" s="309"/>
      <c r="K60" s="277"/>
      <c r="L60" s="278">
        <f>SUM(L8:L59)</f>
        <v>10</v>
      </c>
      <c r="M60" s="229"/>
      <c r="N60" s="278"/>
      <c r="O60" s="278">
        <f t="shared" ref="O60:T60" si="0">SUM(O8:O59)</f>
        <v>171</v>
      </c>
      <c r="P60" s="278">
        <f t="shared" si="0"/>
        <v>1573</v>
      </c>
      <c r="Q60" s="278">
        <f t="shared" si="0"/>
        <v>16424</v>
      </c>
      <c r="R60" s="278">
        <f t="shared" si="0"/>
        <v>163986</v>
      </c>
      <c r="S60" s="278">
        <f t="shared" si="0"/>
        <v>1637902</v>
      </c>
      <c r="T60" s="278">
        <f t="shared" si="0"/>
        <v>16684683</v>
      </c>
      <c r="V60" s="228"/>
      <c r="X60" s="304"/>
    </row>
    <row r="63" spans="1:24" x14ac:dyDescent="0.15">
      <c r="K63" s="254"/>
    </row>
    <row r="64" spans="1:24" ht="13.5" customHeight="1" x14ac:dyDescent="0.2">
      <c r="A64" s="1" t="s">
        <v>364</v>
      </c>
      <c r="T64" s="3" t="s">
        <v>447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299"/>
      <c r="E66" s="299"/>
      <c r="F66" s="299"/>
      <c r="G66" s="299"/>
      <c r="H66" s="299"/>
      <c r="I66" s="299"/>
      <c r="J66" s="30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301" t="s">
        <v>4</v>
      </c>
      <c r="E67" s="302"/>
      <c r="F67" s="302"/>
      <c r="G67" s="302"/>
      <c r="H67" s="302"/>
      <c r="I67" s="302"/>
      <c r="J67" s="290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2018</v>
      </c>
      <c r="C68" s="220" t="s">
        <v>361</v>
      </c>
      <c r="D68" s="289"/>
      <c r="E68" s="289"/>
      <c r="F68" s="289"/>
      <c r="G68" s="289"/>
      <c r="H68" s="289"/>
      <c r="I68" s="289"/>
      <c r="J68" s="290" t="s">
        <v>13</v>
      </c>
      <c r="K68" s="14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4" ht="11.1" customHeight="1" x14ac:dyDescent="0.15">
      <c r="A69" s="39"/>
      <c r="B69" s="21"/>
      <c r="C69" s="220"/>
      <c r="D69" s="289"/>
      <c r="E69" s="289"/>
      <c r="F69" s="289"/>
      <c r="G69" s="289"/>
      <c r="H69" s="289"/>
      <c r="I69" s="289"/>
      <c r="J69" s="30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43285</v>
      </c>
      <c r="C70" s="174" t="s">
        <v>362</v>
      </c>
      <c r="D70" s="291">
        <v>8</v>
      </c>
      <c r="E70" s="291">
        <v>8</v>
      </c>
      <c r="F70" s="291">
        <v>5</v>
      </c>
      <c r="G70" s="291">
        <v>6</v>
      </c>
      <c r="H70" s="291">
        <v>4</v>
      </c>
      <c r="I70" s="291">
        <v>3</v>
      </c>
      <c r="J70" s="292">
        <v>5</v>
      </c>
      <c r="K70" s="222">
        <v>4927475</v>
      </c>
      <c r="L70" s="223" t="s">
        <v>23</v>
      </c>
      <c r="M70" s="224" t="s">
        <v>368</v>
      </c>
      <c r="N70" s="225">
        <v>5043749.7</v>
      </c>
      <c r="O70" s="226">
        <v>7</v>
      </c>
      <c r="P70" s="227">
        <v>14</v>
      </c>
      <c r="Q70" s="226">
        <v>191</v>
      </c>
      <c r="R70" s="227">
        <v>1971</v>
      </c>
      <c r="S70" s="226">
        <v>19961</v>
      </c>
      <c r="T70" s="227">
        <v>201006</v>
      </c>
      <c r="U70" s="240"/>
      <c r="V70" s="275"/>
      <c r="X70" s="304"/>
    </row>
    <row r="71" spans="1:24" x14ac:dyDescent="0.15">
      <c r="A71" s="178"/>
      <c r="B71" s="179">
        <v>43288</v>
      </c>
      <c r="C71" s="180" t="s">
        <v>363</v>
      </c>
      <c r="D71" s="289">
        <v>5</v>
      </c>
      <c r="E71" s="289">
        <v>3</v>
      </c>
      <c r="F71" s="289">
        <v>4</v>
      </c>
      <c r="G71" s="289">
        <v>0</v>
      </c>
      <c r="H71" s="289">
        <v>0</v>
      </c>
      <c r="I71" s="289">
        <v>2</v>
      </c>
      <c r="J71" s="303">
        <v>9</v>
      </c>
      <c r="K71" s="229">
        <v>12957242.5</v>
      </c>
      <c r="L71" s="230" t="s">
        <v>23</v>
      </c>
      <c r="M71" s="229" t="s">
        <v>368</v>
      </c>
      <c r="N71" s="231">
        <v>5965009.6000000024</v>
      </c>
      <c r="O71" s="232">
        <v>5</v>
      </c>
      <c r="P71" s="233">
        <v>39</v>
      </c>
      <c r="Q71" s="232">
        <v>399</v>
      </c>
      <c r="R71" s="233">
        <v>4529</v>
      </c>
      <c r="S71" s="232">
        <v>47599</v>
      </c>
      <c r="T71" s="233">
        <v>463359</v>
      </c>
      <c r="V71" s="228"/>
      <c r="X71" s="304"/>
    </row>
    <row r="72" spans="1:24" x14ac:dyDescent="0.15">
      <c r="A72" s="172">
        <v>28</v>
      </c>
      <c r="B72" s="173">
        <v>43292</v>
      </c>
      <c r="C72" s="174" t="s">
        <v>362</v>
      </c>
      <c r="D72" s="291">
        <v>9</v>
      </c>
      <c r="E72" s="291">
        <v>5</v>
      </c>
      <c r="F72" s="291">
        <v>4</v>
      </c>
      <c r="G72" s="291">
        <v>4</v>
      </c>
      <c r="H72" s="291">
        <v>6</v>
      </c>
      <c r="I72" s="291">
        <v>8</v>
      </c>
      <c r="J72" s="292">
        <v>5</v>
      </c>
      <c r="K72" s="222">
        <v>5081090</v>
      </c>
      <c r="L72" s="223" t="s">
        <v>23</v>
      </c>
      <c r="M72" s="224" t="s">
        <v>368</v>
      </c>
      <c r="N72" s="225">
        <v>6326275.1000000024</v>
      </c>
      <c r="O72" s="226" t="s">
        <v>17</v>
      </c>
      <c r="P72" s="227">
        <v>20</v>
      </c>
      <c r="Q72" s="226">
        <v>191</v>
      </c>
      <c r="R72" s="227">
        <v>2028</v>
      </c>
      <c r="S72" s="226">
        <v>20221</v>
      </c>
      <c r="T72" s="227">
        <v>208428</v>
      </c>
      <c r="V72" s="228"/>
      <c r="X72" s="304"/>
    </row>
    <row r="73" spans="1:24" x14ac:dyDescent="0.15">
      <c r="A73" s="178"/>
      <c r="B73" s="179">
        <v>43295</v>
      </c>
      <c r="C73" s="180" t="s">
        <v>363</v>
      </c>
      <c r="D73" s="289">
        <v>9</v>
      </c>
      <c r="E73" s="289">
        <v>8</v>
      </c>
      <c r="F73" s="289">
        <v>3</v>
      </c>
      <c r="G73" s="289">
        <v>7</v>
      </c>
      <c r="H73" s="289">
        <v>3</v>
      </c>
      <c r="I73" s="289">
        <v>7</v>
      </c>
      <c r="J73" s="303">
        <v>3</v>
      </c>
      <c r="K73" s="229">
        <v>12203995</v>
      </c>
      <c r="L73" s="237" t="s">
        <v>23</v>
      </c>
      <c r="M73" s="229" t="s">
        <v>368</v>
      </c>
      <c r="N73" s="231">
        <v>7193979.1000000034</v>
      </c>
      <c r="O73" s="232">
        <v>3</v>
      </c>
      <c r="P73" s="233">
        <v>45</v>
      </c>
      <c r="Q73" s="232">
        <v>469</v>
      </c>
      <c r="R73" s="233">
        <v>4633</v>
      </c>
      <c r="S73" s="232">
        <v>46535</v>
      </c>
      <c r="T73" s="233">
        <v>452866</v>
      </c>
      <c r="V73" s="228"/>
      <c r="X73" s="304"/>
    </row>
    <row r="74" spans="1:24" x14ac:dyDescent="0.15">
      <c r="A74" s="172">
        <v>29</v>
      </c>
      <c r="B74" s="173">
        <v>43299</v>
      </c>
      <c r="C74" s="174" t="s">
        <v>362</v>
      </c>
      <c r="D74" s="291">
        <v>9</v>
      </c>
      <c r="E74" s="291">
        <v>1</v>
      </c>
      <c r="F74" s="291">
        <v>2</v>
      </c>
      <c r="G74" s="291">
        <v>6</v>
      </c>
      <c r="H74" s="291">
        <v>3</v>
      </c>
      <c r="I74" s="291">
        <v>9</v>
      </c>
      <c r="J74" s="292">
        <v>2</v>
      </c>
      <c r="K74" s="222">
        <v>4973787.5</v>
      </c>
      <c r="L74" s="223" t="s">
        <v>23</v>
      </c>
      <c r="M74" s="224" t="s">
        <v>368</v>
      </c>
      <c r="N74" s="225">
        <v>7547615.4000000022</v>
      </c>
      <c r="O74" s="226">
        <v>1</v>
      </c>
      <c r="P74" s="227">
        <v>14</v>
      </c>
      <c r="Q74" s="226">
        <v>148</v>
      </c>
      <c r="R74" s="227">
        <v>1547</v>
      </c>
      <c r="S74" s="226">
        <v>14901</v>
      </c>
      <c r="T74" s="227">
        <v>158047</v>
      </c>
      <c r="V74" s="228"/>
      <c r="X74" s="304"/>
    </row>
    <row r="75" spans="1:24" x14ac:dyDescent="0.15">
      <c r="A75" s="178"/>
      <c r="B75" s="179">
        <v>43302</v>
      </c>
      <c r="C75" s="180" t="s">
        <v>363</v>
      </c>
      <c r="D75" s="289">
        <v>2</v>
      </c>
      <c r="E75" s="289">
        <v>3</v>
      </c>
      <c r="F75" s="289">
        <v>8</v>
      </c>
      <c r="G75" s="289">
        <v>0</v>
      </c>
      <c r="H75" s="289">
        <v>3</v>
      </c>
      <c r="I75" s="289">
        <v>4</v>
      </c>
      <c r="J75" s="303">
        <v>9</v>
      </c>
      <c r="K75" s="229">
        <v>12080290</v>
      </c>
      <c r="L75" s="230">
        <v>1</v>
      </c>
      <c r="M75" s="229">
        <v>8377777</v>
      </c>
      <c r="N75" s="231">
        <v>0</v>
      </c>
      <c r="O75" s="232">
        <v>9</v>
      </c>
      <c r="P75" s="233">
        <v>35</v>
      </c>
      <c r="Q75" s="232">
        <v>454</v>
      </c>
      <c r="R75" s="233">
        <v>4471</v>
      </c>
      <c r="S75" s="232">
        <v>44780</v>
      </c>
      <c r="T75" s="233">
        <v>432779</v>
      </c>
      <c r="V75" s="228"/>
      <c r="X75" s="304"/>
    </row>
    <row r="76" spans="1:24" x14ac:dyDescent="0.15">
      <c r="A76" s="172">
        <v>30</v>
      </c>
      <c r="B76" s="173">
        <v>43306</v>
      </c>
      <c r="C76" s="174" t="s">
        <v>362</v>
      </c>
      <c r="D76" s="291">
        <v>4</v>
      </c>
      <c r="E76" s="291">
        <v>9</v>
      </c>
      <c r="F76" s="291">
        <v>5</v>
      </c>
      <c r="G76" s="291">
        <v>6</v>
      </c>
      <c r="H76" s="291">
        <v>6</v>
      </c>
      <c r="I76" s="291">
        <v>0</v>
      </c>
      <c r="J76" s="292">
        <v>8</v>
      </c>
      <c r="K76" s="222">
        <v>4662940</v>
      </c>
      <c r="L76" s="223" t="s">
        <v>23</v>
      </c>
      <c r="M76" s="224" t="s">
        <v>368</v>
      </c>
      <c r="N76" s="225">
        <v>331535</v>
      </c>
      <c r="O76" s="226">
        <v>1</v>
      </c>
      <c r="P76" s="227">
        <v>16</v>
      </c>
      <c r="Q76" s="226">
        <v>162</v>
      </c>
      <c r="R76" s="227">
        <v>1516</v>
      </c>
      <c r="S76" s="226">
        <v>14673</v>
      </c>
      <c r="T76" s="227">
        <v>183860</v>
      </c>
      <c r="V76" s="228"/>
      <c r="X76" s="304"/>
    </row>
    <row r="77" spans="1:24" x14ac:dyDescent="0.15">
      <c r="A77" s="178"/>
      <c r="B77" s="179">
        <v>43309</v>
      </c>
      <c r="C77" s="180" t="s">
        <v>363</v>
      </c>
      <c r="D77" s="289">
        <v>6</v>
      </c>
      <c r="E77" s="289">
        <v>6</v>
      </c>
      <c r="F77" s="289">
        <v>7</v>
      </c>
      <c r="G77" s="289">
        <v>3</v>
      </c>
      <c r="H77" s="289">
        <v>6</v>
      </c>
      <c r="I77" s="289">
        <v>1</v>
      </c>
      <c r="J77" s="303">
        <v>4</v>
      </c>
      <c r="K77" s="229">
        <v>11487192.5</v>
      </c>
      <c r="L77" s="230">
        <v>1</v>
      </c>
      <c r="M77" s="229">
        <v>1077777</v>
      </c>
      <c r="N77" s="231">
        <v>0</v>
      </c>
      <c r="O77" s="232">
        <v>5</v>
      </c>
      <c r="P77" s="233">
        <v>56</v>
      </c>
      <c r="Q77" s="232">
        <v>398</v>
      </c>
      <c r="R77" s="233">
        <v>3844</v>
      </c>
      <c r="S77" s="232">
        <v>38049</v>
      </c>
      <c r="T77" s="233">
        <v>382532</v>
      </c>
      <c r="V77" s="228"/>
      <c r="X77" s="304"/>
    </row>
    <row r="78" spans="1:24" x14ac:dyDescent="0.15">
      <c r="A78" s="172">
        <v>31</v>
      </c>
      <c r="B78" s="173">
        <v>43313</v>
      </c>
      <c r="C78" s="174" t="s">
        <v>362</v>
      </c>
      <c r="D78" s="291">
        <v>1</v>
      </c>
      <c r="E78" s="291">
        <v>1</v>
      </c>
      <c r="F78" s="291">
        <v>0</v>
      </c>
      <c r="G78" s="291">
        <v>2</v>
      </c>
      <c r="H78" s="291">
        <v>3</v>
      </c>
      <c r="I78" s="291">
        <v>1</v>
      </c>
      <c r="J78" s="292">
        <v>0</v>
      </c>
      <c r="K78" s="222">
        <v>4873315</v>
      </c>
      <c r="L78" s="223" t="s">
        <v>23</v>
      </c>
      <c r="M78" s="224" t="s">
        <v>368</v>
      </c>
      <c r="N78" s="225">
        <v>346492.70000000007</v>
      </c>
      <c r="O78" s="226" t="s">
        <v>17</v>
      </c>
      <c r="P78" s="227">
        <v>17</v>
      </c>
      <c r="Q78" s="226">
        <v>123</v>
      </c>
      <c r="R78" s="227">
        <v>1358</v>
      </c>
      <c r="S78" s="226">
        <v>13631</v>
      </c>
      <c r="T78" s="227">
        <v>133320</v>
      </c>
      <c r="V78" s="228"/>
      <c r="X78" s="304"/>
    </row>
    <row r="79" spans="1:24" x14ac:dyDescent="0.15">
      <c r="A79" s="178"/>
      <c r="B79" s="179">
        <v>43316</v>
      </c>
      <c r="C79" s="180" t="s">
        <v>363</v>
      </c>
      <c r="D79" s="289">
        <v>3</v>
      </c>
      <c r="E79" s="289">
        <v>8</v>
      </c>
      <c r="F79" s="289">
        <v>3</v>
      </c>
      <c r="G79" s="289">
        <v>5</v>
      </c>
      <c r="H79" s="289">
        <v>6</v>
      </c>
      <c r="I79" s="289">
        <v>6</v>
      </c>
      <c r="J79" s="303">
        <v>1</v>
      </c>
      <c r="K79" s="229">
        <v>11846432.5</v>
      </c>
      <c r="L79" s="230">
        <v>1</v>
      </c>
      <c r="M79" s="229">
        <v>1177777</v>
      </c>
      <c r="N79" s="231">
        <v>0</v>
      </c>
      <c r="O79" s="232">
        <v>3</v>
      </c>
      <c r="P79" s="233">
        <v>42</v>
      </c>
      <c r="Q79" s="232">
        <v>346</v>
      </c>
      <c r="R79" s="233">
        <v>3346</v>
      </c>
      <c r="S79" s="232">
        <v>36488</v>
      </c>
      <c r="T79" s="233">
        <v>351270</v>
      </c>
      <c r="V79" s="228"/>
      <c r="X79" s="304"/>
    </row>
    <row r="80" spans="1:24" x14ac:dyDescent="0.15">
      <c r="A80" s="172">
        <v>32</v>
      </c>
      <c r="B80" s="173">
        <v>43320</v>
      </c>
      <c r="C80" s="174" t="s">
        <v>362</v>
      </c>
      <c r="D80" s="291">
        <v>8</v>
      </c>
      <c r="E80" s="291">
        <v>1</v>
      </c>
      <c r="F80" s="291">
        <v>0</v>
      </c>
      <c r="G80" s="291">
        <v>1</v>
      </c>
      <c r="H80" s="291">
        <v>7</v>
      </c>
      <c r="I80" s="291">
        <v>8</v>
      </c>
      <c r="J80" s="292">
        <v>0</v>
      </c>
      <c r="K80" s="222">
        <v>4959425</v>
      </c>
      <c r="L80" s="234" t="s">
        <v>23</v>
      </c>
      <c r="M80" s="224" t="s">
        <v>368</v>
      </c>
      <c r="N80" s="225">
        <v>352615.1</v>
      </c>
      <c r="O80" s="236" t="s">
        <v>17</v>
      </c>
      <c r="P80" s="227">
        <v>12</v>
      </c>
      <c r="Q80" s="226">
        <v>132</v>
      </c>
      <c r="R80" s="227">
        <v>1315</v>
      </c>
      <c r="S80" s="226">
        <v>13514</v>
      </c>
      <c r="T80" s="227">
        <v>136856</v>
      </c>
      <c r="V80" s="228"/>
      <c r="X80" s="304"/>
    </row>
    <row r="81" spans="1:24" x14ac:dyDescent="0.15">
      <c r="A81" s="178"/>
      <c r="B81" s="179">
        <v>43323</v>
      </c>
      <c r="C81" s="180" t="s">
        <v>363</v>
      </c>
      <c r="D81" s="289">
        <v>1</v>
      </c>
      <c r="E81" s="289">
        <v>2</v>
      </c>
      <c r="F81" s="289">
        <v>4</v>
      </c>
      <c r="G81" s="289">
        <v>0</v>
      </c>
      <c r="H81" s="289">
        <v>0</v>
      </c>
      <c r="I81" s="289">
        <v>5</v>
      </c>
      <c r="J81" s="303">
        <v>6</v>
      </c>
      <c r="K81" s="229">
        <v>12038757.5</v>
      </c>
      <c r="L81" s="230">
        <v>1</v>
      </c>
      <c r="M81" s="229">
        <v>1177777</v>
      </c>
      <c r="N81" s="231">
        <v>0</v>
      </c>
      <c r="O81" s="232">
        <v>2</v>
      </c>
      <c r="P81" s="233">
        <v>48</v>
      </c>
      <c r="Q81" s="232">
        <v>397</v>
      </c>
      <c r="R81" s="233">
        <v>4425</v>
      </c>
      <c r="S81" s="232">
        <v>49478</v>
      </c>
      <c r="T81" s="233">
        <v>450529</v>
      </c>
      <c r="V81" s="228"/>
      <c r="X81" s="304"/>
    </row>
    <row r="82" spans="1:24" x14ac:dyDescent="0.15">
      <c r="A82" s="172">
        <v>33</v>
      </c>
      <c r="B82" s="173">
        <v>43327</v>
      </c>
      <c r="C82" s="174" t="s">
        <v>362</v>
      </c>
      <c r="D82" s="291">
        <v>1</v>
      </c>
      <c r="E82" s="291">
        <v>1</v>
      </c>
      <c r="F82" s="291">
        <v>6</v>
      </c>
      <c r="G82" s="291">
        <v>0</v>
      </c>
      <c r="H82" s="291">
        <v>2</v>
      </c>
      <c r="I82" s="291">
        <v>6</v>
      </c>
      <c r="J82" s="292">
        <v>7</v>
      </c>
      <c r="K82" s="222">
        <v>5154922.5</v>
      </c>
      <c r="L82" s="223" t="s">
        <v>23</v>
      </c>
      <c r="M82" s="279" t="s">
        <v>368</v>
      </c>
      <c r="N82" s="225">
        <v>366515</v>
      </c>
      <c r="O82" s="226">
        <v>4</v>
      </c>
      <c r="P82" s="227">
        <v>27</v>
      </c>
      <c r="Q82" s="226">
        <v>217</v>
      </c>
      <c r="R82" s="227">
        <v>2114</v>
      </c>
      <c r="S82" s="226">
        <v>22515</v>
      </c>
      <c r="T82" s="227">
        <v>230047</v>
      </c>
      <c r="V82" s="228"/>
      <c r="X82" s="304"/>
    </row>
    <row r="83" spans="1:24" x14ac:dyDescent="0.15">
      <c r="A83" s="178"/>
      <c r="B83" s="179">
        <v>43330</v>
      </c>
      <c r="C83" s="180" t="s">
        <v>363</v>
      </c>
      <c r="D83" s="289">
        <v>2</v>
      </c>
      <c r="E83" s="289">
        <v>2</v>
      </c>
      <c r="F83" s="289">
        <v>8</v>
      </c>
      <c r="G83" s="289">
        <v>8</v>
      </c>
      <c r="H83" s="289">
        <v>3</v>
      </c>
      <c r="I83" s="289">
        <v>4</v>
      </c>
      <c r="J83" s="303">
        <v>3</v>
      </c>
      <c r="K83" s="229">
        <v>12289487.5</v>
      </c>
      <c r="L83" s="230" t="s">
        <v>23</v>
      </c>
      <c r="M83" s="229" t="s">
        <v>368</v>
      </c>
      <c r="N83" s="231">
        <v>1240297.5999999999</v>
      </c>
      <c r="O83" s="232">
        <v>9</v>
      </c>
      <c r="P83" s="233">
        <v>42</v>
      </c>
      <c r="Q83" s="232">
        <v>442</v>
      </c>
      <c r="R83" s="233">
        <v>4492</v>
      </c>
      <c r="S83" s="232">
        <v>44657</v>
      </c>
      <c r="T83" s="233">
        <v>458612</v>
      </c>
      <c r="V83" s="228"/>
      <c r="X83" s="304"/>
    </row>
    <row r="84" spans="1:24" x14ac:dyDescent="0.15">
      <c r="A84" s="172">
        <v>34</v>
      </c>
      <c r="B84" s="173">
        <v>43334</v>
      </c>
      <c r="C84" s="174" t="s">
        <v>362</v>
      </c>
      <c r="D84" s="291">
        <v>9</v>
      </c>
      <c r="E84" s="291">
        <v>4</v>
      </c>
      <c r="F84" s="291">
        <v>9</v>
      </c>
      <c r="G84" s="291">
        <v>0</v>
      </c>
      <c r="H84" s="291">
        <v>4</v>
      </c>
      <c r="I84" s="291">
        <v>0</v>
      </c>
      <c r="J84" s="292">
        <v>2</v>
      </c>
      <c r="K84" s="222">
        <v>5346612.5</v>
      </c>
      <c r="L84" s="223" t="s">
        <v>23</v>
      </c>
      <c r="M84" s="224" t="s">
        <v>368</v>
      </c>
      <c r="N84" s="225">
        <v>1620441.7</v>
      </c>
      <c r="O84" s="226">
        <v>1</v>
      </c>
      <c r="P84" s="227">
        <v>14</v>
      </c>
      <c r="Q84" s="226">
        <v>169</v>
      </c>
      <c r="R84" s="227">
        <v>1519</v>
      </c>
      <c r="S84" s="226">
        <v>14949</v>
      </c>
      <c r="T84" s="227">
        <v>173128</v>
      </c>
      <c r="V84" s="228"/>
      <c r="X84" s="304"/>
    </row>
    <row r="85" spans="1:24" x14ac:dyDescent="0.15">
      <c r="A85" s="178"/>
      <c r="B85" s="179">
        <v>43337</v>
      </c>
      <c r="C85" s="180" t="s">
        <v>363</v>
      </c>
      <c r="D85" s="289">
        <v>6</v>
      </c>
      <c r="E85" s="289">
        <v>3</v>
      </c>
      <c r="F85" s="289">
        <v>2</v>
      </c>
      <c r="G85" s="289">
        <v>2</v>
      </c>
      <c r="H85" s="289">
        <v>0</v>
      </c>
      <c r="I85" s="289">
        <v>0</v>
      </c>
      <c r="J85" s="303">
        <v>4</v>
      </c>
      <c r="K85" s="229">
        <v>12665872.5</v>
      </c>
      <c r="L85" s="230">
        <v>1</v>
      </c>
      <c r="M85" s="229">
        <v>2477777</v>
      </c>
      <c r="N85" s="231">
        <v>0</v>
      </c>
      <c r="O85" s="232">
        <v>5</v>
      </c>
      <c r="P85" s="233">
        <v>44</v>
      </c>
      <c r="Q85" s="232">
        <v>355</v>
      </c>
      <c r="R85" s="233">
        <v>3307</v>
      </c>
      <c r="S85" s="232">
        <v>38918</v>
      </c>
      <c r="T85" s="233">
        <v>432822</v>
      </c>
      <c r="V85" s="228"/>
      <c r="X85" s="304"/>
    </row>
    <row r="86" spans="1:24" x14ac:dyDescent="0.15">
      <c r="A86" s="172">
        <v>35</v>
      </c>
      <c r="B86" s="173">
        <v>43341</v>
      </c>
      <c r="C86" s="174" t="s">
        <v>362</v>
      </c>
      <c r="D86" s="291">
        <v>3</v>
      </c>
      <c r="E86" s="291">
        <v>7</v>
      </c>
      <c r="F86" s="291">
        <v>4</v>
      </c>
      <c r="G86" s="291">
        <v>6</v>
      </c>
      <c r="H86" s="291">
        <v>3</v>
      </c>
      <c r="I86" s="291">
        <v>0</v>
      </c>
      <c r="J86" s="292">
        <v>8</v>
      </c>
      <c r="K86" s="222">
        <v>5568740</v>
      </c>
      <c r="L86" s="223">
        <v>1</v>
      </c>
      <c r="M86" s="224">
        <v>377777</v>
      </c>
      <c r="N86" s="225">
        <v>0</v>
      </c>
      <c r="O86" s="226">
        <v>2</v>
      </c>
      <c r="P86" s="227">
        <v>13</v>
      </c>
      <c r="Q86" s="226">
        <v>173</v>
      </c>
      <c r="R86" s="227">
        <v>1775</v>
      </c>
      <c r="S86" s="226">
        <v>17986</v>
      </c>
      <c r="T86" s="227">
        <v>217427</v>
      </c>
      <c r="V86" s="228"/>
      <c r="X86" s="304"/>
    </row>
    <row r="87" spans="1:24" x14ac:dyDescent="0.15">
      <c r="A87" s="178"/>
      <c r="B87" s="179">
        <v>43344</v>
      </c>
      <c r="C87" s="180" t="s">
        <v>363</v>
      </c>
      <c r="D87" s="289">
        <v>6</v>
      </c>
      <c r="E87" s="289">
        <v>0</v>
      </c>
      <c r="F87" s="289">
        <v>9</v>
      </c>
      <c r="G87" s="289">
        <v>9</v>
      </c>
      <c r="H87" s="289">
        <v>7</v>
      </c>
      <c r="I87" s="289">
        <v>0</v>
      </c>
      <c r="J87" s="303">
        <v>1</v>
      </c>
      <c r="K87" s="229">
        <v>13187377.5</v>
      </c>
      <c r="L87" s="230" t="s">
        <v>23</v>
      </c>
      <c r="M87" s="229" t="s">
        <v>368</v>
      </c>
      <c r="N87" s="231">
        <v>937622.5</v>
      </c>
      <c r="O87" s="232">
        <v>3</v>
      </c>
      <c r="P87" s="233">
        <v>40</v>
      </c>
      <c r="Q87" s="232">
        <v>379</v>
      </c>
      <c r="R87" s="233">
        <v>3554</v>
      </c>
      <c r="S87" s="232">
        <v>36752</v>
      </c>
      <c r="T87" s="233">
        <v>404071</v>
      </c>
      <c r="V87" s="228"/>
      <c r="X87" s="304"/>
    </row>
    <row r="88" spans="1:24" x14ac:dyDescent="0.15">
      <c r="A88" s="172">
        <v>36</v>
      </c>
      <c r="B88" s="173">
        <v>43348</v>
      </c>
      <c r="C88" s="174" t="s">
        <v>362</v>
      </c>
      <c r="D88" s="291">
        <v>6</v>
      </c>
      <c r="E88" s="291">
        <v>0</v>
      </c>
      <c r="F88" s="291">
        <v>0</v>
      </c>
      <c r="G88" s="291">
        <v>1</v>
      </c>
      <c r="H88" s="291">
        <v>1</v>
      </c>
      <c r="I88" s="291">
        <v>9</v>
      </c>
      <c r="J88" s="292">
        <v>5</v>
      </c>
      <c r="K88" s="222">
        <v>6621772.5</v>
      </c>
      <c r="L88" s="234">
        <v>1</v>
      </c>
      <c r="M88" s="224">
        <v>1377777</v>
      </c>
      <c r="N88" s="225">
        <v>0</v>
      </c>
      <c r="O88" s="226">
        <v>4</v>
      </c>
      <c r="P88" s="227">
        <v>26</v>
      </c>
      <c r="Q88" s="226">
        <v>251</v>
      </c>
      <c r="R88" s="227">
        <v>2562</v>
      </c>
      <c r="S88" s="226">
        <v>24812</v>
      </c>
      <c r="T88" s="227">
        <v>270637</v>
      </c>
      <c r="V88" s="228"/>
      <c r="X88" s="304"/>
    </row>
    <row r="89" spans="1:24" x14ac:dyDescent="0.15">
      <c r="A89" s="178"/>
      <c r="B89" s="179">
        <v>43351</v>
      </c>
      <c r="C89" s="180" t="s">
        <v>363</v>
      </c>
      <c r="D89" s="289">
        <v>2</v>
      </c>
      <c r="E89" s="289">
        <v>6</v>
      </c>
      <c r="F89" s="289">
        <v>7</v>
      </c>
      <c r="G89" s="289">
        <v>4</v>
      </c>
      <c r="H89" s="289">
        <v>5</v>
      </c>
      <c r="I89" s="289">
        <v>2</v>
      </c>
      <c r="J89" s="303">
        <v>7</v>
      </c>
      <c r="K89" s="229">
        <v>12215512.5</v>
      </c>
      <c r="L89" s="237">
        <v>1</v>
      </c>
      <c r="M89" s="229">
        <v>777777</v>
      </c>
      <c r="N89" s="231">
        <v>0</v>
      </c>
      <c r="O89" s="232">
        <v>4</v>
      </c>
      <c r="P89" s="233">
        <v>53</v>
      </c>
      <c r="Q89" s="232">
        <v>545</v>
      </c>
      <c r="R89" s="233">
        <v>5382</v>
      </c>
      <c r="S89" s="232">
        <v>53187</v>
      </c>
      <c r="T89" s="233">
        <v>530126</v>
      </c>
      <c r="V89" s="228"/>
      <c r="X89" s="304"/>
    </row>
    <row r="90" spans="1:24" x14ac:dyDescent="0.15">
      <c r="A90" s="172">
        <v>37</v>
      </c>
      <c r="B90" s="173">
        <v>43355</v>
      </c>
      <c r="C90" s="174" t="s">
        <v>362</v>
      </c>
      <c r="D90" s="310">
        <v>8</v>
      </c>
      <c r="E90" s="310">
        <v>5</v>
      </c>
      <c r="F90" s="310">
        <v>1</v>
      </c>
      <c r="G90" s="310">
        <v>2</v>
      </c>
      <c r="H90" s="310">
        <v>7</v>
      </c>
      <c r="I90" s="310">
        <v>8</v>
      </c>
      <c r="J90" s="311">
        <v>7</v>
      </c>
      <c r="K90" s="312">
        <v>5056455</v>
      </c>
      <c r="L90" s="313" t="s">
        <v>23</v>
      </c>
      <c r="M90" s="314" t="s">
        <v>368</v>
      </c>
      <c r="N90" s="315">
        <v>359514</v>
      </c>
      <c r="O90" s="316" t="s">
        <v>17</v>
      </c>
      <c r="P90" s="317">
        <v>16</v>
      </c>
      <c r="Q90" s="316">
        <v>225</v>
      </c>
      <c r="R90" s="317">
        <v>2162</v>
      </c>
      <c r="S90" s="316">
        <v>20883</v>
      </c>
      <c r="T90" s="317">
        <v>226364</v>
      </c>
      <c r="V90" s="228"/>
      <c r="X90" s="304"/>
    </row>
    <row r="91" spans="1:24" x14ac:dyDescent="0.15">
      <c r="A91" s="178"/>
      <c r="B91" s="179">
        <v>43358</v>
      </c>
      <c r="C91" s="180" t="s">
        <v>363</v>
      </c>
      <c r="D91" s="289">
        <v>0</v>
      </c>
      <c r="E91" s="289">
        <v>3</v>
      </c>
      <c r="F91" s="289">
        <v>3</v>
      </c>
      <c r="G91" s="289">
        <v>5</v>
      </c>
      <c r="H91" s="289">
        <v>5</v>
      </c>
      <c r="I91" s="289">
        <v>8</v>
      </c>
      <c r="J91" s="303">
        <v>6</v>
      </c>
      <c r="K91" s="229">
        <v>12014560</v>
      </c>
      <c r="L91" s="230">
        <v>1</v>
      </c>
      <c r="M91" s="229">
        <v>1177777</v>
      </c>
      <c r="N91" s="231">
        <v>0</v>
      </c>
      <c r="O91" s="232">
        <v>5</v>
      </c>
      <c r="P91" s="233">
        <v>39</v>
      </c>
      <c r="Q91" s="232">
        <v>432</v>
      </c>
      <c r="R91" s="233">
        <v>4671</v>
      </c>
      <c r="S91" s="232">
        <v>44124</v>
      </c>
      <c r="T91" s="233">
        <v>451936</v>
      </c>
      <c r="V91" s="228"/>
      <c r="X91" s="304"/>
    </row>
    <row r="92" spans="1:24" x14ac:dyDescent="0.15">
      <c r="A92" s="172">
        <v>38</v>
      </c>
      <c r="B92" s="173">
        <v>43362</v>
      </c>
      <c r="C92" s="174" t="s">
        <v>362</v>
      </c>
      <c r="D92" s="291">
        <v>4</v>
      </c>
      <c r="E92" s="291">
        <v>7</v>
      </c>
      <c r="F92" s="291">
        <v>6</v>
      </c>
      <c r="G92" s="291">
        <v>0</v>
      </c>
      <c r="H92" s="291">
        <v>2</v>
      </c>
      <c r="I92" s="291">
        <v>3</v>
      </c>
      <c r="J92" s="292">
        <v>6</v>
      </c>
      <c r="K92" s="222">
        <v>5084022.5</v>
      </c>
      <c r="L92" s="223" t="s">
        <v>23</v>
      </c>
      <c r="M92" s="224" t="s">
        <v>368</v>
      </c>
      <c r="N92" s="225">
        <v>361474</v>
      </c>
      <c r="O92" s="226">
        <v>4</v>
      </c>
      <c r="P92" s="226">
        <v>19</v>
      </c>
      <c r="Q92" s="227">
        <v>198</v>
      </c>
      <c r="R92" s="226">
        <v>2068</v>
      </c>
      <c r="S92" s="227">
        <v>20504</v>
      </c>
      <c r="T92" s="226">
        <v>195733</v>
      </c>
      <c r="V92" s="228"/>
      <c r="X92" s="304"/>
    </row>
    <row r="93" spans="1:24" x14ac:dyDescent="0.15">
      <c r="A93" s="178"/>
      <c r="B93" s="179">
        <v>43365</v>
      </c>
      <c r="C93" s="180" t="s">
        <v>363</v>
      </c>
      <c r="D93" s="289">
        <v>8</v>
      </c>
      <c r="E93" s="289">
        <v>6</v>
      </c>
      <c r="F93" s="289">
        <v>6</v>
      </c>
      <c r="G93" s="289">
        <v>4</v>
      </c>
      <c r="H93" s="289">
        <v>5</v>
      </c>
      <c r="I93" s="289">
        <v>3</v>
      </c>
      <c r="J93" s="303">
        <v>5</v>
      </c>
      <c r="K93" s="229">
        <v>12111030</v>
      </c>
      <c r="L93" s="237" t="s">
        <v>23</v>
      </c>
      <c r="M93" s="229" t="s">
        <v>368</v>
      </c>
      <c r="N93" s="231">
        <v>1222568.1999999995</v>
      </c>
      <c r="O93" s="232">
        <v>6</v>
      </c>
      <c r="P93" s="232">
        <v>42</v>
      </c>
      <c r="Q93" s="233">
        <v>533</v>
      </c>
      <c r="R93" s="232">
        <v>5071</v>
      </c>
      <c r="S93" s="233">
        <v>50300</v>
      </c>
      <c r="T93" s="232">
        <v>505470</v>
      </c>
      <c r="V93" s="228"/>
      <c r="X93" s="304"/>
    </row>
    <row r="94" spans="1:24" x14ac:dyDescent="0.15">
      <c r="A94" s="172">
        <v>39</v>
      </c>
      <c r="B94" s="173">
        <v>43369</v>
      </c>
      <c r="C94" s="174" t="s">
        <v>362</v>
      </c>
      <c r="D94" s="291">
        <v>2</v>
      </c>
      <c r="E94" s="291">
        <v>5</v>
      </c>
      <c r="F94" s="291">
        <v>9</v>
      </c>
      <c r="G94" s="291">
        <v>8</v>
      </c>
      <c r="H94" s="291">
        <v>2</v>
      </c>
      <c r="I94" s="291">
        <v>0</v>
      </c>
      <c r="J94" s="292">
        <v>5</v>
      </c>
      <c r="K94" s="222">
        <v>5256880</v>
      </c>
      <c r="L94" s="234">
        <v>1</v>
      </c>
      <c r="M94" s="224">
        <v>1577777</v>
      </c>
      <c r="N94" s="225">
        <v>0</v>
      </c>
      <c r="O94" s="226">
        <v>2</v>
      </c>
      <c r="P94" s="226">
        <v>24</v>
      </c>
      <c r="Q94" s="227">
        <v>194</v>
      </c>
      <c r="R94" s="226">
        <v>1806</v>
      </c>
      <c r="S94" s="227">
        <v>18083</v>
      </c>
      <c r="T94" s="226">
        <v>220755</v>
      </c>
      <c r="V94" s="228"/>
      <c r="X94" s="304"/>
    </row>
    <row r="95" spans="1:24" x14ac:dyDescent="0.15">
      <c r="A95" s="178"/>
      <c r="B95" s="179">
        <v>43372</v>
      </c>
      <c r="C95" s="180" t="s">
        <v>363</v>
      </c>
      <c r="D95" s="289">
        <v>1</v>
      </c>
      <c r="E95" s="289">
        <v>9</v>
      </c>
      <c r="F95" s="289">
        <v>1</v>
      </c>
      <c r="G95" s="289">
        <v>2</v>
      </c>
      <c r="H95" s="289">
        <v>0</v>
      </c>
      <c r="I95" s="289">
        <v>4</v>
      </c>
      <c r="J95" s="303">
        <v>1</v>
      </c>
      <c r="K95" s="229">
        <v>12543645</v>
      </c>
      <c r="L95" s="230">
        <v>1</v>
      </c>
      <c r="M95" s="229">
        <v>877777</v>
      </c>
      <c r="N95" s="231">
        <v>0</v>
      </c>
      <c r="O95" s="232">
        <v>6</v>
      </c>
      <c r="P95" s="233">
        <v>41</v>
      </c>
      <c r="Q95" s="232">
        <v>362</v>
      </c>
      <c r="R95" s="233">
        <v>3447</v>
      </c>
      <c r="S95" s="232">
        <v>37083</v>
      </c>
      <c r="T95" s="233">
        <v>382431</v>
      </c>
      <c r="V95" s="228"/>
      <c r="X95" s="304"/>
    </row>
    <row r="96" spans="1:24" x14ac:dyDescent="0.15">
      <c r="A96" s="172">
        <v>40</v>
      </c>
      <c r="B96" s="173">
        <v>43376</v>
      </c>
      <c r="C96" s="174" t="s">
        <v>362</v>
      </c>
      <c r="D96" s="291">
        <v>9</v>
      </c>
      <c r="E96" s="291">
        <v>7</v>
      </c>
      <c r="F96" s="291">
        <v>8</v>
      </c>
      <c r="G96" s="291">
        <v>3</v>
      </c>
      <c r="H96" s="291">
        <v>8</v>
      </c>
      <c r="I96" s="291">
        <v>0</v>
      </c>
      <c r="J96" s="292">
        <v>1</v>
      </c>
      <c r="K96" s="222">
        <v>5336510</v>
      </c>
      <c r="L96" s="234" t="s">
        <v>23</v>
      </c>
      <c r="M96" s="224" t="s">
        <v>368</v>
      </c>
      <c r="N96" s="225">
        <v>379425.89999999997</v>
      </c>
      <c r="O96" s="226" t="s">
        <v>17</v>
      </c>
      <c r="P96" s="226">
        <v>13</v>
      </c>
      <c r="Q96" s="227">
        <v>141</v>
      </c>
      <c r="R96" s="226">
        <v>1470</v>
      </c>
      <c r="S96" s="227">
        <v>14608</v>
      </c>
      <c r="T96" s="226">
        <v>163196</v>
      </c>
      <c r="V96" s="228"/>
      <c r="X96" s="304"/>
    </row>
    <row r="97" spans="1:24" x14ac:dyDescent="0.15">
      <c r="A97" s="178"/>
      <c r="B97" s="179">
        <v>43379</v>
      </c>
      <c r="C97" s="180" t="s">
        <v>363</v>
      </c>
      <c r="D97" s="289">
        <v>9</v>
      </c>
      <c r="E97" s="289">
        <v>0</v>
      </c>
      <c r="F97" s="289">
        <v>0</v>
      </c>
      <c r="G97" s="289">
        <v>9</v>
      </c>
      <c r="H97" s="289">
        <v>1</v>
      </c>
      <c r="I97" s="289">
        <v>0</v>
      </c>
      <c r="J97" s="303">
        <v>0</v>
      </c>
      <c r="K97" s="229">
        <v>12011675</v>
      </c>
      <c r="L97" s="237">
        <v>1</v>
      </c>
      <c r="M97" s="229">
        <v>1177777</v>
      </c>
      <c r="N97" s="231">
        <v>0</v>
      </c>
      <c r="O97" s="232">
        <v>4</v>
      </c>
      <c r="P97" s="233">
        <v>32</v>
      </c>
      <c r="Q97" s="232">
        <v>339</v>
      </c>
      <c r="R97" s="233">
        <v>3318</v>
      </c>
      <c r="S97" s="232">
        <v>34816</v>
      </c>
      <c r="T97" s="233">
        <v>316983</v>
      </c>
      <c r="V97" s="228"/>
      <c r="X97" s="304"/>
    </row>
    <row r="98" spans="1:24" x14ac:dyDescent="0.15">
      <c r="A98" s="172">
        <v>41</v>
      </c>
      <c r="B98" s="173">
        <v>43383</v>
      </c>
      <c r="C98" s="174" t="s">
        <v>362</v>
      </c>
      <c r="D98" s="291">
        <v>6</v>
      </c>
      <c r="E98" s="291">
        <v>2</v>
      </c>
      <c r="F98" s="291">
        <v>0</v>
      </c>
      <c r="G98" s="291">
        <v>0</v>
      </c>
      <c r="H98" s="291">
        <v>2</v>
      </c>
      <c r="I98" s="291">
        <v>3</v>
      </c>
      <c r="J98" s="292">
        <v>0</v>
      </c>
      <c r="K98" s="222">
        <v>4974180</v>
      </c>
      <c r="L98" s="223" t="s">
        <v>23</v>
      </c>
      <c r="M98" s="224" t="s">
        <v>368</v>
      </c>
      <c r="N98" s="225">
        <v>353664.19999999995</v>
      </c>
      <c r="O98" s="226" t="s">
        <v>17</v>
      </c>
      <c r="P98" s="227">
        <v>11</v>
      </c>
      <c r="Q98" s="226">
        <v>111</v>
      </c>
      <c r="R98" s="227">
        <v>1313</v>
      </c>
      <c r="S98" s="226">
        <v>13338</v>
      </c>
      <c r="T98" s="227">
        <v>139306</v>
      </c>
      <c r="V98" s="228"/>
      <c r="X98" s="304"/>
    </row>
    <row r="99" spans="1:24" x14ac:dyDescent="0.15">
      <c r="A99" s="178"/>
      <c r="B99" s="179">
        <v>43386</v>
      </c>
      <c r="C99" s="180" t="s">
        <v>363</v>
      </c>
      <c r="D99" s="289">
        <v>6</v>
      </c>
      <c r="E99" s="289">
        <v>3</v>
      </c>
      <c r="F99" s="289">
        <v>8</v>
      </c>
      <c r="G99" s="289">
        <v>3</v>
      </c>
      <c r="H99" s="289">
        <v>1</v>
      </c>
      <c r="I99" s="289">
        <v>3</v>
      </c>
      <c r="J99" s="303">
        <v>9</v>
      </c>
      <c r="K99" s="229">
        <v>12203612.5</v>
      </c>
      <c r="L99" s="230" t="s">
        <v>23</v>
      </c>
      <c r="M99" s="229" t="s">
        <v>368</v>
      </c>
      <c r="N99" s="231">
        <v>1221341</v>
      </c>
      <c r="O99" s="232">
        <v>5</v>
      </c>
      <c r="P99" s="233">
        <v>48</v>
      </c>
      <c r="Q99" s="232">
        <v>415</v>
      </c>
      <c r="R99" s="233">
        <v>4384</v>
      </c>
      <c r="S99" s="232">
        <v>42946</v>
      </c>
      <c r="T99" s="233">
        <v>437074</v>
      </c>
      <c r="V99" s="228"/>
      <c r="X99" s="304"/>
    </row>
    <row r="100" spans="1:24" x14ac:dyDescent="0.15">
      <c r="A100" s="172">
        <v>42</v>
      </c>
      <c r="B100" s="173">
        <v>43390</v>
      </c>
      <c r="C100" s="174" t="s">
        <v>362</v>
      </c>
      <c r="D100" s="291">
        <v>7</v>
      </c>
      <c r="E100" s="291">
        <v>6</v>
      </c>
      <c r="F100" s="291">
        <v>6</v>
      </c>
      <c r="G100" s="291">
        <v>6</v>
      </c>
      <c r="H100" s="291">
        <v>8</v>
      </c>
      <c r="I100" s="291">
        <v>9</v>
      </c>
      <c r="J100" s="292">
        <v>1</v>
      </c>
      <c r="K100" s="222">
        <v>4807425</v>
      </c>
      <c r="L100" s="234" t="s">
        <v>23</v>
      </c>
      <c r="M100" s="224" t="s">
        <v>368</v>
      </c>
      <c r="N100" s="225">
        <v>1563148.9000000001</v>
      </c>
      <c r="O100" s="226" t="s">
        <v>17</v>
      </c>
      <c r="P100" s="227">
        <v>19</v>
      </c>
      <c r="Q100" s="226">
        <v>142</v>
      </c>
      <c r="R100" s="227">
        <v>1429</v>
      </c>
      <c r="S100" s="226">
        <v>13647</v>
      </c>
      <c r="T100" s="227">
        <v>146360</v>
      </c>
      <c r="V100" s="228"/>
      <c r="X100" s="304"/>
    </row>
    <row r="101" spans="1:24" x14ac:dyDescent="0.15">
      <c r="A101" s="178"/>
      <c r="B101" s="179">
        <v>43393</v>
      </c>
      <c r="C101" s="180" t="s">
        <v>363</v>
      </c>
      <c r="D101" s="289">
        <v>0</v>
      </c>
      <c r="E101" s="289">
        <v>0</v>
      </c>
      <c r="F101" s="289">
        <v>9</v>
      </c>
      <c r="G101" s="289">
        <v>0</v>
      </c>
      <c r="H101" s="289">
        <v>3</v>
      </c>
      <c r="I101" s="289">
        <v>7</v>
      </c>
      <c r="J101" s="303">
        <v>1</v>
      </c>
      <c r="K101" s="229">
        <v>12193355</v>
      </c>
      <c r="L101" s="237" t="s">
        <v>23</v>
      </c>
      <c r="M101" s="229" t="s">
        <v>368</v>
      </c>
      <c r="N101" s="231">
        <v>2430096.4000000004</v>
      </c>
      <c r="O101" s="232">
        <v>3</v>
      </c>
      <c r="P101" s="233">
        <v>38</v>
      </c>
      <c r="Q101" s="232">
        <v>403</v>
      </c>
      <c r="R101" s="233">
        <v>3820</v>
      </c>
      <c r="S101" s="232">
        <v>36924</v>
      </c>
      <c r="T101" s="233">
        <v>373172</v>
      </c>
      <c r="U101" s="228"/>
      <c r="V101" s="228"/>
      <c r="X101" s="304"/>
    </row>
    <row r="102" spans="1:24" x14ac:dyDescent="0.15">
      <c r="A102" s="172">
        <v>43</v>
      </c>
      <c r="B102" s="173">
        <v>43397</v>
      </c>
      <c r="C102" s="174" t="s">
        <v>362</v>
      </c>
      <c r="D102" s="291">
        <v>5</v>
      </c>
      <c r="E102" s="291">
        <v>7</v>
      </c>
      <c r="F102" s="291">
        <v>1</v>
      </c>
      <c r="G102" s="291">
        <v>4</v>
      </c>
      <c r="H102" s="291">
        <v>5</v>
      </c>
      <c r="I102" s="291">
        <v>3</v>
      </c>
      <c r="J102" s="292">
        <v>3</v>
      </c>
      <c r="K102" s="222">
        <v>4772105</v>
      </c>
      <c r="L102" s="223">
        <v>1</v>
      </c>
      <c r="M102" s="224">
        <v>2677777</v>
      </c>
      <c r="N102" s="225">
        <v>0</v>
      </c>
      <c r="O102" s="226">
        <v>2</v>
      </c>
      <c r="P102" s="227">
        <v>20</v>
      </c>
      <c r="Q102" s="226">
        <v>193</v>
      </c>
      <c r="R102" s="227">
        <v>1853</v>
      </c>
      <c r="S102" s="226">
        <v>19445</v>
      </c>
      <c r="T102" s="227">
        <v>186667</v>
      </c>
      <c r="V102" s="228"/>
      <c r="X102" s="304"/>
    </row>
    <row r="103" spans="1:24" x14ac:dyDescent="0.15">
      <c r="A103" s="178"/>
      <c r="B103" s="287">
        <v>43400</v>
      </c>
      <c r="C103" s="180" t="s">
        <v>363</v>
      </c>
      <c r="D103" s="289">
        <v>2</v>
      </c>
      <c r="E103" s="289">
        <v>9</v>
      </c>
      <c r="F103" s="289">
        <v>8</v>
      </c>
      <c r="G103" s="289">
        <v>7</v>
      </c>
      <c r="H103" s="289">
        <v>8</v>
      </c>
      <c r="I103" s="289">
        <v>4</v>
      </c>
      <c r="J103" s="303">
        <v>7</v>
      </c>
      <c r="K103" s="229">
        <v>12444330</v>
      </c>
      <c r="L103" s="237">
        <v>1</v>
      </c>
      <c r="M103" s="229">
        <v>877777</v>
      </c>
      <c r="N103" s="231">
        <v>0</v>
      </c>
      <c r="O103" s="232">
        <v>3</v>
      </c>
      <c r="P103" s="233">
        <v>41</v>
      </c>
      <c r="Q103" s="232">
        <v>593</v>
      </c>
      <c r="R103" s="233">
        <v>5555</v>
      </c>
      <c r="S103" s="232">
        <v>54871</v>
      </c>
      <c r="T103" s="233">
        <v>535978</v>
      </c>
      <c r="V103" s="228"/>
      <c r="X103" s="304"/>
    </row>
    <row r="104" spans="1:24" x14ac:dyDescent="0.15">
      <c r="A104" s="172">
        <v>44</v>
      </c>
      <c r="B104" s="173">
        <v>43404</v>
      </c>
      <c r="C104" s="174" t="s">
        <v>362</v>
      </c>
      <c r="D104" s="291">
        <v>2</v>
      </c>
      <c r="E104" s="291">
        <v>0</v>
      </c>
      <c r="F104" s="291">
        <v>4</v>
      </c>
      <c r="G104" s="291">
        <v>1</v>
      </c>
      <c r="H104" s="291">
        <v>3</v>
      </c>
      <c r="I104" s="291">
        <v>8</v>
      </c>
      <c r="J104" s="292">
        <v>7</v>
      </c>
      <c r="K104" s="222">
        <v>5035287.5</v>
      </c>
      <c r="L104" s="234" t="s">
        <v>23</v>
      </c>
      <c r="M104" s="224" t="s">
        <v>368</v>
      </c>
      <c r="N104" s="225">
        <v>358008.9</v>
      </c>
      <c r="O104" s="226" t="s">
        <v>17</v>
      </c>
      <c r="P104" s="227">
        <v>17</v>
      </c>
      <c r="Q104" s="226">
        <v>220</v>
      </c>
      <c r="R104" s="227">
        <v>2107</v>
      </c>
      <c r="S104" s="226">
        <v>20946</v>
      </c>
      <c r="T104" s="227">
        <v>223841</v>
      </c>
      <c r="V104" s="228"/>
      <c r="X104" s="304"/>
    </row>
    <row r="105" spans="1:24" x14ac:dyDescent="0.15">
      <c r="A105" s="178"/>
      <c r="B105" s="179">
        <v>43407</v>
      </c>
      <c r="C105" s="180" t="s">
        <v>363</v>
      </c>
      <c r="D105" s="289">
        <v>4</v>
      </c>
      <c r="E105" s="289">
        <v>7</v>
      </c>
      <c r="F105" s="289">
        <v>4</v>
      </c>
      <c r="G105" s="289">
        <v>0</v>
      </c>
      <c r="H105" s="289">
        <v>8</v>
      </c>
      <c r="I105" s="289">
        <v>8</v>
      </c>
      <c r="J105" s="303">
        <v>3</v>
      </c>
      <c r="K105" s="229">
        <v>12684962.5</v>
      </c>
      <c r="L105" s="237" t="s">
        <v>23</v>
      </c>
      <c r="M105" s="229" t="s">
        <v>368</v>
      </c>
      <c r="N105" s="231">
        <v>1259909.7000000004</v>
      </c>
      <c r="O105" s="232">
        <v>6</v>
      </c>
      <c r="P105" s="232">
        <v>45</v>
      </c>
      <c r="Q105" s="233">
        <v>436</v>
      </c>
      <c r="R105" s="232">
        <v>4352</v>
      </c>
      <c r="S105" s="233">
        <v>47830</v>
      </c>
      <c r="T105" s="232">
        <v>471948</v>
      </c>
      <c r="V105" s="228"/>
      <c r="X105" s="304"/>
    </row>
    <row r="106" spans="1:24" x14ac:dyDescent="0.15">
      <c r="A106" s="172">
        <v>45</v>
      </c>
      <c r="B106" s="173">
        <v>43411</v>
      </c>
      <c r="C106" s="174" t="s">
        <v>362</v>
      </c>
      <c r="D106" s="291">
        <v>8</v>
      </c>
      <c r="E106" s="291">
        <v>3</v>
      </c>
      <c r="F106" s="291">
        <v>9</v>
      </c>
      <c r="G106" s="291">
        <v>5</v>
      </c>
      <c r="H106" s="291">
        <v>5</v>
      </c>
      <c r="I106" s="291">
        <v>9</v>
      </c>
      <c r="J106" s="292">
        <v>6</v>
      </c>
      <c r="K106" s="222">
        <v>4967462.5</v>
      </c>
      <c r="L106" s="223" t="s">
        <v>23</v>
      </c>
      <c r="M106" s="224" t="s">
        <v>368</v>
      </c>
      <c r="N106" s="225">
        <v>1613096.3000000003</v>
      </c>
      <c r="O106" s="226">
        <v>1</v>
      </c>
      <c r="P106" s="227">
        <v>12</v>
      </c>
      <c r="Q106" s="226">
        <v>167</v>
      </c>
      <c r="R106" s="227">
        <v>1826</v>
      </c>
      <c r="S106" s="226">
        <v>17787</v>
      </c>
      <c r="T106" s="227">
        <v>192903</v>
      </c>
      <c r="V106" s="228"/>
      <c r="X106" s="304"/>
    </row>
    <row r="107" spans="1:24" x14ac:dyDescent="0.15">
      <c r="A107" s="178"/>
      <c r="B107" s="179">
        <v>43414</v>
      </c>
      <c r="C107" s="180" t="s">
        <v>363</v>
      </c>
      <c r="D107" s="289">
        <v>2</v>
      </c>
      <c r="E107" s="289">
        <v>0</v>
      </c>
      <c r="F107" s="289">
        <v>6</v>
      </c>
      <c r="G107" s="289">
        <v>9</v>
      </c>
      <c r="H107" s="289">
        <v>0</v>
      </c>
      <c r="I107" s="289">
        <v>5</v>
      </c>
      <c r="J107" s="303">
        <v>2</v>
      </c>
      <c r="K107" s="229">
        <v>12917235</v>
      </c>
      <c r="L107" s="237">
        <v>1</v>
      </c>
      <c r="M107" s="229">
        <v>2477777</v>
      </c>
      <c r="N107" s="231">
        <v>0</v>
      </c>
      <c r="O107" s="232">
        <v>7</v>
      </c>
      <c r="P107" s="233">
        <v>45</v>
      </c>
      <c r="Q107" s="232">
        <v>447</v>
      </c>
      <c r="R107" s="233">
        <v>4280</v>
      </c>
      <c r="S107" s="232">
        <v>45739</v>
      </c>
      <c r="T107" s="233">
        <v>418592</v>
      </c>
      <c r="V107" s="228"/>
      <c r="X107" s="304"/>
    </row>
    <row r="108" spans="1:24" x14ac:dyDescent="0.15">
      <c r="A108" s="172">
        <v>46</v>
      </c>
      <c r="B108" s="173">
        <v>43418</v>
      </c>
      <c r="C108" s="174" t="s">
        <v>362</v>
      </c>
      <c r="D108" s="291">
        <v>6</v>
      </c>
      <c r="E108" s="291">
        <v>4</v>
      </c>
      <c r="F108" s="291">
        <v>2</v>
      </c>
      <c r="G108" s="291">
        <v>0</v>
      </c>
      <c r="H108" s="291">
        <v>4</v>
      </c>
      <c r="I108" s="291">
        <v>8</v>
      </c>
      <c r="J108" s="292">
        <v>3</v>
      </c>
      <c r="K108" s="222">
        <v>4937190</v>
      </c>
      <c r="L108" s="234" t="s">
        <v>23</v>
      </c>
      <c r="M108" s="224" t="s">
        <v>368</v>
      </c>
      <c r="N108" s="225">
        <v>351034.2</v>
      </c>
      <c r="O108" s="226">
        <v>1</v>
      </c>
      <c r="P108" s="227">
        <v>18</v>
      </c>
      <c r="Q108" s="226">
        <v>203</v>
      </c>
      <c r="R108" s="227">
        <v>2058</v>
      </c>
      <c r="S108" s="226">
        <v>19646</v>
      </c>
      <c r="T108" s="227">
        <v>194813</v>
      </c>
      <c r="V108" s="228"/>
      <c r="X108" s="304"/>
    </row>
    <row r="109" spans="1:24" x14ac:dyDescent="0.15">
      <c r="A109" s="178"/>
      <c r="B109" s="179">
        <v>43421</v>
      </c>
      <c r="C109" s="180" t="s">
        <v>363</v>
      </c>
      <c r="D109" s="289">
        <v>6</v>
      </c>
      <c r="E109" s="289">
        <v>4</v>
      </c>
      <c r="F109" s="289">
        <v>8</v>
      </c>
      <c r="G109" s="289">
        <v>6</v>
      </c>
      <c r="H109" s="289">
        <v>2</v>
      </c>
      <c r="I109" s="289">
        <v>9</v>
      </c>
      <c r="J109" s="303">
        <v>9</v>
      </c>
      <c r="K109" s="229">
        <v>12846910</v>
      </c>
      <c r="L109" s="237" t="s">
        <v>23</v>
      </c>
      <c r="M109" s="229" t="s">
        <v>368</v>
      </c>
      <c r="N109" s="231">
        <v>1264449.4999999998</v>
      </c>
      <c r="O109" s="232">
        <v>2</v>
      </c>
      <c r="P109" s="233">
        <v>26</v>
      </c>
      <c r="Q109" s="232">
        <v>458</v>
      </c>
      <c r="R109" s="233">
        <v>4383</v>
      </c>
      <c r="S109" s="232">
        <v>46015</v>
      </c>
      <c r="T109" s="233">
        <v>462014</v>
      </c>
      <c r="V109" s="228"/>
      <c r="X109" s="304"/>
    </row>
    <row r="110" spans="1:24" x14ac:dyDescent="0.15">
      <c r="A110" s="172">
        <v>47</v>
      </c>
      <c r="B110" s="173">
        <v>43425</v>
      </c>
      <c r="C110" s="174" t="s">
        <v>362</v>
      </c>
      <c r="D110" s="291">
        <v>8</v>
      </c>
      <c r="E110" s="291">
        <v>4</v>
      </c>
      <c r="F110" s="291">
        <v>8</v>
      </c>
      <c r="G110" s="291">
        <v>1</v>
      </c>
      <c r="H110" s="291">
        <v>1</v>
      </c>
      <c r="I110" s="291">
        <v>8</v>
      </c>
      <c r="J110" s="292">
        <v>1</v>
      </c>
      <c r="K110" s="222">
        <v>5040870</v>
      </c>
      <c r="L110" s="234" t="s">
        <v>23</v>
      </c>
      <c r="M110" s="224" t="s">
        <v>368</v>
      </c>
      <c r="N110" s="225">
        <v>1622855.4000000001</v>
      </c>
      <c r="O110" s="226">
        <v>2</v>
      </c>
      <c r="P110" s="227">
        <v>19</v>
      </c>
      <c r="Q110" s="226">
        <v>158</v>
      </c>
      <c r="R110" s="227">
        <v>1568</v>
      </c>
      <c r="S110" s="226">
        <v>14999</v>
      </c>
      <c r="T110" s="227">
        <v>153234</v>
      </c>
      <c r="V110" s="228"/>
      <c r="X110" s="304"/>
    </row>
    <row r="111" spans="1:24" x14ac:dyDescent="0.15">
      <c r="A111" s="178"/>
      <c r="B111" s="179">
        <v>43428</v>
      </c>
      <c r="C111" s="180" t="s">
        <v>363</v>
      </c>
      <c r="D111" s="289">
        <v>7</v>
      </c>
      <c r="E111" s="289">
        <v>4</v>
      </c>
      <c r="F111" s="289">
        <v>6</v>
      </c>
      <c r="G111" s="289">
        <v>9</v>
      </c>
      <c r="H111" s="289">
        <v>5</v>
      </c>
      <c r="I111" s="289">
        <v>3</v>
      </c>
      <c r="J111" s="303">
        <v>7</v>
      </c>
      <c r="K111" s="229">
        <v>12134132.5</v>
      </c>
      <c r="L111" s="230">
        <v>1</v>
      </c>
      <c r="M111" s="229">
        <v>2477777</v>
      </c>
      <c r="N111" s="231">
        <v>0</v>
      </c>
      <c r="O111" s="232">
        <v>3</v>
      </c>
      <c r="P111" s="233">
        <v>54</v>
      </c>
      <c r="Q111" s="232">
        <v>575</v>
      </c>
      <c r="R111" s="233">
        <v>5395</v>
      </c>
      <c r="S111" s="232">
        <v>51432</v>
      </c>
      <c r="T111" s="233">
        <v>532582</v>
      </c>
      <c r="V111" s="228"/>
      <c r="X111" s="304"/>
    </row>
    <row r="112" spans="1:24" x14ac:dyDescent="0.15">
      <c r="A112" s="172">
        <v>48</v>
      </c>
      <c r="B112" s="173">
        <v>43432</v>
      </c>
      <c r="C112" s="174" t="s">
        <v>362</v>
      </c>
      <c r="D112" s="291">
        <v>3</v>
      </c>
      <c r="E112" s="291">
        <v>6</v>
      </c>
      <c r="F112" s="291">
        <v>1</v>
      </c>
      <c r="G112" s="291">
        <v>9</v>
      </c>
      <c r="H112" s="291">
        <v>7</v>
      </c>
      <c r="I112" s="291">
        <v>5</v>
      </c>
      <c r="J112" s="292">
        <v>2</v>
      </c>
      <c r="K112" s="222">
        <v>5148365</v>
      </c>
      <c r="L112" s="234" t="s">
        <v>23</v>
      </c>
      <c r="M112" s="224" t="s">
        <v>368</v>
      </c>
      <c r="N112" s="225">
        <v>366048.8</v>
      </c>
      <c r="O112" s="226" t="s">
        <v>17</v>
      </c>
      <c r="P112" s="227">
        <v>14</v>
      </c>
      <c r="Q112" s="226">
        <v>169</v>
      </c>
      <c r="R112" s="227">
        <v>1780</v>
      </c>
      <c r="S112" s="226">
        <v>17743</v>
      </c>
      <c r="T112" s="227">
        <v>162469</v>
      </c>
      <c r="V112" s="228"/>
      <c r="X112" s="304"/>
    </row>
    <row r="113" spans="1:24" x14ac:dyDescent="0.15">
      <c r="A113" s="178"/>
      <c r="B113" s="179">
        <v>43435</v>
      </c>
      <c r="C113" s="180" t="s">
        <v>363</v>
      </c>
      <c r="D113" s="289">
        <v>0</v>
      </c>
      <c r="E113" s="289">
        <v>4</v>
      </c>
      <c r="F113" s="289">
        <v>2</v>
      </c>
      <c r="G113" s="289">
        <v>9</v>
      </c>
      <c r="H113" s="289">
        <v>2</v>
      </c>
      <c r="I113" s="289">
        <v>1</v>
      </c>
      <c r="J113" s="303">
        <v>0</v>
      </c>
      <c r="K113" s="229">
        <v>12585477.5</v>
      </c>
      <c r="L113" s="230" t="s">
        <v>23</v>
      </c>
      <c r="M113" s="229" t="s">
        <v>368</v>
      </c>
      <c r="N113" s="231">
        <v>1260876.3000000003</v>
      </c>
      <c r="O113" s="232">
        <v>3</v>
      </c>
      <c r="P113" s="233">
        <v>38</v>
      </c>
      <c r="Q113" s="232">
        <v>332</v>
      </c>
      <c r="R113" s="233">
        <v>3453</v>
      </c>
      <c r="S113" s="232">
        <v>33997</v>
      </c>
      <c r="T113" s="233">
        <v>336802</v>
      </c>
      <c r="V113" s="228"/>
      <c r="X113" s="304"/>
    </row>
    <row r="114" spans="1:24" x14ac:dyDescent="0.15">
      <c r="A114" s="172">
        <v>49</v>
      </c>
      <c r="B114" s="173">
        <v>43439</v>
      </c>
      <c r="C114" s="174" t="s">
        <v>362</v>
      </c>
      <c r="D114" s="291">
        <v>5</v>
      </c>
      <c r="E114" s="291">
        <v>1</v>
      </c>
      <c r="F114" s="291">
        <v>2</v>
      </c>
      <c r="G114" s="291">
        <v>9</v>
      </c>
      <c r="H114" s="291">
        <v>2</v>
      </c>
      <c r="I114" s="291">
        <v>6</v>
      </c>
      <c r="J114" s="292">
        <v>0</v>
      </c>
      <c r="K114" s="222">
        <v>5372402.5</v>
      </c>
      <c r="L114" s="234" t="s">
        <v>23</v>
      </c>
      <c r="M114" s="224" t="s">
        <v>368</v>
      </c>
      <c r="N114" s="225">
        <v>1642854.1000000008</v>
      </c>
      <c r="O114" s="226">
        <v>4</v>
      </c>
      <c r="P114" s="227">
        <v>14</v>
      </c>
      <c r="Q114" s="226">
        <v>141</v>
      </c>
      <c r="R114" s="227">
        <v>1565</v>
      </c>
      <c r="S114" s="226">
        <v>15256</v>
      </c>
      <c r="T114" s="227">
        <v>151505</v>
      </c>
      <c r="V114" s="228"/>
      <c r="X114" s="304"/>
    </row>
    <row r="115" spans="1:24" x14ac:dyDescent="0.15">
      <c r="A115" s="178"/>
      <c r="B115" s="179">
        <v>43442</v>
      </c>
      <c r="C115" s="180" t="s">
        <v>363</v>
      </c>
      <c r="D115" s="289">
        <v>7</v>
      </c>
      <c r="E115" s="289">
        <v>4</v>
      </c>
      <c r="F115" s="289">
        <v>1</v>
      </c>
      <c r="G115" s="289">
        <v>8</v>
      </c>
      <c r="H115" s="289">
        <v>2</v>
      </c>
      <c r="I115" s="289">
        <v>6</v>
      </c>
      <c r="J115" s="303">
        <v>1</v>
      </c>
      <c r="K115" s="229">
        <v>12905965</v>
      </c>
      <c r="L115" s="230" t="s">
        <v>23</v>
      </c>
      <c r="M115" s="229" t="s">
        <v>368</v>
      </c>
      <c r="N115" s="231">
        <v>2560468.2000000002</v>
      </c>
      <c r="O115" s="232">
        <v>3</v>
      </c>
      <c r="P115" s="233">
        <v>34</v>
      </c>
      <c r="Q115" s="232">
        <v>410</v>
      </c>
      <c r="R115" s="233">
        <v>4058</v>
      </c>
      <c r="S115" s="232">
        <v>40805</v>
      </c>
      <c r="T115" s="233">
        <v>394482</v>
      </c>
      <c r="V115" s="228"/>
      <c r="X115" s="304"/>
    </row>
    <row r="116" spans="1:24" x14ac:dyDescent="0.15">
      <c r="A116" s="172">
        <v>50</v>
      </c>
      <c r="B116" s="173">
        <v>43446</v>
      </c>
      <c r="C116" s="174" t="s">
        <v>362</v>
      </c>
      <c r="D116" s="291">
        <v>8</v>
      </c>
      <c r="E116" s="291">
        <v>6</v>
      </c>
      <c r="F116" s="291">
        <v>8</v>
      </c>
      <c r="G116" s="291">
        <v>8</v>
      </c>
      <c r="H116" s="291">
        <v>8</v>
      </c>
      <c r="I116" s="291">
        <v>3</v>
      </c>
      <c r="J116" s="292">
        <v>9</v>
      </c>
      <c r="K116" s="222">
        <v>4978650</v>
      </c>
      <c r="L116" s="234" t="s">
        <v>23</v>
      </c>
      <c r="M116" s="224" t="s">
        <v>368</v>
      </c>
      <c r="N116" s="225">
        <v>2914450.2000000007</v>
      </c>
      <c r="O116" s="226">
        <v>3</v>
      </c>
      <c r="P116" s="227">
        <v>15</v>
      </c>
      <c r="Q116" s="226">
        <v>168</v>
      </c>
      <c r="R116" s="227">
        <v>1615</v>
      </c>
      <c r="S116" s="226">
        <v>16666</v>
      </c>
      <c r="T116" s="227">
        <v>169743</v>
      </c>
      <c r="V116" s="228"/>
      <c r="X116" s="304"/>
    </row>
    <row r="117" spans="1:24" x14ac:dyDescent="0.15">
      <c r="A117" s="178"/>
      <c r="B117" s="179">
        <v>43449</v>
      </c>
      <c r="C117" s="180" t="s">
        <v>363</v>
      </c>
      <c r="D117" s="289">
        <v>7</v>
      </c>
      <c r="E117" s="289">
        <v>0</v>
      </c>
      <c r="F117" s="289">
        <v>9</v>
      </c>
      <c r="G117" s="289">
        <v>6</v>
      </c>
      <c r="H117" s="289">
        <v>0</v>
      </c>
      <c r="I117" s="289">
        <v>6</v>
      </c>
      <c r="J117" s="303">
        <v>4</v>
      </c>
      <c r="K117" s="229">
        <v>12158830</v>
      </c>
      <c r="L117" s="230" t="s">
        <v>23</v>
      </c>
      <c r="M117" s="229" t="s">
        <v>368</v>
      </c>
      <c r="N117" s="231">
        <v>3778943.0000000005</v>
      </c>
      <c r="O117" s="232">
        <v>2</v>
      </c>
      <c r="P117" s="233">
        <v>31</v>
      </c>
      <c r="Q117" s="232">
        <v>385</v>
      </c>
      <c r="R117" s="233">
        <v>4013</v>
      </c>
      <c r="S117" s="232">
        <v>42707</v>
      </c>
      <c r="T117" s="233">
        <v>400759</v>
      </c>
      <c r="V117" s="228"/>
      <c r="X117" s="304"/>
    </row>
    <row r="118" spans="1:24" x14ac:dyDescent="0.15">
      <c r="A118" s="172">
        <v>51</v>
      </c>
      <c r="B118" s="173">
        <v>43453</v>
      </c>
      <c r="C118" s="174" t="s">
        <v>362</v>
      </c>
      <c r="D118" s="291">
        <v>9</v>
      </c>
      <c r="E118" s="291">
        <v>7</v>
      </c>
      <c r="F118" s="291">
        <v>2</v>
      </c>
      <c r="G118" s="291">
        <v>3</v>
      </c>
      <c r="H118" s="291">
        <v>9</v>
      </c>
      <c r="I118" s="291">
        <v>5</v>
      </c>
      <c r="J118" s="292">
        <v>1</v>
      </c>
      <c r="K118" s="222">
        <v>5190922.5</v>
      </c>
      <c r="L118" s="234" t="s">
        <v>23</v>
      </c>
      <c r="M118" s="224" t="s">
        <v>368</v>
      </c>
      <c r="N118" s="225">
        <v>4148017.6000000006</v>
      </c>
      <c r="O118" s="226">
        <v>2</v>
      </c>
      <c r="P118" s="227">
        <v>18</v>
      </c>
      <c r="Q118" s="226">
        <v>179</v>
      </c>
      <c r="R118" s="227">
        <v>1733</v>
      </c>
      <c r="S118" s="226">
        <v>16043</v>
      </c>
      <c r="T118" s="227">
        <v>158552</v>
      </c>
      <c r="V118" s="228"/>
      <c r="X118" s="304"/>
    </row>
    <row r="119" spans="1:24" x14ac:dyDescent="0.15">
      <c r="A119" s="178"/>
      <c r="B119" s="179">
        <v>43456</v>
      </c>
      <c r="C119" s="180" t="s">
        <v>363</v>
      </c>
      <c r="D119" s="289">
        <v>1</v>
      </c>
      <c r="E119" s="289">
        <v>6</v>
      </c>
      <c r="F119" s="289">
        <v>2</v>
      </c>
      <c r="G119" s="289">
        <v>2</v>
      </c>
      <c r="H119" s="289">
        <v>1</v>
      </c>
      <c r="I119" s="289">
        <v>9</v>
      </c>
      <c r="J119" s="303">
        <v>5</v>
      </c>
      <c r="K119" s="229">
        <v>12986235</v>
      </c>
      <c r="L119" s="230" t="s">
        <v>23</v>
      </c>
      <c r="M119" s="229" t="s">
        <v>368</v>
      </c>
      <c r="N119" s="231">
        <v>5071338.9000000013</v>
      </c>
      <c r="O119" s="232">
        <v>12</v>
      </c>
      <c r="P119" s="233">
        <v>63</v>
      </c>
      <c r="Q119" s="232">
        <v>521</v>
      </c>
      <c r="R119" s="233">
        <v>5208</v>
      </c>
      <c r="S119" s="232">
        <v>50356</v>
      </c>
      <c r="T119" s="233">
        <v>537964</v>
      </c>
      <c r="V119" s="228"/>
      <c r="X119" s="304"/>
    </row>
    <row r="120" spans="1:24" x14ac:dyDescent="0.15">
      <c r="A120" s="172">
        <v>52</v>
      </c>
      <c r="B120" s="173">
        <v>43460</v>
      </c>
      <c r="C120" s="174" t="s">
        <v>362</v>
      </c>
      <c r="D120" s="291">
        <v>0</v>
      </c>
      <c r="E120" s="291">
        <v>3</v>
      </c>
      <c r="F120" s="291">
        <v>6</v>
      </c>
      <c r="G120" s="291">
        <v>3</v>
      </c>
      <c r="H120" s="291">
        <v>5</v>
      </c>
      <c r="I120" s="291">
        <v>8</v>
      </c>
      <c r="J120" s="292">
        <v>3</v>
      </c>
      <c r="K120" s="222">
        <v>5019310</v>
      </c>
      <c r="L120" s="223">
        <v>1</v>
      </c>
      <c r="M120" s="224">
        <v>5377777</v>
      </c>
      <c r="N120" s="225">
        <v>0</v>
      </c>
      <c r="O120" s="226">
        <v>5</v>
      </c>
      <c r="P120" s="227">
        <v>20</v>
      </c>
      <c r="Q120" s="226">
        <v>201</v>
      </c>
      <c r="R120" s="227">
        <v>2060</v>
      </c>
      <c r="S120" s="226">
        <v>20147</v>
      </c>
      <c r="T120" s="227">
        <v>197329</v>
      </c>
      <c r="V120" s="228"/>
      <c r="X120" s="304"/>
    </row>
    <row r="121" spans="1:24" x14ac:dyDescent="0.15">
      <c r="A121" s="178"/>
      <c r="B121" s="179">
        <v>43463</v>
      </c>
      <c r="C121" s="180" t="s">
        <v>363</v>
      </c>
      <c r="D121" s="307">
        <v>9</v>
      </c>
      <c r="E121" s="307">
        <v>4</v>
      </c>
      <c r="F121" s="307">
        <v>3</v>
      </c>
      <c r="G121" s="307">
        <v>3</v>
      </c>
      <c r="H121" s="307">
        <v>1</v>
      </c>
      <c r="I121" s="307">
        <v>3</v>
      </c>
      <c r="J121" s="308">
        <v>2</v>
      </c>
      <c r="K121" s="229">
        <v>13116897.5</v>
      </c>
      <c r="L121" s="237">
        <v>1</v>
      </c>
      <c r="M121" s="229">
        <v>877777</v>
      </c>
      <c r="N121" s="231">
        <v>0</v>
      </c>
      <c r="O121" s="232">
        <v>2</v>
      </c>
      <c r="P121" s="233">
        <v>49</v>
      </c>
      <c r="Q121" s="232">
        <v>450</v>
      </c>
      <c r="R121" s="233">
        <v>4366</v>
      </c>
      <c r="S121" s="232">
        <v>43327</v>
      </c>
      <c r="T121" s="233">
        <v>430291</v>
      </c>
      <c r="V121" s="228"/>
      <c r="X121" s="304"/>
    </row>
    <row r="122" spans="1:24" x14ac:dyDescent="0.15">
      <c r="A122" s="45"/>
      <c r="B122" s="46"/>
      <c r="C122" s="46"/>
      <c r="D122" s="309"/>
      <c r="E122" s="309"/>
      <c r="F122" s="309"/>
      <c r="G122" s="309"/>
      <c r="H122" s="309"/>
      <c r="I122" s="309" t="s">
        <v>24</v>
      </c>
      <c r="J122" s="309"/>
      <c r="K122" s="277"/>
      <c r="L122" s="278">
        <f>SUM(L70:L121)</f>
        <v>18</v>
      </c>
      <c r="M122" s="229"/>
      <c r="N122" s="278"/>
      <c r="O122" s="278">
        <f t="shared" ref="O122:T122" si="1">SUM(O70:O121)</f>
        <v>166</v>
      </c>
      <c r="P122" s="278">
        <f t="shared" si="1"/>
        <v>1552</v>
      </c>
      <c r="Q122" s="278">
        <f t="shared" si="1"/>
        <v>15842</v>
      </c>
      <c r="R122" s="278">
        <f t="shared" si="1"/>
        <v>157875</v>
      </c>
      <c r="S122" s="278">
        <f t="shared" si="1"/>
        <v>1596619</v>
      </c>
      <c r="T122" s="278">
        <f t="shared" si="1"/>
        <v>16142970</v>
      </c>
      <c r="V122" s="228"/>
      <c r="X122" s="304"/>
    </row>
    <row r="123" spans="1:24" x14ac:dyDescent="0.15">
      <c r="K123" s="222"/>
      <c r="V123" s="280"/>
      <c r="X123" s="304"/>
    </row>
  </sheetData>
  <printOptions horizontalCentered="1" verticalCentered="1"/>
  <pageMargins left="0" right="0" top="0" bottom="0.39370078740157483" header="0.23622047244094491" footer="0.23622047244094491"/>
  <pageSetup paperSize="9" scale="8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X123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8" customWidth="1"/>
    <col min="10" max="10" width="5" style="298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4" ht="14.1" customHeight="1" x14ac:dyDescent="0.2">
      <c r="A2" s="318" t="s">
        <v>364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20" t="s">
        <v>448</v>
      </c>
    </row>
    <row r="3" spans="1:24" ht="11.1" customHeight="1" x14ac:dyDescent="0.15">
      <c r="A3" s="321" t="s">
        <v>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</row>
    <row r="4" spans="1:24" ht="11.1" customHeight="1" x14ac:dyDescent="0.15">
      <c r="A4" s="311"/>
      <c r="B4" s="322"/>
      <c r="C4" s="323"/>
      <c r="D4" s="324"/>
      <c r="E4" s="324"/>
      <c r="F4" s="324"/>
      <c r="G4" s="324"/>
      <c r="H4" s="324"/>
      <c r="I4" s="324"/>
      <c r="J4" s="325"/>
      <c r="K4" s="322"/>
      <c r="L4" s="324"/>
      <c r="M4" s="326"/>
      <c r="N4" s="325"/>
      <c r="O4" s="322"/>
      <c r="P4" s="325"/>
      <c r="Q4" s="322"/>
      <c r="R4" s="325"/>
      <c r="S4" s="322"/>
      <c r="T4" s="325"/>
    </row>
    <row r="5" spans="1:24" ht="11.1" customHeight="1" x14ac:dyDescent="0.15">
      <c r="A5" s="327"/>
      <c r="B5" s="328"/>
      <c r="C5" s="329"/>
      <c r="D5" s="330" t="s">
        <v>4</v>
      </c>
      <c r="E5" s="331"/>
      <c r="F5" s="331"/>
      <c r="G5" s="331"/>
      <c r="H5" s="331"/>
      <c r="I5" s="331"/>
      <c r="J5" s="332" t="s">
        <v>5</v>
      </c>
      <c r="K5" s="333" t="s">
        <v>6</v>
      </c>
      <c r="L5" s="321" t="s">
        <v>7</v>
      </c>
      <c r="M5" s="334"/>
      <c r="N5" s="327" t="s">
        <v>21</v>
      </c>
      <c r="O5" s="328" t="s">
        <v>8</v>
      </c>
      <c r="P5" s="327" t="s">
        <v>9</v>
      </c>
      <c r="Q5" s="328" t="s">
        <v>10</v>
      </c>
      <c r="R5" s="327" t="s">
        <v>11</v>
      </c>
      <c r="S5" s="328" t="s">
        <v>12</v>
      </c>
      <c r="T5" s="327" t="s">
        <v>49</v>
      </c>
    </row>
    <row r="6" spans="1:24" ht="11.1" customHeight="1" x14ac:dyDescent="0.15">
      <c r="A6" s="327" t="s">
        <v>428</v>
      </c>
      <c r="B6" s="328">
        <v>2019</v>
      </c>
      <c r="C6" s="335" t="s">
        <v>361</v>
      </c>
      <c r="D6" s="336"/>
      <c r="E6" s="336"/>
      <c r="F6" s="336"/>
      <c r="G6" s="336"/>
      <c r="H6" s="336"/>
      <c r="I6" s="336"/>
      <c r="J6" s="332" t="s">
        <v>13</v>
      </c>
      <c r="K6" s="328"/>
      <c r="L6" s="321" t="s">
        <v>371</v>
      </c>
      <c r="M6" s="334"/>
      <c r="N6" s="327" t="s">
        <v>367</v>
      </c>
      <c r="O6" s="337">
        <v>77777</v>
      </c>
      <c r="P6" s="337">
        <v>7777</v>
      </c>
      <c r="Q6" s="337">
        <v>777</v>
      </c>
      <c r="R6" s="337">
        <v>77</v>
      </c>
      <c r="S6" s="337">
        <v>17</v>
      </c>
      <c r="T6" s="337">
        <v>5</v>
      </c>
    </row>
    <row r="7" spans="1:24" ht="10.5" customHeight="1" x14ac:dyDescent="0.15">
      <c r="A7" s="338"/>
      <c r="B7" s="339"/>
      <c r="C7" s="335"/>
      <c r="D7" s="336"/>
      <c r="E7" s="336"/>
      <c r="F7" s="336"/>
      <c r="G7" s="336"/>
      <c r="H7" s="336"/>
      <c r="I7" s="336"/>
      <c r="J7" s="327"/>
      <c r="K7" s="339" t="s">
        <v>367</v>
      </c>
      <c r="L7" s="340" t="s">
        <v>15</v>
      </c>
      <c r="M7" s="341" t="s">
        <v>367</v>
      </c>
      <c r="N7" s="327"/>
      <c r="O7" s="342" t="s">
        <v>15</v>
      </c>
      <c r="P7" s="327" t="s">
        <v>15</v>
      </c>
      <c r="Q7" s="342" t="s">
        <v>15</v>
      </c>
      <c r="R7" s="327" t="s">
        <v>15</v>
      </c>
      <c r="S7" s="342" t="s">
        <v>15</v>
      </c>
      <c r="T7" s="327" t="s">
        <v>15</v>
      </c>
    </row>
    <row r="8" spans="1:24" x14ac:dyDescent="0.15">
      <c r="A8" s="343">
        <v>1</v>
      </c>
      <c r="B8" s="344">
        <v>43467</v>
      </c>
      <c r="C8" s="345" t="s">
        <v>362</v>
      </c>
      <c r="D8" s="310">
        <v>9</v>
      </c>
      <c r="E8" s="310">
        <v>9</v>
      </c>
      <c r="F8" s="310">
        <v>7</v>
      </c>
      <c r="G8" s="310">
        <v>2</v>
      </c>
      <c r="H8" s="310">
        <v>6</v>
      </c>
      <c r="I8" s="310">
        <v>0</v>
      </c>
      <c r="J8" s="311">
        <v>2</v>
      </c>
      <c r="K8" s="312">
        <v>5334715</v>
      </c>
      <c r="L8" s="346" t="s">
        <v>23</v>
      </c>
      <c r="M8" s="314" t="s">
        <v>368</v>
      </c>
      <c r="N8" s="314">
        <v>379298.2</v>
      </c>
      <c r="O8" s="316">
        <v>2</v>
      </c>
      <c r="P8" s="317">
        <v>17</v>
      </c>
      <c r="Q8" s="316">
        <v>161</v>
      </c>
      <c r="R8" s="317">
        <v>1509</v>
      </c>
      <c r="S8" s="316">
        <v>15327</v>
      </c>
      <c r="T8" s="317">
        <v>174290</v>
      </c>
      <c r="V8" s="228"/>
      <c r="X8" s="304"/>
    </row>
    <row r="9" spans="1:24" x14ac:dyDescent="0.15">
      <c r="A9" s="347"/>
      <c r="B9" s="348">
        <v>43470</v>
      </c>
      <c r="C9" s="349" t="s">
        <v>363</v>
      </c>
      <c r="D9" s="336">
        <v>2</v>
      </c>
      <c r="E9" s="336">
        <v>9</v>
      </c>
      <c r="F9" s="336">
        <v>6</v>
      </c>
      <c r="G9" s="336">
        <v>0</v>
      </c>
      <c r="H9" s="336">
        <v>1</v>
      </c>
      <c r="I9" s="336">
        <v>7</v>
      </c>
      <c r="J9" s="327">
        <v>1</v>
      </c>
      <c r="K9" s="350">
        <v>12649242.5</v>
      </c>
      <c r="L9" s="351">
        <v>1</v>
      </c>
      <c r="M9" s="350">
        <v>1277777</v>
      </c>
      <c r="N9" s="352">
        <v>0</v>
      </c>
      <c r="O9" s="353">
        <v>5</v>
      </c>
      <c r="P9" s="354">
        <v>36</v>
      </c>
      <c r="Q9" s="353">
        <v>386</v>
      </c>
      <c r="R9" s="354">
        <v>3870</v>
      </c>
      <c r="S9" s="353">
        <v>39291</v>
      </c>
      <c r="T9" s="354">
        <v>388999</v>
      </c>
      <c r="U9">
        <v>737224</v>
      </c>
      <c r="V9" s="228"/>
      <c r="X9" s="304"/>
    </row>
    <row r="10" spans="1:24" x14ac:dyDescent="0.15">
      <c r="A10" s="343">
        <v>2</v>
      </c>
      <c r="B10" s="344">
        <v>43474</v>
      </c>
      <c r="C10" s="345" t="s">
        <v>362</v>
      </c>
      <c r="D10" s="355">
        <v>0</v>
      </c>
      <c r="E10" s="310">
        <v>2</v>
      </c>
      <c r="F10" s="310">
        <v>3</v>
      </c>
      <c r="G10" s="310">
        <v>6</v>
      </c>
      <c r="H10" s="310">
        <v>3</v>
      </c>
      <c r="I10" s="310">
        <v>2</v>
      </c>
      <c r="J10" s="311">
        <v>5</v>
      </c>
      <c r="K10" s="312">
        <v>5661477.5</v>
      </c>
      <c r="L10" s="313" t="s">
        <v>23</v>
      </c>
      <c r="M10" s="314" t="s">
        <v>368</v>
      </c>
      <c r="N10" s="315">
        <v>402531.1</v>
      </c>
      <c r="O10" s="316">
        <v>2</v>
      </c>
      <c r="P10" s="317">
        <v>28</v>
      </c>
      <c r="Q10" s="316">
        <v>253</v>
      </c>
      <c r="R10" s="317">
        <v>2384</v>
      </c>
      <c r="S10" s="316">
        <v>23768</v>
      </c>
      <c r="T10" s="317">
        <v>231800</v>
      </c>
      <c r="V10" s="228"/>
      <c r="X10" s="304"/>
    </row>
    <row r="11" spans="1:24" x14ac:dyDescent="0.15">
      <c r="A11" s="347"/>
      <c r="B11" s="348">
        <v>43477</v>
      </c>
      <c r="C11" s="349" t="s">
        <v>363</v>
      </c>
      <c r="D11" s="356">
        <v>7</v>
      </c>
      <c r="E11" s="356">
        <v>6</v>
      </c>
      <c r="F11" s="356">
        <v>0</v>
      </c>
      <c r="G11" s="356">
        <v>9</v>
      </c>
      <c r="H11" s="356">
        <v>1</v>
      </c>
      <c r="I11" s="356">
        <v>8</v>
      </c>
      <c r="J11" s="327">
        <v>1</v>
      </c>
      <c r="K11" s="350">
        <v>13045175</v>
      </c>
      <c r="L11" s="351">
        <v>2</v>
      </c>
      <c r="M11" s="350">
        <v>577777</v>
      </c>
      <c r="N11" s="350">
        <v>0</v>
      </c>
      <c r="O11" s="353">
        <v>5</v>
      </c>
      <c r="P11" s="354">
        <v>50</v>
      </c>
      <c r="Q11" s="353">
        <v>369</v>
      </c>
      <c r="R11" s="354">
        <v>3917</v>
      </c>
      <c r="S11" s="353">
        <v>40367</v>
      </c>
      <c r="T11" s="354">
        <v>405151</v>
      </c>
      <c r="V11" s="228"/>
      <c r="X11" s="304"/>
    </row>
    <row r="12" spans="1:24" x14ac:dyDescent="0.15">
      <c r="A12" s="343">
        <v>3</v>
      </c>
      <c r="B12" s="344">
        <v>43481</v>
      </c>
      <c r="C12" s="345" t="s">
        <v>362</v>
      </c>
      <c r="D12" s="355">
        <v>0</v>
      </c>
      <c r="E12" s="310">
        <v>3</v>
      </c>
      <c r="F12" s="310">
        <v>7</v>
      </c>
      <c r="G12" s="310">
        <v>2</v>
      </c>
      <c r="H12" s="310">
        <v>2</v>
      </c>
      <c r="I12" s="310">
        <v>3</v>
      </c>
      <c r="J12" s="311">
        <v>7</v>
      </c>
      <c r="K12" s="312">
        <v>5970032.5</v>
      </c>
      <c r="L12" s="313">
        <v>1</v>
      </c>
      <c r="M12" s="314">
        <v>377777</v>
      </c>
      <c r="N12" s="315">
        <v>0</v>
      </c>
      <c r="O12" s="316">
        <v>5</v>
      </c>
      <c r="P12" s="317">
        <v>25</v>
      </c>
      <c r="Q12" s="316">
        <v>219</v>
      </c>
      <c r="R12" s="317">
        <v>2536</v>
      </c>
      <c r="S12" s="316">
        <v>25288</v>
      </c>
      <c r="T12" s="317">
        <v>263803</v>
      </c>
      <c r="V12" s="228"/>
      <c r="X12" s="304"/>
    </row>
    <row r="13" spans="1:24" x14ac:dyDescent="0.15">
      <c r="A13" s="347"/>
      <c r="B13" s="348">
        <v>43484</v>
      </c>
      <c r="C13" s="349" t="s">
        <v>363</v>
      </c>
      <c r="D13" s="356">
        <v>3</v>
      </c>
      <c r="E13" s="356">
        <v>5</v>
      </c>
      <c r="F13" s="356">
        <v>3</v>
      </c>
      <c r="G13" s="356">
        <v>4</v>
      </c>
      <c r="H13" s="356">
        <v>6</v>
      </c>
      <c r="I13" s="356">
        <v>6</v>
      </c>
      <c r="J13" s="327">
        <v>0</v>
      </c>
      <c r="K13" s="350">
        <v>13336837.5</v>
      </c>
      <c r="L13" s="357">
        <v>1</v>
      </c>
      <c r="M13" s="350">
        <v>877777</v>
      </c>
      <c r="N13" s="352">
        <v>0</v>
      </c>
      <c r="O13" s="353">
        <v>6</v>
      </c>
      <c r="P13" s="354">
        <v>30</v>
      </c>
      <c r="Q13" s="353">
        <v>323</v>
      </c>
      <c r="R13" s="354">
        <v>3592</v>
      </c>
      <c r="S13" s="353">
        <v>36749</v>
      </c>
      <c r="T13" s="354">
        <v>359356</v>
      </c>
      <c r="V13" s="228"/>
      <c r="X13" s="304"/>
    </row>
    <row r="14" spans="1:24" x14ac:dyDescent="0.15">
      <c r="A14" s="343">
        <v>4</v>
      </c>
      <c r="B14" s="344">
        <v>43488</v>
      </c>
      <c r="C14" s="345" t="s">
        <v>362</v>
      </c>
      <c r="D14" s="310">
        <v>3</v>
      </c>
      <c r="E14" s="310">
        <v>8</v>
      </c>
      <c r="F14" s="310">
        <v>5</v>
      </c>
      <c r="G14" s="310">
        <v>2</v>
      </c>
      <c r="H14" s="310">
        <v>0</v>
      </c>
      <c r="I14" s="310">
        <v>7</v>
      </c>
      <c r="J14" s="311">
        <v>9</v>
      </c>
      <c r="K14" s="312">
        <v>7308302.5</v>
      </c>
      <c r="L14" s="313">
        <v>2</v>
      </c>
      <c r="M14" s="314">
        <v>177777</v>
      </c>
      <c r="N14" s="315">
        <v>0</v>
      </c>
      <c r="O14" s="316">
        <v>1</v>
      </c>
      <c r="P14" s="317">
        <v>19</v>
      </c>
      <c r="Q14" s="316">
        <v>290</v>
      </c>
      <c r="R14" s="317">
        <v>2330</v>
      </c>
      <c r="S14" s="316">
        <v>25833</v>
      </c>
      <c r="T14" s="317">
        <v>249125</v>
      </c>
      <c r="V14" s="228"/>
      <c r="X14" s="304"/>
    </row>
    <row r="15" spans="1:24" x14ac:dyDescent="0.15">
      <c r="A15" s="347"/>
      <c r="B15" s="348">
        <v>43491</v>
      </c>
      <c r="C15" s="349" t="s">
        <v>363</v>
      </c>
      <c r="D15" s="336">
        <v>5</v>
      </c>
      <c r="E15" s="336">
        <v>2</v>
      </c>
      <c r="F15" s="336">
        <v>8</v>
      </c>
      <c r="G15" s="336">
        <v>1</v>
      </c>
      <c r="H15" s="336">
        <v>0</v>
      </c>
      <c r="I15" s="336">
        <v>6</v>
      </c>
      <c r="J15" s="327">
        <v>8</v>
      </c>
      <c r="K15" s="350">
        <v>12395295</v>
      </c>
      <c r="L15" s="357" t="s">
        <v>23</v>
      </c>
      <c r="M15" s="350" t="s">
        <v>368</v>
      </c>
      <c r="N15" s="352">
        <v>881305.5</v>
      </c>
      <c r="O15" s="353">
        <v>3</v>
      </c>
      <c r="P15" s="354">
        <v>63</v>
      </c>
      <c r="Q15" s="353">
        <v>511</v>
      </c>
      <c r="R15" s="354">
        <v>4844</v>
      </c>
      <c r="S15" s="353">
        <v>52563</v>
      </c>
      <c r="T15" s="354">
        <v>479393</v>
      </c>
      <c r="V15" s="228"/>
      <c r="X15" s="304"/>
    </row>
    <row r="16" spans="1:24" x14ac:dyDescent="0.15">
      <c r="A16" s="343">
        <v>5</v>
      </c>
      <c r="B16" s="344">
        <v>43495</v>
      </c>
      <c r="C16" s="345" t="s">
        <v>362</v>
      </c>
      <c r="D16" s="310">
        <v>5</v>
      </c>
      <c r="E16" s="310">
        <v>0</v>
      </c>
      <c r="F16" s="310">
        <v>9</v>
      </c>
      <c r="G16" s="310">
        <v>6</v>
      </c>
      <c r="H16" s="310">
        <v>2</v>
      </c>
      <c r="I16" s="310">
        <v>9</v>
      </c>
      <c r="J16" s="311">
        <v>5</v>
      </c>
      <c r="K16" s="312">
        <v>5098475</v>
      </c>
      <c r="L16" s="346" t="s">
        <v>23</v>
      </c>
      <c r="M16" s="314" t="s">
        <v>368</v>
      </c>
      <c r="N16" s="314">
        <v>1243807.1000000001</v>
      </c>
      <c r="O16" s="316">
        <v>3</v>
      </c>
      <c r="P16" s="316">
        <v>21</v>
      </c>
      <c r="Q16" s="316">
        <v>189</v>
      </c>
      <c r="R16" s="316">
        <v>1928</v>
      </c>
      <c r="S16" s="316">
        <v>19790</v>
      </c>
      <c r="T16" s="316">
        <v>214046</v>
      </c>
      <c r="V16" s="228"/>
      <c r="X16" s="304"/>
    </row>
    <row r="17" spans="1:24" x14ac:dyDescent="0.15">
      <c r="A17" s="347"/>
      <c r="B17" s="348">
        <v>43498</v>
      </c>
      <c r="C17" s="349" t="s">
        <v>363</v>
      </c>
      <c r="D17" s="336">
        <v>0</v>
      </c>
      <c r="E17" s="336">
        <v>8</v>
      </c>
      <c r="F17" s="336">
        <v>5</v>
      </c>
      <c r="G17" s="336">
        <v>0</v>
      </c>
      <c r="H17" s="336">
        <v>9</v>
      </c>
      <c r="I17" s="336">
        <v>8</v>
      </c>
      <c r="J17" s="327">
        <v>8</v>
      </c>
      <c r="K17" s="350">
        <v>12839902.5</v>
      </c>
      <c r="L17" s="357" t="s">
        <v>23</v>
      </c>
      <c r="M17" s="350" t="s">
        <v>368</v>
      </c>
      <c r="N17" s="350">
        <v>2156724.2000000007</v>
      </c>
      <c r="O17" s="353">
        <v>7</v>
      </c>
      <c r="P17" s="354">
        <v>46</v>
      </c>
      <c r="Q17" s="353">
        <v>480</v>
      </c>
      <c r="R17" s="354">
        <v>5150</v>
      </c>
      <c r="S17" s="353">
        <v>53432</v>
      </c>
      <c r="T17" s="354">
        <v>498749</v>
      </c>
      <c r="V17" s="228"/>
      <c r="X17" s="304"/>
    </row>
    <row r="18" spans="1:24" x14ac:dyDescent="0.15">
      <c r="A18" s="343">
        <v>6</v>
      </c>
      <c r="B18" s="344">
        <v>43502</v>
      </c>
      <c r="C18" s="345" t="s">
        <v>362</v>
      </c>
      <c r="D18" s="310">
        <v>6</v>
      </c>
      <c r="E18" s="310">
        <v>5</v>
      </c>
      <c r="F18" s="310">
        <v>3</v>
      </c>
      <c r="G18" s="310">
        <v>6</v>
      </c>
      <c r="H18" s="310">
        <v>5</v>
      </c>
      <c r="I18" s="310">
        <v>0</v>
      </c>
      <c r="J18" s="311">
        <v>8</v>
      </c>
      <c r="K18" s="312">
        <v>5366745</v>
      </c>
      <c r="L18" s="346" t="s">
        <v>23</v>
      </c>
      <c r="M18" s="314" t="s">
        <v>368</v>
      </c>
      <c r="N18" s="314">
        <v>2538299.8000000003</v>
      </c>
      <c r="O18" s="316">
        <v>3</v>
      </c>
      <c r="P18" s="317">
        <v>13</v>
      </c>
      <c r="Q18" s="316">
        <v>170</v>
      </c>
      <c r="R18" s="317">
        <v>1727</v>
      </c>
      <c r="S18" s="316">
        <v>17050</v>
      </c>
      <c r="T18" s="317">
        <v>207848</v>
      </c>
      <c r="V18" s="228"/>
      <c r="X18" s="304"/>
    </row>
    <row r="19" spans="1:24" x14ac:dyDescent="0.15">
      <c r="A19" s="347"/>
      <c r="B19" s="348">
        <v>43505</v>
      </c>
      <c r="C19" s="349" t="s">
        <v>363</v>
      </c>
      <c r="D19" s="336">
        <v>9</v>
      </c>
      <c r="E19" s="336">
        <v>2</v>
      </c>
      <c r="F19" s="336">
        <v>7</v>
      </c>
      <c r="G19" s="336">
        <v>1</v>
      </c>
      <c r="H19" s="336">
        <v>0</v>
      </c>
      <c r="I19" s="336">
        <v>6</v>
      </c>
      <c r="J19" s="327">
        <v>4</v>
      </c>
      <c r="K19" s="350">
        <v>12506472.5</v>
      </c>
      <c r="L19" s="357" t="s">
        <v>23</v>
      </c>
      <c r="M19" s="350" t="s">
        <v>368</v>
      </c>
      <c r="N19" s="352">
        <v>3427510</v>
      </c>
      <c r="O19" s="353">
        <v>8</v>
      </c>
      <c r="P19" s="354">
        <v>33</v>
      </c>
      <c r="Q19" s="353">
        <v>411</v>
      </c>
      <c r="R19" s="354">
        <v>4188</v>
      </c>
      <c r="S19" s="353">
        <v>44393</v>
      </c>
      <c r="T19" s="354">
        <v>415196</v>
      </c>
      <c r="V19" s="228"/>
      <c r="X19" s="304"/>
    </row>
    <row r="20" spans="1:24" x14ac:dyDescent="0.15">
      <c r="A20" s="343">
        <v>7</v>
      </c>
      <c r="B20" s="344">
        <v>43509</v>
      </c>
      <c r="C20" s="345" t="s">
        <v>362</v>
      </c>
      <c r="D20" s="310">
        <v>6</v>
      </c>
      <c r="E20" s="310">
        <v>4</v>
      </c>
      <c r="F20" s="310">
        <v>9</v>
      </c>
      <c r="G20" s="310">
        <v>0</v>
      </c>
      <c r="H20" s="310">
        <v>2</v>
      </c>
      <c r="I20" s="310">
        <v>6</v>
      </c>
      <c r="J20" s="311">
        <v>6</v>
      </c>
      <c r="K20" s="312">
        <v>5194265</v>
      </c>
      <c r="L20" s="346" t="s">
        <v>23</v>
      </c>
      <c r="M20" s="314" t="s">
        <v>368</v>
      </c>
      <c r="N20" s="315">
        <v>3796822.2000000011</v>
      </c>
      <c r="O20" s="316">
        <v>2</v>
      </c>
      <c r="P20" s="317">
        <v>12</v>
      </c>
      <c r="Q20" s="316">
        <v>218</v>
      </c>
      <c r="R20" s="317">
        <v>2010</v>
      </c>
      <c r="S20" s="316">
        <v>22559</v>
      </c>
      <c r="T20" s="317">
        <v>193814</v>
      </c>
      <c r="V20" s="228"/>
      <c r="X20" s="304"/>
    </row>
    <row r="21" spans="1:24" x14ac:dyDescent="0.15">
      <c r="A21" s="347"/>
      <c r="B21" s="348">
        <v>43512</v>
      </c>
      <c r="C21" s="349" t="s">
        <v>363</v>
      </c>
      <c r="D21" s="336">
        <v>3</v>
      </c>
      <c r="E21" s="336">
        <v>7</v>
      </c>
      <c r="F21" s="336">
        <v>4</v>
      </c>
      <c r="G21" s="336">
        <v>1</v>
      </c>
      <c r="H21" s="336">
        <v>1</v>
      </c>
      <c r="I21" s="336">
        <v>4</v>
      </c>
      <c r="J21" s="327">
        <v>2</v>
      </c>
      <c r="K21" s="350">
        <v>12206142.5</v>
      </c>
      <c r="L21" s="357" t="s">
        <v>23</v>
      </c>
      <c r="M21" s="350" t="s">
        <v>368</v>
      </c>
      <c r="N21" s="352">
        <v>4664678.8999999994</v>
      </c>
      <c r="O21" s="353">
        <v>3</v>
      </c>
      <c r="P21" s="354">
        <v>50</v>
      </c>
      <c r="Q21" s="353">
        <v>411</v>
      </c>
      <c r="R21" s="354">
        <v>3968</v>
      </c>
      <c r="S21" s="353">
        <v>40388</v>
      </c>
      <c r="T21" s="354">
        <v>397634</v>
      </c>
      <c r="U21" s="240"/>
      <c r="V21" s="228"/>
      <c r="X21" s="304"/>
    </row>
    <row r="22" spans="1:24" x14ac:dyDescent="0.15">
      <c r="A22" s="343">
        <v>8</v>
      </c>
      <c r="B22" s="344">
        <v>43516</v>
      </c>
      <c r="C22" s="345" t="s">
        <v>362</v>
      </c>
      <c r="D22" s="310">
        <v>8</v>
      </c>
      <c r="E22" s="310">
        <v>0</v>
      </c>
      <c r="F22" s="310">
        <v>6</v>
      </c>
      <c r="G22" s="310">
        <v>5</v>
      </c>
      <c r="H22" s="310">
        <v>1</v>
      </c>
      <c r="I22" s="310">
        <v>1</v>
      </c>
      <c r="J22" s="311">
        <v>5</v>
      </c>
      <c r="K22" s="312">
        <v>4975830</v>
      </c>
      <c r="L22" s="346" t="s">
        <v>23</v>
      </c>
      <c r="M22" s="314" t="s">
        <v>368</v>
      </c>
      <c r="N22" s="315">
        <v>5018460.4000000004</v>
      </c>
      <c r="O22" s="316">
        <v>1</v>
      </c>
      <c r="P22" s="317">
        <v>27</v>
      </c>
      <c r="Q22" s="316">
        <v>176</v>
      </c>
      <c r="R22" s="317">
        <v>1937</v>
      </c>
      <c r="S22" s="316">
        <v>19958</v>
      </c>
      <c r="T22" s="317">
        <v>207579</v>
      </c>
      <c r="V22" s="228"/>
      <c r="X22" s="304"/>
    </row>
    <row r="23" spans="1:24" x14ac:dyDescent="0.15">
      <c r="A23" s="347"/>
      <c r="B23" s="348">
        <v>43519</v>
      </c>
      <c r="C23" s="349" t="s">
        <v>363</v>
      </c>
      <c r="D23" s="336">
        <v>1</v>
      </c>
      <c r="E23" s="336">
        <v>0</v>
      </c>
      <c r="F23" s="336">
        <v>0</v>
      </c>
      <c r="G23" s="336">
        <v>5</v>
      </c>
      <c r="H23" s="336">
        <v>5</v>
      </c>
      <c r="I23" s="336">
        <v>1</v>
      </c>
      <c r="J23" s="327">
        <v>7</v>
      </c>
      <c r="K23" s="350">
        <v>12098577.5</v>
      </c>
      <c r="L23" s="357" t="s">
        <v>23</v>
      </c>
      <c r="M23" s="350" t="s">
        <v>368</v>
      </c>
      <c r="N23" s="352">
        <v>5878669.2999999998</v>
      </c>
      <c r="O23" s="353">
        <v>3</v>
      </c>
      <c r="P23" s="354">
        <v>42</v>
      </c>
      <c r="Q23" s="353">
        <v>509</v>
      </c>
      <c r="R23" s="354">
        <v>5244</v>
      </c>
      <c r="S23" s="353">
        <v>52809</v>
      </c>
      <c r="T23" s="354">
        <v>528538</v>
      </c>
      <c r="V23" s="228"/>
      <c r="X23" s="304"/>
    </row>
    <row r="24" spans="1:24" x14ac:dyDescent="0.15">
      <c r="A24" s="343">
        <v>9</v>
      </c>
      <c r="B24" s="344">
        <v>43523</v>
      </c>
      <c r="C24" s="345" t="s">
        <v>362</v>
      </c>
      <c r="D24" s="310">
        <v>7</v>
      </c>
      <c r="E24" s="310">
        <v>2</v>
      </c>
      <c r="F24" s="310">
        <v>3</v>
      </c>
      <c r="G24" s="310">
        <v>7</v>
      </c>
      <c r="H24" s="310">
        <v>8</v>
      </c>
      <c r="I24" s="310">
        <v>5</v>
      </c>
      <c r="J24" s="311">
        <v>3</v>
      </c>
      <c r="K24" s="312">
        <v>4962805</v>
      </c>
      <c r="L24" s="346" t="s">
        <v>23</v>
      </c>
      <c r="M24" s="314" t="s">
        <v>368</v>
      </c>
      <c r="N24" s="315">
        <v>6231524.7000000002</v>
      </c>
      <c r="O24" s="316">
        <v>5</v>
      </c>
      <c r="P24" s="317">
        <v>24</v>
      </c>
      <c r="Q24" s="316">
        <v>232</v>
      </c>
      <c r="R24" s="317">
        <v>2145</v>
      </c>
      <c r="S24" s="316">
        <v>20407</v>
      </c>
      <c r="T24" s="317">
        <v>192393</v>
      </c>
      <c r="V24" s="228"/>
      <c r="X24" s="304"/>
    </row>
    <row r="25" spans="1:24" x14ac:dyDescent="0.15">
      <c r="A25" s="347"/>
      <c r="B25" s="348">
        <v>43526</v>
      </c>
      <c r="C25" s="349" t="s">
        <v>363</v>
      </c>
      <c r="D25" s="336">
        <v>5</v>
      </c>
      <c r="E25" s="336">
        <v>5</v>
      </c>
      <c r="F25" s="336">
        <v>1</v>
      </c>
      <c r="G25" s="336">
        <v>8</v>
      </c>
      <c r="H25" s="336">
        <v>3</v>
      </c>
      <c r="I25" s="336">
        <v>9</v>
      </c>
      <c r="J25" s="327">
        <v>4</v>
      </c>
      <c r="K25" s="350">
        <v>12435090</v>
      </c>
      <c r="L25" s="357" t="s">
        <v>23</v>
      </c>
      <c r="M25" s="350" t="s">
        <v>368</v>
      </c>
      <c r="N25" s="352">
        <v>7115659.6000000006</v>
      </c>
      <c r="O25" s="353">
        <v>7</v>
      </c>
      <c r="P25" s="354">
        <v>48</v>
      </c>
      <c r="Q25" s="353">
        <v>421</v>
      </c>
      <c r="R25" s="354">
        <v>4065</v>
      </c>
      <c r="S25" s="353">
        <v>39365</v>
      </c>
      <c r="T25" s="354">
        <v>423437</v>
      </c>
      <c r="V25" s="228"/>
      <c r="X25" s="304"/>
    </row>
    <row r="26" spans="1:24" x14ac:dyDescent="0.15">
      <c r="A26" s="343">
        <v>10</v>
      </c>
      <c r="B26" s="344">
        <v>43530</v>
      </c>
      <c r="C26" s="345" t="s">
        <v>362</v>
      </c>
      <c r="D26" s="310">
        <v>6</v>
      </c>
      <c r="E26" s="310">
        <v>5</v>
      </c>
      <c r="F26" s="310">
        <v>9</v>
      </c>
      <c r="G26" s="310">
        <v>8</v>
      </c>
      <c r="H26" s="310">
        <v>8</v>
      </c>
      <c r="I26" s="310">
        <v>2</v>
      </c>
      <c r="J26" s="311">
        <v>9</v>
      </c>
      <c r="K26" s="312">
        <v>5120107.5</v>
      </c>
      <c r="L26" s="346">
        <v>1</v>
      </c>
      <c r="M26" s="314">
        <v>7477777</v>
      </c>
      <c r="N26" s="315">
        <v>0</v>
      </c>
      <c r="O26" s="316">
        <v>1</v>
      </c>
      <c r="P26" s="317">
        <v>20</v>
      </c>
      <c r="Q26" s="316">
        <v>145</v>
      </c>
      <c r="R26" s="317">
        <v>1722</v>
      </c>
      <c r="S26" s="316">
        <v>17489</v>
      </c>
      <c r="T26" s="317">
        <v>175826</v>
      </c>
      <c r="V26" s="228"/>
      <c r="X26" s="304"/>
    </row>
    <row r="27" spans="1:24" x14ac:dyDescent="0.15">
      <c r="A27" s="347"/>
      <c r="B27" s="348">
        <v>43533</v>
      </c>
      <c r="C27" s="349" t="s">
        <v>363</v>
      </c>
      <c r="D27" s="336">
        <v>5</v>
      </c>
      <c r="E27" s="336">
        <v>7</v>
      </c>
      <c r="F27" s="336">
        <v>6</v>
      </c>
      <c r="G27" s="336">
        <v>2</v>
      </c>
      <c r="H27" s="336">
        <v>1</v>
      </c>
      <c r="I27" s="336">
        <v>0</v>
      </c>
      <c r="J27" s="327">
        <v>5</v>
      </c>
      <c r="K27" s="350">
        <v>12214792.5</v>
      </c>
      <c r="L27" s="357">
        <v>1</v>
      </c>
      <c r="M27" s="350">
        <v>777777</v>
      </c>
      <c r="N27" s="352">
        <v>0</v>
      </c>
      <c r="O27" s="353">
        <v>2</v>
      </c>
      <c r="P27" s="354">
        <v>45</v>
      </c>
      <c r="Q27" s="353">
        <v>433</v>
      </c>
      <c r="R27" s="354">
        <v>4423</v>
      </c>
      <c r="S27" s="353">
        <v>42175</v>
      </c>
      <c r="T27" s="354">
        <v>521212</v>
      </c>
      <c r="V27" s="228"/>
      <c r="X27" s="304"/>
    </row>
    <row r="28" spans="1:24" x14ac:dyDescent="0.15">
      <c r="A28" s="343">
        <v>11</v>
      </c>
      <c r="B28" s="344">
        <v>43537</v>
      </c>
      <c r="C28" s="345" t="s">
        <v>362</v>
      </c>
      <c r="D28" s="310">
        <v>5</v>
      </c>
      <c r="E28" s="310">
        <v>5</v>
      </c>
      <c r="F28" s="310">
        <v>9</v>
      </c>
      <c r="G28" s="310">
        <v>7</v>
      </c>
      <c r="H28" s="310">
        <v>3</v>
      </c>
      <c r="I28" s="310">
        <v>7</v>
      </c>
      <c r="J28" s="311">
        <v>2</v>
      </c>
      <c r="K28" s="312">
        <v>5054232.5</v>
      </c>
      <c r="L28" s="346">
        <v>1</v>
      </c>
      <c r="M28" s="314">
        <v>277777</v>
      </c>
      <c r="N28" s="315">
        <v>0</v>
      </c>
      <c r="O28" s="316">
        <v>2</v>
      </c>
      <c r="P28" s="317">
        <v>22</v>
      </c>
      <c r="Q28" s="316">
        <v>156</v>
      </c>
      <c r="R28" s="317">
        <v>1654</v>
      </c>
      <c r="S28" s="316">
        <v>16090</v>
      </c>
      <c r="T28" s="317">
        <v>160893</v>
      </c>
      <c r="V28" s="228"/>
      <c r="X28" s="304"/>
    </row>
    <row r="29" spans="1:24" x14ac:dyDescent="0.15">
      <c r="A29" s="347"/>
      <c r="B29" s="348">
        <v>43540</v>
      </c>
      <c r="C29" s="349" t="s">
        <v>363</v>
      </c>
      <c r="D29" s="336">
        <v>0</v>
      </c>
      <c r="E29" s="336">
        <v>7</v>
      </c>
      <c r="F29" s="336">
        <v>8</v>
      </c>
      <c r="G29" s="336">
        <v>4</v>
      </c>
      <c r="H29" s="336">
        <v>7</v>
      </c>
      <c r="I29" s="336">
        <v>0</v>
      </c>
      <c r="J29" s="327">
        <v>4</v>
      </c>
      <c r="K29" s="350">
        <v>12369752.5</v>
      </c>
      <c r="L29" s="357">
        <v>1</v>
      </c>
      <c r="M29" s="350">
        <v>877777</v>
      </c>
      <c r="N29" s="352">
        <v>0</v>
      </c>
      <c r="O29" s="353">
        <v>7</v>
      </c>
      <c r="P29" s="354">
        <v>30</v>
      </c>
      <c r="Q29" s="353">
        <v>380</v>
      </c>
      <c r="R29" s="354">
        <v>3858</v>
      </c>
      <c r="S29" s="353">
        <v>37336</v>
      </c>
      <c r="T29" s="354">
        <v>423540</v>
      </c>
      <c r="V29" s="228"/>
      <c r="X29" s="304"/>
    </row>
    <row r="30" spans="1:24" x14ac:dyDescent="0.15">
      <c r="A30" s="343">
        <v>12</v>
      </c>
      <c r="B30" s="344">
        <v>43544</v>
      </c>
      <c r="C30" s="345" t="s">
        <v>362</v>
      </c>
      <c r="D30" s="310">
        <v>1</v>
      </c>
      <c r="E30" s="310">
        <v>5</v>
      </c>
      <c r="F30" s="310">
        <v>1</v>
      </c>
      <c r="G30" s="310">
        <v>2</v>
      </c>
      <c r="H30" s="310">
        <v>5</v>
      </c>
      <c r="I30" s="310">
        <v>3</v>
      </c>
      <c r="J30" s="311">
        <v>5</v>
      </c>
      <c r="K30" s="312">
        <v>4960817.5</v>
      </c>
      <c r="L30" s="346" t="s">
        <v>23</v>
      </c>
      <c r="M30" s="314" t="s">
        <v>368</v>
      </c>
      <c r="N30" s="315">
        <v>352714.09999999992</v>
      </c>
      <c r="O30" s="316">
        <v>3</v>
      </c>
      <c r="P30" s="317">
        <v>17</v>
      </c>
      <c r="Q30" s="316">
        <v>238</v>
      </c>
      <c r="R30" s="317">
        <v>2149</v>
      </c>
      <c r="S30" s="316">
        <v>20710</v>
      </c>
      <c r="T30" s="317">
        <v>207711</v>
      </c>
      <c r="V30" s="228"/>
      <c r="X30" s="304"/>
    </row>
    <row r="31" spans="1:24" x14ac:dyDescent="0.15">
      <c r="A31" s="347"/>
      <c r="B31" s="348">
        <v>43547</v>
      </c>
      <c r="C31" s="349" t="s">
        <v>363</v>
      </c>
      <c r="D31" s="336">
        <v>1</v>
      </c>
      <c r="E31" s="336">
        <v>4</v>
      </c>
      <c r="F31" s="336">
        <v>8</v>
      </c>
      <c r="G31" s="336">
        <v>4</v>
      </c>
      <c r="H31" s="336">
        <v>9</v>
      </c>
      <c r="I31" s="336">
        <v>9</v>
      </c>
      <c r="J31" s="327">
        <v>0</v>
      </c>
      <c r="K31" s="350">
        <v>11853652.5</v>
      </c>
      <c r="L31" s="357" t="s">
        <v>23</v>
      </c>
      <c r="M31" s="350" t="s">
        <v>368</v>
      </c>
      <c r="N31" s="352">
        <v>1195508.7999999996</v>
      </c>
      <c r="O31" s="353">
        <v>4</v>
      </c>
      <c r="P31" s="354">
        <v>29</v>
      </c>
      <c r="Q31" s="353">
        <v>282</v>
      </c>
      <c r="R31" s="354">
        <v>3079</v>
      </c>
      <c r="S31" s="353">
        <v>29563</v>
      </c>
      <c r="T31" s="354">
        <v>318522</v>
      </c>
      <c r="V31" s="228"/>
      <c r="X31" s="304"/>
    </row>
    <row r="32" spans="1:24" x14ac:dyDescent="0.15">
      <c r="A32" s="343">
        <v>13</v>
      </c>
      <c r="B32" s="344">
        <v>43551</v>
      </c>
      <c r="C32" s="345" t="s">
        <v>362</v>
      </c>
      <c r="D32" s="310">
        <v>2</v>
      </c>
      <c r="E32" s="310">
        <v>7</v>
      </c>
      <c r="F32" s="310">
        <v>2</v>
      </c>
      <c r="G32" s="310">
        <v>2</v>
      </c>
      <c r="H32" s="310">
        <v>6</v>
      </c>
      <c r="I32" s="310">
        <v>8</v>
      </c>
      <c r="J32" s="311">
        <v>4</v>
      </c>
      <c r="K32" s="312">
        <v>4775165</v>
      </c>
      <c r="L32" s="346" t="s">
        <v>23</v>
      </c>
      <c r="M32" s="314" t="s">
        <v>368</v>
      </c>
      <c r="N32" s="315">
        <v>1535022.9999999995</v>
      </c>
      <c r="O32" s="316">
        <v>2</v>
      </c>
      <c r="P32" s="317">
        <v>15</v>
      </c>
      <c r="Q32" s="316">
        <v>154</v>
      </c>
      <c r="R32" s="317">
        <v>1646</v>
      </c>
      <c r="S32" s="316">
        <v>16096</v>
      </c>
      <c r="T32" s="317">
        <v>162679</v>
      </c>
      <c r="V32" s="228"/>
      <c r="X32" s="304"/>
    </row>
    <row r="33" spans="1:24" x14ac:dyDescent="0.15">
      <c r="A33" s="347"/>
      <c r="B33" s="348">
        <v>43554</v>
      </c>
      <c r="C33" s="349" t="s">
        <v>363</v>
      </c>
      <c r="D33" s="336">
        <v>3</v>
      </c>
      <c r="E33" s="336">
        <v>9</v>
      </c>
      <c r="F33" s="336">
        <v>0</v>
      </c>
      <c r="G33" s="336">
        <v>5</v>
      </c>
      <c r="H33" s="336">
        <v>7</v>
      </c>
      <c r="I33" s="336">
        <v>8</v>
      </c>
      <c r="J33" s="327">
        <v>6</v>
      </c>
      <c r="K33" s="350">
        <v>11896455</v>
      </c>
      <c r="L33" s="357" t="s">
        <v>23</v>
      </c>
      <c r="M33" s="350" t="s">
        <v>368</v>
      </c>
      <c r="N33" s="352">
        <v>2380860.9999999991</v>
      </c>
      <c r="O33" s="353">
        <v>5</v>
      </c>
      <c r="P33" s="354">
        <v>52</v>
      </c>
      <c r="Q33" s="353">
        <v>469</v>
      </c>
      <c r="R33" s="354">
        <v>4434</v>
      </c>
      <c r="S33" s="353">
        <v>43649</v>
      </c>
      <c r="T33" s="354">
        <v>444270</v>
      </c>
      <c r="U33" s="240"/>
      <c r="V33" s="228"/>
      <c r="X33" s="304"/>
    </row>
    <row r="34" spans="1:24" x14ac:dyDescent="0.15">
      <c r="A34" s="343">
        <v>14</v>
      </c>
      <c r="B34" s="344">
        <v>43558</v>
      </c>
      <c r="C34" s="345" t="s">
        <v>362</v>
      </c>
      <c r="D34" s="310">
        <v>2</v>
      </c>
      <c r="E34" s="310">
        <v>3</v>
      </c>
      <c r="F34" s="310">
        <v>6</v>
      </c>
      <c r="G34" s="310">
        <v>5</v>
      </c>
      <c r="H34" s="310">
        <v>2</v>
      </c>
      <c r="I34" s="310">
        <v>3</v>
      </c>
      <c r="J34" s="311">
        <v>6</v>
      </c>
      <c r="K34" s="312">
        <v>5002675</v>
      </c>
      <c r="L34" s="346" t="s">
        <v>23</v>
      </c>
      <c r="M34" s="314" t="s">
        <v>368</v>
      </c>
      <c r="N34" s="315">
        <v>2736551.1999999988</v>
      </c>
      <c r="O34" s="316" t="s">
        <v>17</v>
      </c>
      <c r="P34" s="317">
        <v>27</v>
      </c>
      <c r="Q34" s="316">
        <v>193</v>
      </c>
      <c r="R34" s="317">
        <v>1986</v>
      </c>
      <c r="S34" s="316">
        <v>19838</v>
      </c>
      <c r="T34" s="317">
        <v>189957</v>
      </c>
      <c r="V34" s="228"/>
      <c r="X34" s="304"/>
    </row>
    <row r="35" spans="1:24" x14ac:dyDescent="0.15">
      <c r="A35" s="347"/>
      <c r="B35" s="348">
        <v>43561</v>
      </c>
      <c r="C35" s="349" t="s">
        <v>363</v>
      </c>
      <c r="D35" s="336">
        <v>4</v>
      </c>
      <c r="E35" s="336">
        <v>2</v>
      </c>
      <c r="F35" s="336">
        <v>3</v>
      </c>
      <c r="G35" s="336">
        <v>3</v>
      </c>
      <c r="H35" s="336">
        <v>9</v>
      </c>
      <c r="I35" s="336">
        <v>4</v>
      </c>
      <c r="J35" s="327">
        <v>8</v>
      </c>
      <c r="K35" s="350">
        <v>12068595</v>
      </c>
      <c r="L35" s="357" t="s">
        <v>23</v>
      </c>
      <c r="M35" s="350" t="s">
        <v>368</v>
      </c>
      <c r="N35" s="352">
        <v>3594628.2999999984</v>
      </c>
      <c r="O35" s="353">
        <v>2</v>
      </c>
      <c r="P35" s="354">
        <v>45</v>
      </c>
      <c r="Q35" s="353">
        <v>511</v>
      </c>
      <c r="R35" s="354">
        <v>5088</v>
      </c>
      <c r="S35" s="353">
        <v>48739</v>
      </c>
      <c r="T35" s="354">
        <v>469463</v>
      </c>
      <c r="V35" s="228"/>
      <c r="X35" s="304"/>
    </row>
    <row r="36" spans="1:24" x14ac:dyDescent="0.15">
      <c r="A36" s="343">
        <v>15</v>
      </c>
      <c r="B36" s="344">
        <v>43565</v>
      </c>
      <c r="C36" s="345" t="s">
        <v>362</v>
      </c>
      <c r="D36" s="310">
        <v>9</v>
      </c>
      <c r="E36" s="310">
        <v>8</v>
      </c>
      <c r="F36" s="310">
        <v>6</v>
      </c>
      <c r="G36" s="310">
        <v>5</v>
      </c>
      <c r="H36" s="310">
        <v>8</v>
      </c>
      <c r="I36" s="310">
        <v>2</v>
      </c>
      <c r="J36" s="311">
        <v>5</v>
      </c>
      <c r="K36" s="312">
        <v>4840782.5</v>
      </c>
      <c r="L36" s="313" t="s">
        <v>23</v>
      </c>
      <c r="M36" s="314" t="s">
        <v>368</v>
      </c>
      <c r="N36" s="315">
        <v>3938807.899999999</v>
      </c>
      <c r="O36" s="316">
        <v>2</v>
      </c>
      <c r="P36" s="317">
        <v>20</v>
      </c>
      <c r="Q36" s="316">
        <v>227</v>
      </c>
      <c r="R36" s="317">
        <v>2084</v>
      </c>
      <c r="S36" s="316">
        <v>21241</v>
      </c>
      <c r="T36" s="317">
        <v>203214</v>
      </c>
      <c r="V36" s="228"/>
      <c r="X36" s="304"/>
    </row>
    <row r="37" spans="1:24" x14ac:dyDescent="0.15">
      <c r="A37" s="347"/>
      <c r="B37" s="348">
        <v>43568</v>
      </c>
      <c r="C37" s="349" t="s">
        <v>363</v>
      </c>
      <c r="D37" s="336">
        <v>3</v>
      </c>
      <c r="E37" s="336">
        <v>6</v>
      </c>
      <c r="F37" s="336">
        <v>0</v>
      </c>
      <c r="G37" s="336">
        <v>2</v>
      </c>
      <c r="H37" s="336">
        <v>8</v>
      </c>
      <c r="I37" s="336">
        <v>8</v>
      </c>
      <c r="J37" s="327">
        <v>0</v>
      </c>
      <c r="K37" s="350">
        <v>11999727.5</v>
      </c>
      <c r="L37" s="357" t="s">
        <v>23</v>
      </c>
      <c r="M37" s="350" t="s">
        <v>368</v>
      </c>
      <c r="N37" s="352">
        <v>4791988.4999999991</v>
      </c>
      <c r="O37" s="353">
        <v>2</v>
      </c>
      <c r="P37" s="354">
        <v>33</v>
      </c>
      <c r="Q37" s="353">
        <v>324</v>
      </c>
      <c r="R37" s="354">
        <v>3250</v>
      </c>
      <c r="S37" s="353">
        <v>32180</v>
      </c>
      <c r="T37" s="354">
        <v>322721</v>
      </c>
      <c r="V37" s="228"/>
      <c r="X37" s="304"/>
    </row>
    <row r="38" spans="1:24" x14ac:dyDescent="0.15">
      <c r="A38" s="343">
        <v>16</v>
      </c>
      <c r="B38" s="344">
        <v>43572</v>
      </c>
      <c r="C38" s="345" t="s">
        <v>362</v>
      </c>
      <c r="D38" s="310">
        <v>6</v>
      </c>
      <c r="E38" s="310">
        <v>3</v>
      </c>
      <c r="F38" s="310">
        <v>9</v>
      </c>
      <c r="G38" s="310">
        <v>1</v>
      </c>
      <c r="H38" s="310">
        <v>2</v>
      </c>
      <c r="I38" s="310">
        <v>1</v>
      </c>
      <c r="J38" s="311">
        <v>5</v>
      </c>
      <c r="K38" s="312">
        <v>5078080</v>
      </c>
      <c r="L38" s="313">
        <v>1</v>
      </c>
      <c r="M38" s="314">
        <v>5077777</v>
      </c>
      <c r="N38" s="315">
        <v>0</v>
      </c>
      <c r="O38" s="316">
        <v>3</v>
      </c>
      <c r="P38" s="317">
        <v>20</v>
      </c>
      <c r="Q38" s="316">
        <v>216</v>
      </c>
      <c r="R38" s="317">
        <v>2092</v>
      </c>
      <c r="S38" s="316">
        <v>20821</v>
      </c>
      <c r="T38" s="317">
        <v>214591</v>
      </c>
      <c r="V38" s="228"/>
      <c r="X38" s="304"/>
    </row>
    <row r="39" spans="1:24" x14ac:dyDescent="0.15">
      <c r="A39" s="347"/>
      <c r="B39" s="348">
        <v>43575</v>
      </c>
      <c r="C39" s="349" t="s">
        <v>363</v>
      </c>
      <c r="D39" s="336">
        <v>7</v>
      </c>
      <c r="E39" s="336">
        <v>9</v>
      </c>
      <c r="F39" s="336">
        <v>0</v>
      </c>
      <c r="G39" s="336">
        <v>2</v>
      </c>
      <c r="H39" s="336">
        <v>8</v>
      </c>
      <c r="I39" s="336">
        <v>4</v>
      </c>
      <c r="J39" s="327">
        <v>9</v>
      </c>
      <c r="K39" s="350">
        <v>12068780</v>
      </c>
      <c r="L39" s="357" t="s">
        <v>23</v>
      </c>
      <c r="M39" s="350" t="s">
        <v>368</v>
      </c>
      <c r="N39" s="352">
        <v>858090.3</v>
      </c>
      <c r="O39" s="353">
        <v>6</v>
      </c>
      <c r="P39" s="354">
        <v>51</v>
      </c>
      <c r="Q39" s="353">
        <v>471</v>
      </c>
      <c r="R39" s="354">
        <v>4673</v>
      </c>
      <c r="S39" s="353">
        <v>44564</v>
      </c>
      <c r="T39" s="354">
        <v>434563</v>
      </c>
      <c r="V39" s="228"/>
      <c r="X39" s="304"/>
    </row>
    <row r="40" spans="1:24" x14ac:dyDescent="0.15">
      <c r="A40" s="343">
        <v>17</v>
      </c>
      <c r="B40" s="344">
        <v>43579</v>
      </c>
      <c r="C40" s="345" t="s">
        <v>362</v>
      </c>
      <c r="D40" s="310">
        <v>2</v>
      </c>
      <c r="E40" s="310">
        <v>2</v>
      </c>
      <c r="F40" s="310">
        <v>9</v>
      </c>
      <c r="G40" s="310">
        <v>2</v>
      </c>
      <c r="H40" s="310">
        <v>4</v>
      </c>
      <c r="I40" s="310">
        <v>1</v>
      </c>
      <c r="J40" s="311">
        <v>1</v>
      </c>
      <c r="K40" s="312">
        <v>4871380</v>
      </c>
      <c r="L40" s="346" t="s">
        <v>23</v>
      </c>
      <c r="M40" s="314" t="s">
        <v>368</v>
      </c>
      <c r="N40" s="315">
        <v>1204445.3999999997</v>
      </c>
      <c r="O40" s="316">
        <v>1</v>
      </c>
      <c r="P40" s="317">
        <v>9</v>
      </c>
      <c r="Q40" s="316">
        <v>165</v>
      </c>
      <c r="R40" s="317">
        <v>1412</v>
      </c>
      <c r="S40" s="316">
        <v>15578</v>
      </c>
      <c r="T40" s="317">
        <v>145307</v>
      </c>
      <c r="V40" s="228"/>
      <c r="X40" s="304"/>
    </row>
    <row r="41" spans="1:24" x14ac:dyDescent="0.15">
      <c r="A41" s="347"/>
      <c r="B41" s="348">
        <v>43582</v>
      </c>
      <c r="C41" s="349" t="s">
        <v>363</v>
      </c>
      <c r="D41" s="336">
        <v>3</v>
      </c>
      <c r="E41" s="336">
        <v>8</v>
      </c>
      <c r="F41" s="336">
        <v>6</v>
      </c>
      <c r="G41" s="336">
        <v>4</v>
      </c>
      <c r="H41" s="336">
        <v>2</v>
      </c>
      <c r="I41" s="336">
        <v>1</v>
      </c>
      <c r="J41" s="327">
        <v>8</v>
      </c>
      <c r="K41" s="350">
        <v>11941245</v>
      </c>
      <c r="L41" s="357" t="s">
        <v>23</v>
      </c>
      <c r="M41" s="350" t="s">
        <v>368</v>
      </c>
      <c r="N41" s="352">
        <v>2053467.9</v>
      </c>
      <c r="O41" s="353">
        <v>4</v>
      </c>
      <c r="P41" s="354">
        <v>44</v>
      </c>
      <c r="Q41" s="353">
        <v>427</v>
      </c>
      <c r="R41" s="354">
        <v>4514</v>
      </c>
      <c r="S41" s="353">
        <v>45423</v>
      </c>
      <c r="T41" s="354">
        <v>468766</v>
      </c>
      <c r="V41" s="228"/>
      <c r="X41" s="304"/>
    </row>
    <row r="42" spans="1:24" x14ac:dyDescent="0.15">
      <c r="A42" s="343">
        <v>18</v>
      </c>
      <c r="B42" s="344">
        <v>43586</v>
      </c>
      <c r="C42" s="345" t="s">
        <v>362</v>
      </c>
      <c r="D42" s="310">
        <v>4</v>
      </c>
      <c r="E42" s="310">
        <v>5</v>
      </c>
      <c r="F42" s="310">
        <v>5</v>
      </c>
      <c r="G42" s="310">
        <v>1</v>
      </c>
      <c r="H42" s="310">
        <v>9</v>
      </c>
      <c r="I42" s="310">
        <v>9</v>
      </c>
      <c r="J42" s="311">
        <v>8</v>
      </c>
      <c r="K42" s="312">
        <v>4882535</v>
      </c>
      <c r="L42" s="313" t="s">
        <v>23</v>
      </c>
      <c r="M42" s="314" t="s">
        <v>368</v>
      </c>
      <c r="N42" s="315">
        <v>2400616.1</v>
      </c>
      <c r="O42" s="316">
        <v>1</v>
      </c>
      <c r="P42" s="317">
        <v>22</v>
      </c>
      <c r="Q42" s="316">
        <v>199</v>
      </c>
      <c r="R42" s="317">
        <v>1623</v>
      </c>
      <c r="S42" s="316">
        <v>17009</v>
      </c>
      <c r="T42" s="317">
        <v>185402</v>
      </c>
      <c r="V42" s="228"/>
      <c r="X42" s="304"/>
    </row>
    <row r="43" spans="1:24" x14ac:dyDescent="0.15">
      <c r="A43" s="347"/>
      <c r="B43" s="348">
        <v>43589</v>
      </c>
      <c r="C43" s="349" t="s">
        <v>363</v>
      </c>
      <c r="D43" s="336">
        <v>1</v>
      </c>
      <c r="E43" s="336">
        <v>7</v>
      </c>
      <c r="F43" s="336">
        <v>4</v>
      </c>
      <c r="G43" s="336">
        <v>2</v>
      </c>
      <c r="H43" s="336">
        <v>2</v>
      </c>
      <c r="I43" s="336">
        <v>4</v>
      </c>
      <c r="J43" s="327">
        <v>7</v>
      </c>
      <c r="K43" s="350">
        <v>12337212.5</v>
      </c>
      <c r="L43" s="351">
        <v>2</v>
      </c>
      <c r="M43" s="350">
        <v>1577777</v>
      </c>
      <c r="N43" s="352">
        <v>0</v>
      </c>
      <c r="O43" s="353">
        <v>4</v>
      </c>
      <c r="P43" s="354">
        <v>62</v>
      </c>
      <c r="Q43" s="353">
        <v>549</v>
      </c>
      <c r="R43" s="354">
        <v>5489</v>
      </c>
      <c r="S43" s="353">
        <v>55807</v>
      </c>
      <c r="T43" s="354">
        <v>541826</v>
      </c>
      <c r="V43" s="228"/>
      <c r="X43" s="304"/>
    </row>
    <row r="44" spans="1:24" x14ac:dyDescent="0.15">
      <c r="A44" s="343">
        <v>19</v>
      </c>
      <c r="B44" s="344">
        <v>43593</v>
      </c>
      <c r="C44" s="345" t="s">
        <v>362</v>
      </c>
      <c r="D44" s="310">
        <v>9</v>
      </c>
      <c r="E44" s="310">
        <v>8</v>
      </c>
      <c r="F44" s="310">
        <v>0</v>
      </c>
      <c r="G44" s="310">
        <v>5</v>
      </c>
      <c r="H44" s="310">
        <v>7</v>
      </c>
      <c r="I44" s="310">
        <v>1</v>
      </c>
      <c r="J44" s="311">
        <v>8</v>
      </c>
      <c r="K44" s="312">
        <v>4918820</v>
      </c>
      <c r="L44" s="313" t="s">
        <v>23</v>
      </c>
      <c r="M44" s="314" t="s">
        <v>368</v>
      </c>
      <c r="N44" s="315">
        <v>349728.1</v>
      </c>
      <c r="O44" s="316">
        <v>3</v>
      </c>
      <c r="P44" s="317">
        <v>24</v>
      </c>
      <c r="Q44" s="316">
        <v>184</v>
      </c>
      <c r="R44" s="317">
        <v>1807</v>
      </c>
      <c r="S44" s="316">
        <v>18343</v>
      </c>
      <c r="T44" s="317">
        <v>186366</v>
      </c>
      <c r="V44" s="228"/>
      <c r="X44" s="304"/>
    </row>
    <row r="45" spans="1:24" x14ac:dyDescent="0.15">
      <c r="A45" s="347"/>
      <c r="B45" s="348">
        <v>43596</v>
      </c>
      <c r="C45" s="349" t="s">
        <v>363</v>
      </c>
      <c r="D45" s="336">
        <v>1</v>
      </c>
      <c r="E45" s="336">
        <v>7</v>
      </c>
      <c r="F45" s="336">
        <v>3</v>
      </c>
      <c r="G45" s="336">
        <v>2</v>
      </c>
      <c r="H45" s="336">
        <v>8</v>
      </c>
      <c r="I45" s="336">
        <v>2</v>
      </c>
      <c r="J45" s="327">
        <v>4</v>
      </c>
      <c r="K45" s="350">
        <v>12834490</v>
      </c>
      <c r="L45" s="351">
        <v>1</v>
      </c>
      <c r="M45" s="350">
        <v>1177777</v>
      </c>
      <c r="N45" s="358">
        <v>0</v>
      </c>
      <c r="O45" s="353">
        <v>2</v>
      </c>
      <c r="P45" s="354">
        <v>39</v>
      </c>
      <c r="Q45" s="353">
        <v>453</v>
      </c>
      <c r="R45" s="354">
        <v>4588</v>
      </c>
      <c r="S45" s="353">
        <v>44566</v>
      </c>
      <c r="T45" s="354">
        <v>432263</v>
      </c>
      <c r="V45" s="228"/>
      <c r="X45" s="304"/>
    </row>
    <row r="46" spans="1:24" x14ac:dyDescent="0.15">
      <c r="A46" s="343">
        <v>20</v>
      </c>
      <c r="B46" s="344">
        <v>43600</v>
      </c>
      <c r="C46" s="345" t="s">
        <v>362</v>
      </c>
      <c r="D46" s="310">
        <v>6</v>
      </c>
      <c r="E46" s="310">
        <v>4</v>
      </c>
      <c r="F46" s="310">
        <v>6</v>
      </c>
      <c r="G46" s="310">
        <v>6</v>
      </c>
      <c r="H46" s="310">
        <v>5</v>
      </c>
      <c r="I46" s="310">
        <v>6</v>
      </c>
      <c r="J46" s="311">
        <v>0</v>
      </c>
      <c r="K46" s="312">
        <v>5006245</v>
      </c>
      <c r="L46" s="313" t="s">
        <v>23</v>
      </c>
      <c r="M46" s="312" t="s">
        <v>368</v>
      </c>
      <c r="N46" s="315">
        <v>355944.00000000006</v>
      </c>
      <c r="O46" s="316">
        <v>3</v>
      </c>
      <c r="P46" s="317">
        <v>12</v>
      </c>
      <c r="Q46" s="316">
        <v>110</v>
      </c>
      <c r="R46" s="317">
        <v>1327</v>
      </c>
      <c r="S46" s="316">
        <v>14030</v>
      </c>
      <c r="T46" s="317">
        <v>136602</v>
      </c>
      <c r="V46" s="228"/>
      <c r="X46" s="304"/>
    </row>
    <row r="47" spans="1:24" x14ac:dyDescent="0.15">
      <c r="A47" s="347"/>
      <c r="B47" s="348">
        <v>43603</v>
      </c>
      <c r="C47" s="349" t="s">
        <v>363</v>
      </c>
      <c r="D47" s="336">
        <v>1</v>
      </c>
      <c r="E47" s="336">
        <v>6</v>
      </c>
      <c r="F47" s="336">
        <v>5</v>
      </c>
      <c r="G47" s="336">
        <v>5</v>
      </c>
      <c r="H47" s="336">
        <v>8</v>
      </c>
      <c r="I47" s="336">
        <v>5</v>
      </c>
      <c r="J47" s="327">
        <v>7</v>
      </c>
      <c r="K47" s="350">
        <v>11573562.5</v>
      </c>
      <c r="L47" s="357" t="s">
        <v>23</v>
      </c>
      <c r="M47" s="359" t="s">
        <v>368</v>
      </c>
      <c r="N47" s="352">
        <v>1178824.2999999998</v>
      </c>
      <c r="O47" s="353">
        <v>6</v>
      </c>
      <c r="P47" s="354">
        <v>52</v>
      </c>
      <c r="Q47" s="353">
        <v>522</v>
      </c>
      <c r="R47" s="354">
        <v>5234</v>
      </c>
      <c r="S47" s="353">
        <v>51676</v>
      </c>
      <c r="T47" s="354">
        <v>509596</v>
      </c>
      <c r="V47" s="228"/>
      <c r="X47" s="304"/>
    </row>
    <row r="48" spans="1:24" x14ac:dyDescent="0.15">
      <c r="A48" s="343">
        <v>21</v>
      </c>
      <c r="B48" s="344">
        <v>43607</v>
      </c>
      <c r="C48" s="345" t="s">
        <v>362</v>
      </c>
      <c r="D48" s="355">
        <v>1</v>
      </c>
      <c r="E48" s="310">
        <v>4</v>
      </c>
      <c r="F48" s="310">
        <v>8</v>
      </c>
      <c r="G48" s="310">
        <v>9</v>
      </c>
      <c r="H48" s="310">
        <v>2</v>
      </c>
      <c r="I48" s="310">
        <v>6</v>
      </c>
      <c r="J48" s="311">
        <v>0</v>
      </c>
      <c r="K48" s="312">
        <v>4771122.5</v>
      </c>
      <c r="L48" s="313">
        <v>1</v>
      </c>
      <c r="M48" s="314">
        <v>1477777</v>
      </c>
      <c r="N48" s="358">
        <v>0</v>
      </c>
      <c r="O48" s="316">
        <v>2</v>
      </c>
      <c r="P48" s="317">
        <v>10</v>
      </c>
      <c r="Q48" s="316">
        <v>130</v>
      </c>
      <c r="R48" s="317">
        <v>1347</v>
      </c>
      <c r="S48" s="316">
        <v>13472</v>
      </c>
      <c r="T48" s="317">
        <v>130270</v>
      </c>
      <c r="V48" s="228"/>
      <c r="X48" s="304"/>
    </row>
    <row r="49" spans="1:24" x14ac:dyDescent="0.15">
      <c r="A49" s="347"/>
      <c r="B49" s="348">
        <v>43610</v>
      </c>
      <c r="C49" s="349" t="s">
        <v>363</v>
      </c>
      <c r="D49" s="356">
        <v>1</v>
      </c>
      <c r="E49" s="356">
        <v>4</v>
      </c>
      <c r="F49" s="356">
        <v>7</v>
      </c>
      <c r="G49" s="356">
        <v>3</v>
      </c>
      <c r="H49" s="356">
        <v>4</v>
      </c>
      <c r="I49" s="356">
        <v>3</v>
      </c>
      <c r="J49" s="327">
        <v>0</v>
      </c>
      <c r="K49" s="350">
        <v>11578637.5</v>
      </c>
      <c r="L49" s="351">
        <v>1</v>
      </c>
      <c r="M49" s="350">
        <v>777777</v>
      </c>
      <c r="N49" s="352">
        <v>0</v>
      </c>
      <c r="O49" s="353">
        <v>1</v>
      </c>
      <c r="P49" s="354">
        <v>25</v>
      </c>
      <c r="Q49" s="353">
        <v>326</v>
      </c>
      <c r="R49" s="354">
        <v>2934</v>
      </c>
      <c r="S49" s="353">
        <v>30138</v>
      </c>
      <c r="T49" s="354">
        <v>309883</v>
      </c>
      <c r="V49" s="228"/>
      <c r="X49" s="304"/>
    </row>
    <row r="50" spans="1:24" x14ac:dyDescent="0.15">
      <c r="A50" s="343">
        <v>22</v>
      </c>
      <c r="B50" s="344">
        <v>43614</v>
      </c>
      <c r="C50" s="345" t="s">
        <v>362</v>
      </c>
      <c r="D50" s="310">
        <v>2</v>
      </c>
      <c r="E50" s="310">
        <v>8</v>
      </c>
      <c r="F50" s="310">
        <v>5</v>
      </c>
      <c r="G50" s="310">
        <v>7</v>
      </c>
      <c r="H50" s="310">
        <v>6</v>
      </c>
      <c r="I50" s="310">
        <v>7</v>
      </c>
      <c r="J50" s="311">
        <v>1</v>
      </c>
      <c r="K50" s="312">
        <v>4953570</v>
      </c>
      <c r="L50" s="313" t="s">
        <v>23</v>
      </c>
      <c r="M50" s="314" t="s">
        <v>368</v>
      </c>
      <c r="N50" s="315">
        <v>352198.8</v>
      </c>
      <c r="O50" s="316">
        <v>2</v>
      </c>
      <c r="P50" s="317">
        <v>14</v>
      </c>
      <c r="Q50" s="316">
        <v>123</v>
      </c>
      <c r="R50" s="317">
        <v>1538</v>
      </c>
      <c r="S50" s="316">
        <v>14942</v>
      </c>
      <c r="T50" s="317">
        <v>149952</v>
      </c>
      <c r="V50" s="228"/>
      <c r="X50" s="304"/>
    </row>
    <row r="51" spans="1:24" x14ac:dyDescent="0.15">
      <c r="A51" s="347"/>
      <c r="B51" s="348">
        <v>43617</v>
      </c>
      <c r="C51" s="349" t="s">
        <v>363</v>
      </c>
      <c r="D51" s="336">
        <v>8</v>
      </c>
      <c r="E51" s="336">
        <v>0</v>
      </c>
      <c r="F51" s="336">
        <v>6</v>
      </c>
      <c r="G51" s="336">
        <v>7</v>
      </c>
      <c r="H51" s="336">
        <v>1</v>
      </c>
      <c r="I51" s="336">
        <v>5</v>
      </c>
      <c r="J51" s="327">
        <v>6</v>
      </c>
      <c r="K51" s="350">
        <v>11764650</v>
      </c>
      <c r="L51" s="351">
        <v>1</v>
      </c>
      <c r="M51" s="350">
        <v>1177777</v>
      </c>
      <c r="N51" s="352">
        <v>0</v>
      </c>
      <c r="O51" s="353">
        <v>5</v>
      </c>
      <c r="P51" s="354">
        <v>40</v>
      </c>
      <c r="Q51" s="353">
        <v>488</v>
      </c>
      <c r="R51" s="354">
        <v>4760</v>
      </c>
      <c r="S51" s="353">
        <v>47401</v>
      </c>
      <c r="T51" s="354">
        <v>435373</v>
      </c>
      <c r="V51" s="228"/>
      <c r="X51" s="304"/>
    </row>
    <row r="52" spans="1:24" x14ac:dyDescent="0.15">
      <c r="A52" s="343">
        <v>23</v>
      </c>
      <c r="B52" s="344">
        <v>43621</v>
      </c>
      <c r="C52" s="345" t="s">
        <v>362</v>
      </c>
      <c r="D52" s="310">
        <v>6</v>
      </c>
      <c r="E52" s="310">
        <v>3</v>
      </c>
      <c r="F52" s="310">
        <v>5</v>
      </c>
      <c r="G52" s="310">
        <v>8</v>
      </c>
      <c r="H52" s="310">
        <v>3</v>
      </c>
      <c r="I52" s="310">
        <v>3</v>
      </c>
      <c r="J52" s="311">
        <v>6</v>
      </c>
      <c r="K52" s="312">
        <v>5018390</v>
      </c>
      <c r="L52" s="313" t="s">
        <v>23</v>
      </c>
      <c r="M52" s="314" t="s">
        <v>368</v>
      </c>
      <c r="N52" s="315">
        <v>356807.5</v>
      </c>
      <c r="O52" s="316">
        <v>4</v>
      </c>
      <c r="P52" s="317">
        <v>22</v>
      </c>
      <c r="Q52" s="316">
        <v>179</v>
      </c>
      <c r="R52" s="317">
        <v>1881</v>
      </c>
      <c r="S52" s="316">
        <v>20479</v>
      </c>
      <c r="T52" s="317">
        <v>191879</v>
      </c>
      <c r="V52" s="228"/>
      <c r="X52" s="304"/>
    </row>
    <row r="53" spans="1:24" x14ac:dyDescent="0.15">
      <c r="A53" s="347"/>
      <c r="B53" s="348">
        <v>43624</v>
      </c>
      <c r="C53" s="349" t="s">
        <v>363</v>
      </c>
      <c r="D53" s="336">
        <v>3</v>
      </c>
      <c r="E53" s="336">
        <v>8</v>
      </c>
      <c r="F53" s="336">
        <v>9</v>
      </c>
      <c r="G53" s="336">
        <v>5</v>
      </c>
      <c r="H53" s="336">
        <v>7</v>
      </c>
      <c r="I53" s="336">
        <v>5</v>
      </c>
      <c r="J53" s="327">
        <v>8</v>
      </c>
      <c r="K53" s="350">
        <v>12257115</v>
      </c>
      <c r="L53" s="351" t="s">
        <v>23</v>
      </c>
      <c r="M53" s="350" t="s">
        <v>368</v>
      </c>
      <c r="N53" s="352">
        <v>1228288.3999999999</v>
      </c>
      <c r="O53" s="353">
        <v>8</v>
      </c>
      <c r="P53" s="354">
        <v>54</v>
      </c>
      <c r="Q53" s="353">
        <v>511</v>
      </c>
      <c r="R53" s="354">
        <v>5387</v>
      </c>
      <c r="S53" s="353">
        <v>51555</v>
      </c>
      <c r="T53" s="354">
        <v>483056</v>
      </c>
      <c r="V53" s="228"/>
      <c r="X53" s="304"/>
    </row>
    <row r="54" spans="1:24" x14ac:dyDescent="0.15">
      <c r="A54" s="343">
        <v>24</v>
      </c>
      <c r="B54" s="344">
        <v>43628</v>
      </c>
      <c r="C54" s="345" t="s">
        <v>362</v>
      </c>
      <c r="D54" s="310">
        <v>4</v>
      </c>
      <c r="E54" s="310">
        <v>5</v>
      </c>
      <c r="F54" s="310">
        <v>6</v>
      </c>
      <c r="G54" s="310">
        <v>4</v>
      </c>
      <c r="H54" s="310">
        <v>9</v>
      </c>
      <c r="I54" s="310">
        <v>6</v>
      </c>
      <c r="J54" s="311">
        <v>1</v>
      </c>
      <c r="K54" s="312">
        <v>5076192.5</v>
      </c>
      <c r="L54" s="346" t="s">
        <v>23</v>
      </c>
      <c r="M54" s="314" t="s">
        <v>368</v>
      </c>
      <c r="N54" s="315">
        <v>1589205.7</v>
      </c>
      <c r="O54" s="316">
        <v>2</v>
      </c>
      <c r="P54" s="317">
        <v>13</v>
      </c>
      <c r="Q54" s="316">
        <v>148</v>
      </c>
      <c r="R54" s="317">
        <v>1810</v>
      </c>
      <c r="S54" s="316">
        <v>16021</v>
      </c>
      <c r="T54" s="317">
        <v>153074</v>
      </c>
      <c r="V54" s="228"/>
      <c r="X54" s="304"/>
    </row>
    <row r="55" spans="1:24" x14ac:dyDescent="0.15">
      <c r="A55" s="347"/>
      <c r="B55" s="348">
        <v>43631</v>
      </c>
      <c r="C55" s="349" t="s">
        <v>363</v>
      </c>
      <c r="D55" s="336">
        <v>1</v>
      </c>
      <c r="E55" s="336">
        <v>1</v>
      </c>
      <c r="F55" s="336">
        <v>9</v>
      </c>
      <c r="G55" s="336">
        <v>0</v>
      </c>
      <c r="H55" s="336">
        <v>3</v>
      </c>
      <c r="I55" s="336">
        <v>6</v>
      </c>
      <c r="J55" s="327">
        <v>3</v>
      </c>
      <c r="K55" s="350">
        <v>12314885</v>
      </c>
      <c r="L55" s="357">
        <v>1</v>
      </c>
      <c r="M55" s="350">
        <v>2377777</v>
      </c>
      <c r="N55" s="352">
        <v>0</v>
      </c>
      <c r="O55" s="353">
        <v>4</v>
      </c>
      <c r="P55" s="354">
        <v>40</v>
      </c>
      <c r="Q55" s="353">
        <v>413</v>
      </c>
      <c r="R55" s="354">
        <v>4720</v>
      </c>
      <c r="S55" s="353">
        <v>47225</v>
      </c>
      <c r="T55" s="354">
        <v>453311</v>
      </c>
      <c r="V55" s="228"/>
      <c r="X55" s="304"/>
    </row>
    <row r="56" spans="1:24" x14ac:dyDescent="0.15">
      <c r="A56" s="343">
        <v>25</v>
      </c>
      <c r="B56" s="344">
        <v>43635</v>
      </c>
      <c r="C56" s="345" t="s">
        <v>362</v>
      </c>
      <c r="D56" s="310">
        <v>1</v>
      </c>
      <c r="E56" s="310">
        <v>3</v>
      </c>
      <c r="F56" s="310">
        <v>5</v>
      </c>
      <c r="G56" s="310">
        <v>7</v>
      </c>
      <c r="H56" s="310">
        <v>0</v>
      </c>
      <c r="I56" s="310">
        <v>4</v>
      </c>
      <c r="J56" s="311">
        <v>6</v>
      </c>
      <c r="K56" s="312">
        <v>5491947.5</v>
      </c>
      <c r="L56" s="313" t="s">
        <v>23</v>
      </c>
      <c r="M56" s="314" t="s">
        <v>368</v>
      </c>
      <c r="N56" s="315">
        <v>390477.5</v>
      </c>
      <c r="O56" s="316">
        <v>3</v>
      </c>
      <c r="P56" s="317">
        <v>21</v>
      </c>
      <c r="Q56" s="316">
        <v>198</v>
      </c>
      <c r="R56" s="317">
        <v>1910</v>
      </c>
      <c r="S56" s="316">
        <v>21729</v>
      </c>
      <c r="T56" s="317">
        <v>211374</v>
      </c>
      <c r="U56" s="240"/>
      <c r="V56" s="275"/>
      <c r="X56" s="304"/>
    </row>
    <row r="57" spans="1:24" x14ac:dyDescent="0.15">
      <c r="A57" s="347"/>
      <c r="B57" s="348">
        <v>43638</v>
      </c>
      <c r="C57" s="349" t="s">
        <v>363</v>
      </c>
      <c r="D57" s="336">
        <v>2</v>
      </c>
      <c r="E57" s="336">
        <v>3</v>
      </c>
      <c r="F57" s="336">
        <v>4</v>
      </c>
      <c r="G57" s="336">
        <v>2</v>
      </c>
      <c r="H57" s="336">
        <v>7</v>
      </c>
      <c r="I57" s="336">
        <v>9</v>
      </c>
      <c r="J57" s="327">
        <v>2</v>
      </c>
      <c r="K57" s="350">
        <v>12090940</v>
      </c>
      <c r="L57" s="357">
        <v>1</v>
      </c>
      <c r="M57" s="350">
        <v>1177777</v>
      </c>
      <c r="N57" s="352">
        <v>0</v>
      </c>
      <c r="O57" s="353">
        <v>3</v>
      </c>
      <c r="P57" s="354">
        <v>38</v>
      </c>
      <c r="Q57" s="353">
        <v>413</v>
      </c>
      <c r="R57" s="354">
        <v>3773</v>
      </c>
      <c r="S57" s="353">
        <v>37595</v>
      </c>
      <c r="T57" s="354">
        <v>391772</v>
      </c>
      <c r="V57" s="228"/>
      <c r="X57" s="304"/>
    </row>
    <row r="58" spans="1:24" x14ac:dyDescent="0.15">
      <c r="A58" s="343">
        <v>26</v>
      </c>
      <c r="B58" s="344">
        <v>43642</v>
      </c>
      <c r="C58" s="345" t="s">
        <v>362</v>
      </c>
      <c r="D58" s="310">
        <v>2</v>
      </c>
      <c r="E58" s="310">
        <v>0</v>
      </c>
      <c r="F58" s="310">
        <v>7</v>
      </c>
      <c r="G58" s="310">
        <v>3</v>
      </c>
      <c r="H58" s="310">
        <v>6</v>
      </c>
      <c r="I58" s="310">
        <v>9</v>
      </c>
      <c r="J58" s="311">
        <v>0</v>
      </c>
      <c r="K58" s="312">
        <v>5484020</v>
      </c>
      <c r="L58" s="346" t="s">
        <v>23</v>
      </c>
      <c r="M58" s="314" t="s">
        <v>368</v>
      </c>
      <c r="N58" s="315">
        <v>389913.79999999993</v>
      </c>
      <c r="O58" s="316">
        <v>1</v>
      </c>
      <c r="P58" s="317">
        <v>12</v>
      </c>
      <c r="Q58" s="316">
        <v>127</v>
      </c>
      <c r="R58" s="317">
        <v>1521</v>
      </c>
      <c r="S58" s="316">
        <v>13896</v>
      </c>
      <c r="T58" s="317">
        <v>152337</v>
      </c>
      <c r="V58" s="228"/>
      <c r="X58" s="304"/>
    </row>
    <row r="59" spans="1:24" x14ac:dyDescent="0.15">
      <c r="A59" s="347"/>
      <c r="B59" s="348">
        <v>43645</v>
      </c>
      <c r="C59" s="349" t="s">
        <v>363</v>
      </c>
      <c r="D59" s="360">
        <v>8</v>
      </c>
      <c r="E59" s="360">
        <v>6</v>
      </c>
      <c r="F59" s="360">
        <v>6</v>
      </c>
      <c r="G59" s="360">
        <v>0</v>
      </c>
      <c r="H59" s="360">
        <v>7</v>
      </c>
      <c r="I59" s="360">
        <v>5</v>
      </c>
      <c r="J59" s="338">
        <v>1</v>
      </c>
      <c r="K59" s="350">
        <v>13320997.5</v>
      </c>
      <c r="L59" s="357" t="s">
        <v>23</v>
      </c>
      <c r="M59" s="350" t="s">
        <v>368</v>
      </c>
      <c r="N59" s="352">
        <v>1337036.7</v>
      </c>
      <c r="O59" s="353">
        <v>3</v>
      </c>
      <c r="P59" s="354">
        <v>31</v>
      </c>
      <c r="Q59" s="353">
        <v>437</v>
      </c>
      <c r="R59" s="354">
        <v>4198</v>
      </c>
      <c r="S59" s="353">
        <v>42107</v>
      </c>
      <c r="T59" s="354">
        <v>406408</v>
      </c>
      <c r="V59" s="228"/>
      <c r="X59" s="304"/>
    </row>
    <row r="60" spans="1:24" x14ac:dyDescent="0.15">
      <c r="A60" s="45"/>
      <c r="B60" s="46"/>
      <c r="C60" s="46"/>
      <c r="D60" s="309"/>
      <c r="E60" s="309"/>
      <c r="F60" s="309"/>
      <c r="G60" s="309"/>
      <c r="H60" s="309"/>
      <c r="I60" s="309" t="s">
        <v>24</v>
      </c>
      <c r="J60" s="309"/>
      <c r="K60" s="277"/>
      <c r="L60" s="278">
        <f>SUM(L8:L59)</f>
        <v>20</v>
      </c>
      <c r="M60" s="229"/>
      <c r="N60" s="278"/>
      <c r="O60" s="278">
        <f t="shared" ref="O60:T60" si="0">SUM(O8:O59)</f>
        <v>174</v>
      </c>
      <c r="P60" s="278">
        <f t="shared" si="0"/>
        <v>1594</v>
      </c>
      <c r="Q60" s="278">
        <f t="shared" si="0"/>
        <v>16030</v>
      </c>
      <c r="R60" s="278">
        <f t="shared" si="0"/>
        <v>161255</v>
      </c>
      <c r="S60" s="278">
        <f t="shared" si="0"/>
        <v>1618820</v>
      </c>
      <c r="T60" s="278">
        <f t="shared" si="0"/>
        <v>16155130</v>
      </c>
      <c r="V60" s="228"/>
      <c r="X60" s="304"/>
    </row>
    <row r="63" spans="1:24" x14ac:dyDescent="0.15">
      <c r="K63" s="254"/>
    </row>
    <row r="64" spans="1:24" ht="13.5" customHeight="1" x14ac:dyDescent="0.2">
      <c r="A64" s="1" t="s">
        <v>364</v>
      </c>
      <c r="T64" s="3" t="s">
        <v>449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299"/>
      <c r="E66" s="299"/>
      <c r="F66" s="299"/>
      <c r="G66" s="299"/>
      <c r="H66" s="299"/>
      <c r="I66" s="299"/>
      <c r="J66" s="30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14"/>
      <c r="C67" s="125"/>
      <c r="D67" s="301" t="s">
        <v>4</v>
      </c>
      <c r="E67" s="302"/>
      <c r="F67" s="302"/>
      <c r="G67" s="302"/>
      <c r="H67" s="302"/>
      <c r="I67" s="302"/>
      <c r="J67" s="290" t="s">
        <v>5</v>
      </c>
      <c r="K67" s="209" t="s">
        <v>6</v>
      </c>
      <c r="L67" s="6" t="s">
        <v>7</v>
      </c>
      <c r="M67" s="18"/>
      <c r="N67" s="13" t="s">
        <v>21</v>
      </c>
      <c r="O67" s="14" t="s">
        <v>8</v>
      </c>
      <c r="P67" s="13" t="s">
        <v>9</v>
      </c>
      <c r="Q67" s="14" t="s">
        <v>10</v>
      </c>
      <c r="R67" s="13" t="s">
        <v>11</v>
      </c>
      <c r="S67" s="14" t="s">
        <v>12</v>
      </c>
      <c r="T67" s="13" t="s">
        <v>49</v>
      </c>
    </row>
    <row r="68" spans="1:24" ht="11.1" customHeight="1" x14ac:dyDescent="0.15">
      <c r="A68" s="13" t="s">
        <v>428</v>
      </c>
      <c r="B68" s="14">
        <v>2019</v>
      </c>
      <c r="C68" s="220" t="s">
        <v>361</v>
      </c>
      <c r="D68" s="289"/>
      <c r="E68" s="289"/>
      <c r="F68" s="289"/>
      <c r="G68" s="289"/>
      <c r="H68" s="289"/>
      <c r="I68" s="289"/>
      <c r="J68" s="290" t="s">
        <v>13</v>
      </c>
      <c r="K68" s="14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4" ht="11.1" customHeight="1" x14ac:dyDescent="0.15">
      <c r="A69" s="39"/>
      <c r="B69" s="21"/>
      <c r="C69" s="220"/>
      <c r="D69" s="289"/>
      <c r="E69" s="289"/>
      <c r="F69" s="289"/>
      <c r="G69" s="289"/>
      <c r="H69" s="289"/>
      <c r="I69" s="289"/>
      <c r="J69" s="303"/>
      <c r="K69" s="13" t="s">
        <v>367</v>
      </c>
      <c r="L69" s="221" t="s">
        <v>15</v>
      </c>
      <c r="M69" s="14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43649</v>
      </c>
      <c r="C70" s="174" t="s">
        <v>362</v>
      </c>
      <c r="D70" s="291">
        <v>2</v>
      </c>
      <c r="E70" s="291">
        <v>0</v>
      </c>
      <c r="F70" s="291">
        <v>8</v>
      </c>
      <c r="G70" s="291">
        <v>1</v>
      </c>
      <c r="H70" s="291">
        <v>3</v>
      </c>
      <c r="I70" s="291">
        <v>5</v>
      </c>
      <c r="J70" s="292">
        <v>8</v>
      </c>
      <c r="K70" s="222">
        <v>5306445</v>
      </c>
      <c r="L70" s="223" t="s">
        <v>23</v>
      </c>
      <c r="M70" s="224" t="s">
        <v>368</v>
      </c>
      <c r="N70" s="225">
        <v>1714324.9000000004</v>
      </c>
      <c r="O70" s="226">
        <v>1</v>
      </c>
      <c r="P70" s="227">
        <v>26</v>
      </c>
      <c r="Q70" s="226">
        <v>205</v>
      </c>
      <c r="R70" s="227">
        <v>2032</v>
      </c>
      <c r="S70" s="226">
        <v>21022</v>
      </c>
      <c r="T70" s="227">
        <v>198367</v>
      </c>
      <c r="U70" s="240"/>
      <c r="V70" s="275"/>
      <c r="X70" s="304"/>
    </row>
    <row r="71" spans="1:24" x14ac:dyDescent="0.15">
      <c r="A71" s="178"/>
      <c r="B71" s="179">
        <v>43652</v>
      </c>
      <c r="C71" s="180" t="s">
        <v>363</v>
      </c>
      <c r="D71" s="289">
        <v>3</v>
      </c>
      <c r="E71" s="289">
        <v>1</v>
      </c>
      <c r="F71" s="289">
        <v>2</v>
      </c>
      <c r="G71" s="289">
        <v>3</v>
      </c>
      <c r="H71" s="289">
        <v>1</v>
      </c>
      <c r="I71" s="289">
        <v>5</v>
      </c>
      <c r="J71" s="303">
        <v>5</v>
      </c>
      <c r="K71" s="229">
        <v>12263525</v>
      </c>
      <c r="L71" s="230">
        <v>1</v>
      </c>
      <c r="M71" s="229">
        <v>2577777</v>
      </c>
      <c r="N71" s="231">
        <v>0</v>
      </c>
      <c r="O71" s="232">
        <v>3</v>
      </c>
      <c r="P71" s="233">
        <v>64</v>
      </c>
      <c r="Q71" s="232">
        <v>537</v>
      </c>
      <c r="R71" s="233">
        <v>5358</v>
      </c>
      <c r="S71" s="232">
        <v>55190</v>
      </c>
      <c r="T71" s="233">
        <v>507013</v>
      </c>
      <c r="V71" s="228"/>
      <c r="X71" s="304"/>
    </row>
    <row r="72" spans="1:24" x14ac:dyDescent="0.15">
      <c r="A72" s="172">
        <v>28</v>
      </c>
      <c r="B72" s="173">
        <v>43656</v>
      </c>
      <c r="C72" s="174" t="s">
        <v>362</v>
      </c>
      <c r="D72" s="291">
        <v>1</v>
      </c>
      <c r="E72" s="291">
        <v>5</v>
      </c>
      <c r="F72" s="291">
        <v>2</v>
      </c>
      <c r="G72" s="291">
        <v>9</v>
      </c>
      <c r="H72" s="291">
        <v>5</v>
      </c>
      <c r="I72" s="291">
        <v>0</v>
      </c>
      <c r="J72" s="292">
        <v>9</v>
      </c>
      <c r="K72" s="222">
        <v>4985765</v>
      </c>
      <c r="L72" s="223">
        <v>1</v>
      </c>
      <c r="M72" s="224">
        <v>277777</v>
      </c>
      <c r="N72" s="225">
        <v>0</v>
      </c>
      <c r="O72" s="226">
        <v>3</v>
      </c>
      <c r="P72" s="227">
        <v>17</v>
      </c>
      <c r="Q72" s="226">
        <v>148</v>
      </c>
      <c r="R72" s="227">
        <v>1432</v>
      </c>
      <c r="S72" s="226">
        <v>14725</v>
      </c>
      <c r="T72" s="227">
        <v>172468</v>
      </c>
      <c r="V72" s="228"/>
      <c r="X72" s="304"/>
    </row>
    <row r="73" spans="1:24" x14ac:dyDescent="0.15">
      <c r="A73" s="178"/>
      <c r="B73" s="179">
        <v>43659</v>
      </c>
      <c r="C73" s="180" t="s">
        <v>363</v>
      </c>
      <c r="D73" s="289">
        <v>8</v>
      </c>
      <c r="E73" s="289">
        <v>6</v>
      </c>
      <c r="F73" s="289">
        <v>9</v>
      </c>
      <c r="G73" s="289">
        <v>7</v>
      </c>
      <c r="H73" s="289">
        <v>1</v>
      </c>
      <c r="I73" s="289">
        <v>5</v>
      </c>
      <c r="J73" s="303">
        <v>2</v>
      </c>
      <c r="K73" s="229">
        <v>11818517.5</v>
      </c>
      <c r="L73" s="237" t="s">
        <v>23</v>
      </c>
      <c r="M73" s="229" t="s">
        <v>368</v>
      </c>
      <c r="N73" s="231">
        <v>840296.6</v>
      </c>
      <c r="O73" s="232">
        <v>4</v>
      </c>
      <c r="P73" s="233">
        <v>33</v>
      </c>
      <c r="Q73" s="232">
        <v>371</v>
      </c>
      <c r="R73" s="233">
        <v>4196</v>
      </c>
      <c r="S73" s="232">
        <v>41606</v>
      </c>
      <c r="T73" s="233">
        <v>377339</v>
      </c>
      <c r="V73" s="228"/>
      <c r="X73" s="304"/>
    </row>
    <row r="74" spans="1:24" x14ac:dyDescent="0.15">
      <c r="A74" s="172">
        <v>29</v>
      </c>
      <c r="B74" s="173">
        <v>43663</v>
      </c>
      <c r="C74" s="174" t="s">
        <v>362</v>
      </c>
      <c r="D74" s="291">
        <v>7</v>
      </c>
      <c r="E74" s="291">
        <v>3</v>
      </c>
      <c r="F74" s="291">
        <v>8</v>
      </c>
      <c r="G74" s="291">
        <v>5</v>
      </c>
      <c r="H74" s="291">
        <v>6</v>
      </c>
      <c r="I74" s="291">
        <v>9</v>
      </c>
      <c r="J74" s="292">
        <v>5</v>
      </c>
      <c r="K74" s="222">
        <v>5057080</v>
      </c>
      <c r="L74" s="223" t="s">
        <v>23</v>
      </c>
      <c r="M74" s="224" t="s">
        <v>368</v>
      </c>
      <c r="N74" s="225">
        <v>1199855</v>
      </c>
      <c r="O74" s="226">
        <v>2</v>
      </c>
      <c r="P74" s="227">
        <v>23</v>
      </c>
      <c r="Q74" s="226">
        <v>204</v>
      </c>
      <c r="R74" s="227">
        <v>1974</v>
      </c>
      <c r="S74" s="226">
        <v>19624</v>
      </c>
      <c r="T74" s="227">
        <v>212841</v>
      </c>
      <c r="V74" s="228"/>
      <c r="X74" s="304"/>
    </row>
    <row r="75" spans="1:24" x14ac:dyDescent="0.15">
      <c r="A75" s="178"/>
      <c r="B75" s="179">
        <v>43666</v>
      </c>
      <c r="C75" s="180" t="s">
        <v>363</v>
      </c>
      <c r="D75" s="289">
        <v>3</v>
      </c>
      <c r="E75" s="289">
        <v>4</v>
      </c>
      <c r="F75" s="289">
        <v>6</v>
      </c>
      <c r="G75" s="289">
        <v>8</v>
      </c>
      <c r="H75" s="289">
        <v>6</v>
      </c>
      <c r="I75" s="289">
        <v>3</v>
      </c>
      <c r="J75" s="303">
        <v>2</v>
      </c>
      <c r="K75" s="229">
        <v>11878405</v>
      </c>
      <c r="L75" s="230">
        <v>1</v>
      </c>
      <c r="M75" s="229">
        <v>1977777</v>
      </c>
      <c r="N75" s="231">
        <v>0</v>
      </c>
      <c r="O75" s="232">
        <v>2</v>
      </c>
      <c r="P75" s="233">
        <v>39</v>
      </c>
      <c r="Q75" s="232">
        <v>391</v>
      </c>
      <c r="R75" s="233">
        <v>4043</v>
      </c>
      <c r="S75" s="232">
        <v>39019</v>
      </c>
      <c r="T75" s="233">
        <v>385803</v>
      </c>
      <c r="V75" s="228"/>
      <c r="X75" s="304"/>
    </row>
    <row r="76" spans="1:24" x14ac:dyDescent="0.15">
      <c r="A76" s="172">
        <v>30</v>
      </c>
      <c r="B76" s="173">
        <v>43670</v>
      </c>
      <c r="C76" s="174" t="s">
        <v>362</v>
      </c>
      <c r="D76" s="291">
        <v>8</v>
      </c>
      <c r="E76" s="291">
        <v>0</v>
      </c>
      <c r="F76" s="291">
        <v>2</v>
      </c>
      <c r="G76" s="291">
        <v>7</v>
      </c>
      <c r="H76" s="291">
        <v>7</v>
      </c>
      <c r="I76" s="291">
        <v>3</v>
      </c>
      <c r="J76" s="292">
        <v>8</v>
      </c>
      <c r="K76" s="222">
        <v>5098145</v>
      </c>
      <c r="L76" s="223" t="s">
        <v>23</v>
      </c>
      <c r="M76" s="224" t="s">
        <v>368</v>
      </c>
      <c r="N76" s="225">
        <v>362478.1</v>
      </c>
      <c r="O76" s="226">
        <v>1</v>
      </c>
      <c r="P76" s="227">
        <v>19</v>
      </c>
      <c r="Q76" s="226">
        <v>180</v>
      </c>
      <c r="R76" s="227">
        <v>2051</v>
      </c>
      <c r="S76" s="226">
        <v>19193</v>
      </c>
      <c r="T76" s="227">
        <v>194600</v>
      </c>
      <c r="V76" s="228"/>
      <c r="X76" s="304"/>
    </row>
    <row r="77" spans="1:24" x14ac:dyDescent="0.15">
      <c r="A77" s="178"/>
      <c r="B77" s="179">
        <v>43673</v>
      </c>
      <c r="C77" s="180" t="s">
        <v>363</v>
      </c>
      <c r="D77" s="289">
        <v>6</v>
      </c>
      <c r="E77" s="289">
        <v>9</v>
      </c>
      <c r="F77" s="289">
        <v>7</v>
      </c>
      <c r="G77" s="289">
        <v>4</v>
      </c>
      <c r="H77" s="289">
        <v>9</v>
      </c>
      <c r="I77" s="289">
        <v>7</v>
      </c>
      <c r="J77" s="303">
        <v>7</v>
      </c>
      <c r="K77" s="229">
        <v>11909040</v>
      </c>
      <c r="L77" s="230">
        <v>1</v>
      </c>
      <c r="M77" s="229">
        <v>1177777</v>
      </c>
      <c r="N77" s="231">
        <v>0</v>
      </c>
      <c r="O77" s="232">
        <v>9</v>
      </c>
      <c r="P77" s="233">
        <v>52</v>
      </c>
      <c r="Q77" s="232">
        <v>595</v>
      </c>
      <c r="R77" s="233">
        <v>5944</v>
      </c>
      <c r="S77" s="232">
        <v>63515</v>
      </c>
      <c r="T77" s="233">
        <v>514796</v>
      </c>
      <c r="V77" s="228"/>
      <c r="X77" s="304"/>
    </row>
    <row r="78" spans="1:24" x14ac:dyDescent="0.15">
      <c r="A78" s="172">
        <v>31</v>
      </c>
      <c r="B78" s="173">
        <v>43677</v>
      </c>
      <c r="C78" s="174" t="s">
        <v>362</v>
      </c>
      <c r="D78" s="291">
        <v>5</v>
      </c>
      <c r="E78" s="291">
        <v>9</v>
      </c>
      <c r="F78" s="291">
        <v>3</v>
      </c>
      <c r="G78" s="291">
        <v>3</v>
      </c>
      <c r="H78" s="291">
        <v>4</v>
      </c>
      <c r="I78" s="291">
        <v>6</v>
      </c>
      <c r="J78" s="292">
        <v>4</v>
      </c>
      <c r="K78" s="222">
        <v>5343992.5</v>
      </c>
      <c r="L78" s="223">
        <v>1</v>
      </c>
      <c r="M78" s="224">
        <v>377777</v>
      </c>
      <c r="N78" s="225">
        <v>0</v>
      </c>
      <c r="O78" s="226">
        <v>2</v>
      </c>
      <c r="P78" s="227">
        <v>18</v>
      </c>
      <c r="Q78" s="226">
        <v>203</v>
      </c>
      <c r="R78" s="227">
        <v>1915</v>
      </c>
      <c r="S78" s="226">
        <v>19269</v>
      </c>
      <c r="T78" s="227">
        <v>182049</v>
      </c>
      <c r="V78" s="228"/>
      <c r="X78" s="304"/>
    </row>
    <row r="79" spans="1:24" x14ac:dyDescent="0.15">
      <c r="A79" s="178"/>
      <c r="B79" s="179">
        <v>43680</v>
      </c>
      <c r="C79" s="180" t="s">
        <v>363</v>
      </c>
      <c r="D79" s="289">
        <v>1</v>
      </c>
      <c r="E79" s="289">
        <v>4</v>
      </c>
      <c r="F79" s="289">
        <v>2</v>
      </c>
      <c r="G79" s="289">
        <v>8</v>
      </c>
      <c r="H79" s="289">
        <v>7</v>
      </c>
      <c r="I79" s="289">
        <v>2</v>
      </c>
      <c r="J79" s="303">
        <v>1</v>
      </c>
      <c r="K79" s="229">
        <v>12586927.5</v>
      </c>
      <c r="L79" s="230">
        <v>1</v>
      </c>
      <c r="M79" s="229">
        <v>877777</v>
      </c>
      <c r="N79" s="231">
        <v>0</v>
      </c>
      <c r="O79" s="232">
        <v>5</v>
      </c>
      <c r="P79" s="233">
        <v>27</v>
      </c>
      <c r="Q79" s="232">
        <v>393</v>
      </c>
      <c r="R79" s="233">
        <v>4144</v>
      </c>
      <c r="S79" s="232">
        <v>39724</v>
      </c>
      <c r="T79" s="233">
        <v>384410</v>
      </c>
      <c r="V79" s="228"/>
      <c r="X79" s="304"/>
    </row>
    <row r="80" spans="1:24" x14ac:dyDescent="0.15">
      <c r="A80" s="172">
        <v>32</v>
      </c>
      <c r="B80" s="173">
        <v>43684</v>
      </c>
      <c r="C80" s="174" t="s">
        <v>362</v>
      </c>
      <c r="D80" s="291">
        <v>4</v>
      </c>
      <c r="E80" s="291">
        <v>1</v>
      </c>
      <c r="F80" s="291">
        <v>8</v>
      </c>
      <c r="G80" s="291">
        <v>9</v>
      </c>
      <c r="H80" s="291">
        <v>5</v>
      </c>
      <c r="I80" s="291">
        <v>4</v>
      </c>
      <c r="J80" s="292">
        <v>4</v>
      </c>
      <c r="K80" s="222">
        <v>5627212.5</v>
      </c>
      <c r="L80" s="234">
        <v>2</v>
      </c>
      <c r="M80" s="224">
        <v>177777</v>
      </c>
      <c r="N80" s="225">
        <v>0</v>
      </c>
      <c r="O80" s="236" t="s">
        <v>17</v>
      </c>
      <c r="P80" s="227">
        <v>14</v>
      </c>
      <c r="Q80" s="226">
        <v>192</v>
      </c>
      <c r="R80" s="227">
        <v>2082</v>
      </c>
      <c r="S80" s="226">
        <v>20612</v>
      </c>
      <c r="T80" s="227">
        <v>192709</v>
      </c>
      <c r="V80" s="228"/>
      <c r="X80" s="304"/>
    </row>
    <row r="81" spans="1:24" x14ac:dyDescent="0.15">
      <c r="A81" s="178"/>
      <c r="B81" s="179">
        <v>43687</v>
      </c>
      <c r="C81" s="180" t="s">
        <v>363</v>
      </c>
      <c r="D81" s="289">
        <v>2</v>
      </c>
      <c r="E81" s="289">
        <v>0</v>
      </c>
      <c r="F81" s="289">
        <v>6</v>
      </c>
      <c r="G81" s="289">
        <v>5</v>
      </c>
      <c r="H81" s="289">
        <v>8</v>
      </c>
      <c r="I81" s="289">
        <v>4</v>
      </c>
      <c r="J81" s="303">
        <v>4</v>
      </c>
      <c r="K81" s="229">
        <v>12961135</v>
      </c>
      <c r="L81" s="230" t="s">
        <v>23</v>
      </c>
      <c r="M81" s="229" t="s">
        <v>368</v>
      </c>
      <c r="N81" s="231">
        <v>921536.7</v>
      </c>
      <c r="O81" s="232">
        <v>4</v>
      </c>
      <c r="P81" s="233">
        <v>35</v>
      </c>
      <c r="Q81" s="232">
        <v>427</v>
      </c>
      <c r="R81" s="233">
        <v>4377</v>
      </c>
      <c r="S81" s="232">
        <v>45546</v>
      </c>
      <c r="T81" s="233">
        <v>443541</v>
      </c>
      <c r="V81" s="228"/>
      <c r="X81" s="304"/>
    </row>
    <row r="82" spans="1:24" x14ac:dyDescent="0.15">
      <c r="A82" s="172">
        <v>33</v>
      </c>
      <c r="B82" s="173">
        <v>43691</v>
      </c>
      <c r="C82" s="174" t="s">
        <v>362</v>
      </c>
      <c r="D82" s="291">
        <v>5</v>
      </c>
      <c r="E82" s="291">
        <v>8</v>
      </c>
      <c r="F82" s="291">
        <v>7</v>
      </c>
      <c r="G82" s="291">
        <v>7</v>
      </c>
      <c r="H82" s="291">
        <v>6</v>
      </c>
      <c r="I82" s="291">
        <v>7</v>
      </c>
      <c r="J82" s="292">
        <v>7</v>
      </c>
      <c r="K82" s="222">
        <v>6944340</v>
      </c>
      <c r="L82" s="223">
        <v>1</v>
      </c>
      <c r="M82" s="279">
        <v>1377777</v>
      </c>
      <c r="N82" s="225">
        <v>0</v>
      </c>
      <c r="O82" s="226">
        <v>9</v>
      </c>
      <c r="P82" s="227">
        <v>37</v>
      </c>
      <c r="Q82" s="226">
        <v>381</v>
      </c>
      <c r="R82" s="227">
        <v>3434</v>
      </c>
      <c r="S82" s="226">
        <v>37348</v>
      </c>
      <c r="T82" s="227">
        <v>292934</v>
      </c>
      <c r="V82" s="228"/>
      <c r="X82" s="304"/>
    </row>
    <row r="83" spans="1:24" x14ac:dyDescent="0.15">
      <c r="A83" s="178"/>
      <c r="B83" s="179">
        <v>43694</v>
      </c>
      <c r="C83" s="180" t="s">
        <v>363</v>
      </c>
      <c r="D83" s="289">
        <v>3</v>
      </c>
      <c r="E83" s="289">
        <v>3</v>
      </c>
      <c r="F83" s="289">
        <v>5</v>
      </c>
      <c r="G83" s="289">
        <v>0</v>
      </c>
      <c r="H83" s="289">
        <v>6</v>
      </c>
      <c r="I83" s="289">
        <v>9</v>
      </c>
      <c r="J83" s="303">
        <v>3</v>
      </c>
      <c r="K83" s="229">
        <v>12437550</v>
      </c>
      <c r="L83" s="230">
        <v>2</v>
      </c>
      <c r="M83" s="229">
        <v>377777</v>
      </c>
      <c r="N83" s="231">
        <v>0</v>
      </c>
      <c r="O83" s="232">
        <v>5</v>
      </c>
      <c r="P83" s="233">
        <v>37</v>
      </c>
      <c r="Q83" s="232">
        <v>464</v>
      </c>
      <c r="R83" s="233">
        <v>4237</v>
      </c>
      <c r="S83" s="232">
        <v>43344</v>
      </c>
      <c r="T83" s="233">
        <v>462381</v>
      </c>
      <c r="V83" s="228"/>
      <c r="X83" s="304"/>
    </row>
    <row r="84" spans="1:24" x14ac:dyDescent="0.15">
      <c r="A84" s="172">
        <v>34</v>
      </c>
      <c r="B84" s="173">
        <v>43698</v>
      </c>
      <c r="C84" s="174" t="s">
        <v>362</v>
      </c>
      <c r="D84" s="291">
        <v>3</v>
      </c>
      <c r="E84" s="291">
        <v>2</v>
      </c>
      <c r="F84" s="291">
        <v>7</v>
      </c>
      <c r="G84" s="291">
        <v>1</v>
      </c>
      <c r="H84" s="291">
        <v>3</v>
      </c>
      <c r="I84" s="291">
        <v>2</v>
      </c>
      <c r="J84" s="292">
        <v>4</v>
      </c>
      <c r="K84" s="222">
        <v>4995762.5</v>
      </c>
      <c r="L84" s="223" t="s">
        <v>23</v>
      </c>
      <c r="M84" s="224" t="s">
        <v>368</v>
      </c>
      <c r="N84" s="225">
        <v>355198.7</v>
      </c>
      <c r="O84" s="226" t="s">
        <v>17</v>
      </c>
      <c r="P84" s="227">
        <v>19</v>
      </c>
      <c r="Q84" s="226">
        <v>185</v>
      </c>
      <c r="R84" s="227">
        <v>1797</v>
      </c>
      <c r="S84" s="226">
        <v>17430</v>
      </c>
      <c r="T84" s="227">
        <v>171950</v>
      </c>
      <c r="V84" s="228"/>
      <c r="X84" s="304"/>
    </row>
    <row r="85" spans="1:24" x14ac:dyDescent="0.15">
      <c r="A85" s="178"/>
      <c r="B85" s="179">
        <v>43701</v>
      </c>
      <c r="C85" s="180" t="s">
        <v>363</v>
      </c>
      <c r="D85" s="289">
        <v>9</v>
      </c>
      <c r="E85" s="289">
        <v>2</v>
      </c>
      <c r="F85" s="289">
        <v>0</v>
      </c>
      <c r="G85" s="289">
        <v>5</v>
      </c>
      <c r="H85" s="289">
        <v>6</v>
      </c>
      <c r="I85" s="289">
        <v>0</v>
      </c>
      <c r="J85" s="303">
        <v>3</v>
      </c>
      <c r="K85" s="229">
        <v>12570772.5</v>
      </c>
      <c r="L85" s="230">
        <v>1</v>
      </c>
      <c r="M85" s="229">
        <v>1177777</v>
      </c>
      <c r="N85" s="231">
        <v>0</v>
      </c>
      <c r="O85" s="232">
        <v>2</v>
      </c>
      <c r="P85" s="233">
        <v>43</v>
      </c>
      <c r="Q85" s="232">
        <v>392</v>
      </c>
      <c r="R85" s="233">
        <v>3870</v>
      </c>
      <c r="S85" s="232">
        <v>39344</v>
      </c>
      <c r="T85" s="233">
        <v>474596</v>
      </c>
      <c r="V85" s="228"/>
      <c r="X85" s="304"/>
    </row>
    <row r="86" spans="1:24" x14ac:dyDescent="0.15">
      <c r="A86" s="172">
        <v>35</v>
      </c>
      <c r="B86" s="173">
        <v>43705</v>
      </c>
      <c r="C86" s="174" t="s">
        <v>362</v>
      </c>
      <c r="D86" s="291">
        <v>9</v>
      </c>
      <c r="E86" s="291">
        <v>1</v>
      </c>
      <c r="F86" s="291">
        <v>9</v>
      </c>
      <c r="G86" s="291">
        <v>4</v>
      </c>
      <c r="H86" s="291">
        <v>1</v>
      </c>
      <c r="I86" s="291">
        <v>0</v>
      </c>
      <c r="J86" s="292">
        <v>8</v>
      </c>
      <c r="K86" s="222">
        <v>5017525</v>
      </c>
      <c r="L86" s="223" t="s">
        <v>23</v>
      </c>
      <c r="M86" s="224" t="s">
        <v>368</v>
      </c>
      <c r="N86" s="225">
        <v>356746</v>
      </c>
      <c r="O86" s="226">
        <v>2</v>
      </c>
      <c r="P86" s="227">
        <v>15</v>
      </c>
      <c r="Q86" s="226">
        <v>184</v>
      </c>
      <c r="R86" s="227">
        <v>1585</v>
      </c>
      <c r="S86" s="226">
        <v>16224</v>
      </c>
      <c r="T86" s="227">
        <v>196463</v>
      </c>
      <c r="V86" s="228"/>
      <c r="X86" s="304"/>
    </row>
    <row r="87" spans="1:24" x14ac:dyDescent="0.15">
      <c r="A87" s="178"/>
      <c r="B87" s="179">
        <v>43708</v>
      </c>
      <c r="C87" s="180" t="s">
        <v>363</v>
      </c>
      <c r="D87" s="289">
        <v>0</v>
      </c>
      <c r="E87" s="289">
        <v>8</v>
      </c>
      <c r="F87" s="289">
        <v>1</v>
      </c>
      <c r="G87" s="289">
        <v>4</v>
      </c>
      <c r="H87" s="289">
        <v>2</v>
      </c>
      <c r="I87" s="289">
        <v>4</v>
      </c>
      <c r="J87" s="303">
        <v>3</v>
      </c>
      <c r="K87" s="229">
        <v>11640177.5</v>
      </c>
      <c r="L87" s="230" t="s">
        <v>23</v>
      </c>
      <c r="M87" s="229" t="s">
        <v>368</v>
      </c>
      <c r="N87" s="231">
        <v>1184362.5999999999</v>
      </c>
      <c r="O87" s="232">
        <v>4</v>
      </c>
      <c r="P87" s="233">
        <v>48</v>
      </c>
      <c r="Q87" s="232">
        <v>442</v>
      </c>
      <c r="R87" s="233">
        <v>4242</v>
      </c>
      <c r="S87" s="232">
        <v>42592</v>
      </c>
      <c r="T87" s="233">
        <v>435380</v>
      </c>
      <c r="V87" s="228"/>
      <c r="X87" s="304"/>
    </row>
    <row r="88" spans="1:24" x14ac:dyDescent="0.15">
      <c r="A88" s="172">
        <v>36</v>
      </c>
      <c r="B88" s="173">
        <v>43712</v>
      </c>
      <c r="C88" s="174" t="s">
        <v>362</v>
      </c>
      <c r="D88" s="291">
        <v>3</v>
      </c>
      <c r="E88" s="291">
        <v>7</v>
      </c>
      <c r="F88" s="291">
        <v>8</v>
      </c>
      <c r="G88" s="291">
        <v>8</v>
      </c>
      <c r="H88" s="291">
        <v>3</v>
      </c>
      <c r="I88" s="291">
        <v>4</v>
      </c>
      <c r="J88" s="292">
        <v>7</v>
      </c>
      <c r="K88" s="222">
        <v>4962750</v>
      </c>
      <c r="L88" s="234" t="s">
        <v>23</v>
      </c>
      <c r="M88" s="224" t="s">
        <v>368</v>
      </c>
      <c r="N88" s="225">
        <v>1537214.1000000003</v>
      </c>
      <c r="O88" s="226">
        <v>3</v>
      </c>
      <c r="P88" s="227">
        <v>14</v>
      </c>
      <c r="Q88" s="226">
        <v>219</v>
      </c>
      <c r="R88" s="227">
        <v>2325</v>
      </c>
      <c r="S88" s="226">
        <v>22508</v>
      </c>
      <c r="T88" s="227">
        <v>220125</v>
      </c>
      <c r="V88" s="228"/>
      <c r="X88" s="304"/>
    </row>
    <row r="89" spans="1:24" x14ac:dyDescent="0.15">
      <c r="A89" s="178"/>
      <c r="B89" s="179">
        <v>43715</v>
      </c>
      <c r="C89" s="180" t="s">
        <v>363</v>
      </c>
      <c r="D89" s="289">
        <v>9</v>
      </c>
      <c r="E89" s="289">
        <v>7</v>
      </c>
      <c r="F89" s="289">
        <v>1</v>
      </c>
      <c r="G89" s="289">
        <v>6</v>
      </c>
      <c r="H89" s="289">
        <v>2</v>
      </c>
      <c r="I89" s="289">
        <v>4</v>
      </c>
      <c r="J89" s="303">
        <v>9</v>
      </c>
      <c r="K89" s="229">
        <v>11884532.5</v>
      </c>
      <c r="L89" s="237" t="s">
        <v>23</v>
      </c>
      <c r="M89" s="229" t="s">
        <v>368</v>
      </c>
      <c r="N89" s="231">
        <v>2382204.4</v>
      </c>
      <c r="O89" s="232" t="s">
        <v>17</v>
      </c>
      <c r="P89" s="233">
        <v>46</v>
      </c>
      <c r="Q89" s="232">
        <v>462</v>
      </c>
      <c r="R89" s="233">
        <v>4435</v>
      </c>
      <c r="S89" s="232">
        <v>44454</v>
      </c>
      <c r="T89" s="233">
        <v>425966</v>
      </c>
      <c r="V89" s="228"/>
      <c r="X89" s="304"/>
    </row>
    <row r="90" spans="1:24" x14ac:dyDescent="0.15">
      <c r="A90" s="172">
        <v>37</v>
      </c>
      <c r="B90" s="173">
        <v>43719</v>
      </c>
      <c r="C90" s="174" t="s">
        <v>362</v>
      </c>
      <c r="D90" s="310">
        <v>2</v>
      </c>
      <c r="E90" s="310">
        <v>2</v>
      </c>
      <c r="F90" s="310">
        <v>2</v>
      </c>
      <c r="G90" s="310">
        <v>0</v>
      </c>
      <c r="H90" s="310">
        <v>8</v>
      </c>
      <c r="I90" s="310">
        <v>5</v>
      </c>
      <c r="J90" s="311">
        <v>8</v>
      </c>
      <c r="K90" s="312">
        <v>4798212.5</v>
      </c>
      <c r="L90" s="313" t="s">
        <v>23</v>
      </c>
      <c r="M90" s="314" t="s">
        <v>368</v>
      </c>
      <c r="N90" s="315">
        <v>2723357.2999999993</v>
      </c>
      <c r="O90" s="316">
        <v>2</v>
      </c>
      <c r="P90" s="317">
        <v>19</v>
      </c>
      <c r="Q90" s="316">
        <v>206</v>
      </c>
      <c r="R90" s="317">
        <v>2055</v>
      </c>
      <c r="S90" s="316">
        <v>19280</v>
      </c>
      <c r="T90" s="317">
        <v>183103</v>
      </c>
      <c r="V90" s="228"/>
      <c r="X90" s="304"/>
    </row>
    <row r="91" spans="1:24" x14ac:dyDescent="0.15">
      <c r="A91" s="178"/>
      <c r="B91" s="179">
        <v>43722</v>
      </c>
      <c r="C91" s="180" t="s">
        <v>363</v>
      </c>
      <c r="D91" s="289">
        <v>5</v>
      </c>
      <c r="E91" s="289">
        <v>3</v>
      </c>
      <c r="F91" s="289">
        <v>4</v>
      </c>
      <c r="G91" s="289">
        <v>5</v>
      </c>
      <c r="H91" s="289">
        <v>0</v>
      </c>
      <c r="I91" s="289">
        <v>1</v>
      </c>
      <c r="J91" s="303">
        <v>2</v>
      </c>
      <c r="K91" s="229">
        <v>11969202.5</v>
      </c>
      <c r="L91" s="230" t="s">
        <v>23</v>
      </c>
      <c r="M91" s="229" t="s">
        <v>368</v>
      </c>
      <c r="N91" s="231">
        <v>3574367.5999999996</v>
      </c>
      <c r="O91" s="232">
        <v>3</v>
      </c>
      <c r="P91" s="233">
        <v>36</v>
      </c>
      <c r="Q91" s="232">
        <v>390</v>
      </c>
      <c r="R91" s="233">
        <v>3864</v>
      </c>
      <c r="S91" s="232">
        <v>39525</v>
      </c>
      <c r="T91" s="233">
        <v>388480</v>
      </c>
      <c r="V91" s="228"/>
      <c r="X91" s="304"/>
    </row>
    <row r="92" spans="1:24" x14ac:dyDescent="0.15">
      <c r="A92" s="172">
        <v>38</v>
      </c>
      <c r="B92" s="173">
        <v>43726</v>
      </c>
      <c r="C92" s="174" t="s">
        <v>362</v>
      </c>
      <c r="D92" s="291">
        <v>5</v>
      </c>
      <c r="E92" s="291">
        <v>2</v>
      </c>
      <c r="F92" s="291">
        <v>7</v>
      </c>
      <c r="G92" s="291">
        <v>2</v>
      </c>
      <c r="H92" s="291">
        <v>6</v>
      </c>
      <c r="I92" s="291">
        <v>5</v>
      </c>
      <c r="J92" s="292">
        <v>6</v>
      </c>
      <c r="K92" s="222">
        <v>4979000</v>
      </c>
      <c r="L92" s="223" t="s">
        <v>23</v>
      </c>
      <c r="M92" s="224" t="s">
        <v>368</v>
      </c>
      <c r="N92" s="225">
        <v>3928374.5</v>
      </c>
      <c r="O92" s="226">
        <v>3</v>
      </c>
      <c r="P92" s="226">
        <v>19</v>
      </c>
      <c r="Q92" s="227">
        <v>191</v>
      </c>
      <c r="R92" s="226">
        <v>2078</v>
      </c>
      <c r="S92" s="227">
        <v>20125</v>
      </c>
      <c r="T92" s="226">
        <v>187670</v>
      </c>
      <c r="V92" s="228"/>
      <c r="X92" s="304"/>
    </row>
    <row r="93" spans="1:24" x14ac:dyDescent="0.15">
      <c r="A93" s="178"/>
      <c r="B93" s="179">
        <v>43729</v>
      </c>
      <c r="C93" s="180" t="s">
        <v>363</v>
      </c>
      <c r="D93" s="289">
        <v>9</v>
      </c>
      <c r="E93" s="289">
        <v>7</v>
      </c>
      <c r="F93" s="289">
        <v>6</v>
      </c>
      <c r="G93" s="289">
        <v>7</v>
      </c>
      <c r="H93" s="289">
        <v>3</v>
      </c>
      <c r="I93" s="289">
        <v>8</v>
      </c>
      <c r="J93" s="303">
        <v>8</v>
      </c>
      <c r="K93" s="229">
        <v>11678932.5</v>
      </c>
      <c r="L93" s="237" t="s">
        <v>23</v>
      </c>
      <c r="M93" s="229" t="s">
        <v>368</v>
      </c>
      <c r="N93" s="231">
        <v>4758746.6000000006</v>
      </c>
      <c r="O93" s="232">
        <v>1</v>
      </c>
      <c r="P93" s="232">
        <v>46</v>
      </c>
      <c r="Q93" s="233">
        <v>475</v>
      </c>
      <c r="R93" s="232">
        <v>4872</v>
      </c>
      <c r="S93" s="233">
        <v>49667</v>
      </c>
      <c r="T93" s="232">
        <v>455533</v>
      </c>
      <c r="V93" s="228"/>
      <c r="X93" s="304"/>
    </row>
    <row r="94" spans="1:24" x14ac:dyDescent="0.15">
      <c r="A94" s="172">
        <v>39</v>
      </c>
      <c r="B94" s="173">
        <v>43733</v>
      </c>
      <c r="C94" s="174" t="s">
        <v>362</v>
      </c>
      <c r="D94" s="291">
        <v>7</v>
      </c>
      <c r="E94" s="291">
        <v>0</v>
      </c>
      <c r="F94" s="291">
        <v>9</v>
      </c>
      <c r="G94" s="291">
        <v>8</v>
      </c>
      <c r="H94" s="291">
        <v>5</v>
      </c>
      <c r="I94" s="291">
        <v>7</v>
      </c>
      <c r="J94" s="292">
        <v>7</v>
      </c>
      <c r="K94" s="222">
        <v>4920182.5</v>
      </c>
      <c r="L94" s="234" t="s">
        <v>23</v>
      </c>
      <c r="M94" s="224" t="s">
        <v>368</v>
      </c>
      <c r="N94" s="225">
        <v>5108571.5999999987</v>
      </c>
      <c r="O94" s="226">
        <v>5</v>
      </c>
      <c r="P94" s="226">
        <v>29</v>
      </c>
      <c r="Q94" s="227">
        <v>279</v>
      </c>
      <c r="R94" s="226">
        <v>2537</v>
      </c>
      <c r="S94" s="227">
        <v>29253</v>
      </c>
      <c r="T94" s="226">
        <v>210392</v>
      </c>
      <c r="V94" s="228"/>
      <c r="X94" s="304"/>
    </row>
    <row r="95" spans="1:24" x14ac:dyDescent="0.15">
      <c r="A95" s="178"/>
      <c r="B95" s="179">
        <v>43736</v>
      </c>
      <c r="C95" s="180" t="s">
        <v>363</v>
      </c>
      <c r="D95" s="289">
        <v>2</v>
      </c>
      <c r="E95" s="289">
        <v>8</v>
      </c>
      <c r="F95" s="289">
        <v>1</v>
      </c>
      <c r="G95" s="289">
        <v>2</v>
      </c>
      <c r="H95" s="289">
        <v>2</v>
      </c>
      <c r="I95" s="289">
        <v>8</v>
      </c>
      <c r="J95" s="303">
        <v>3</v>
      </c>
      <c r="K95" s="229">
        <v>11885912.5</v>
      </c>
      <c r="L95" s="230" t="s">
        <v>23</v>
      </c>
      <c r="M95" s="229" t="s">
        <v>368</v>
      </c>
      <c r="N95" s="231">
        <v>5953659.9999999991</v>
      </c>
      <c r="O95" s="232">
        <v>3</v>
      </c>
      <c r="P95" s="233">
        <v>32</v>
      </c>
      <c r="Q95" s="232">
        <v>414</v>
      </c>
      <c r="R95" s="233">
        <v>4551</v>
      </c>
      <c r="S95" s="232">
        <v>44706</v>
      </c>
      <c r="T95" s="233">
        <v>443923</v>
      </c>
      <c r="V95" s="228"/>
      <c r="X95" s="304"/>
    </row>
    <row r="96" spans="1:24" x14ac:dyDescent="0.15">
      <c r="A96" s="172">
        <v>40</v>
      </c>
      <c r="B96" s="173">
        <v>43740</v>
      </c>
      <c r="C96" s="174" t="s">
        <v>362</v>
      </c>
      <c r="D96" s="291">
        <v>2</v>
      </c>
      <c r="E96" s="291">
        <v>4</v>
      </c>
      <c r="F96" s="291">
        <v>6</v>
      </c>
      <c r="G96" s="291">
        <v>6</v>
      </c>
      <c r="H96" s="291">
        <v>9</v>
      </c>
      <c r="I96" s="291">
        <v>0</v>
      </c>
      <c r="J96" s="292">
        <v>6</v>
      </c>
      <c r="K96" s="222">
        <v>5246192.5</v>
      </c>
      <c r="L96" s="234" t="s">
        <v>23</v>
      </c>
      <c r="M96" s="224" t="s">
        <v>368</v>
      </c>
      <c r="N96" s="225">
        <v>6326664.2999999998</v>
      </c>
      <c r="O96" s="226">
        <v>4</v>
      </c>
      <c r="P96" s="226">
        <v>13</v>
      </c>
      <c r="Q96" s="227">
        <v>167</v>
      </c>
      <c r="R96" s="226">
        <v>1671</v>
      </c>
      <c r="S96" s="227">
        <v>16594</v>
      </c>
      <c r="T96" s="226">
        <v>202031</v>
      </c>
      <c r="V96" s="228"/>
      <c r="X96" s="304"/>
    </row>
    <row r="97" spans="1:24" x14ac:dyDescent="0.15">
      <c r="A97" s="178"/>
      <c r="B97" s="179">
        <v>43743</v>
      </c>
      <c r="C97" s="180" t="s">
        <v>363</v>
      </c>
      <c r="D97" s="289">
        <v>1</v>
      </c>
      <c r="E97" s="289">
        <v>5</v>
      </c>
      <c r="F97" s="289">
        <v>6</v>
      </c>
      <c r="G97" s="289">
        <v>1</v>
      </c>
      <c r="H97" s="289">
        <v>2</v>
      </c>
      <c r="I97" s="289">
        <v>6</v>
      </c>
      <c r="J97" s="303">
        <v>6</v>
      </c>
      <c r="K97" s="229">
        <v>11947527.5</v>
      </c>
      <c r="L97" s="237" t="s">
        <v>23</v>
      </c>
      <c r="M97" s="229" t="s">
        <v>368</v>
      </c>
      <c r="N97" s="231">
        <v>7176133.5000000009</v>
      </c>
      <c r="O97" s="232">
        <v>7</v>
      </c>
      <c r="P97" s="233">
        <v>48</v>
      </c>
      <c r="Q97" s="232">
        <v>530</v>
      </c>
      <c r="R97" s="233">
        <v>4689</v>
      </c>
      <c r="S97" s="232">
        <v>48343</v>
      </c>
      <c r="T97" s="233">
        <v>438355</v>
      </c>
      <c r="V97" s="228"/>
      <c r="X97" s="304"/>
    </row>
    <row r="98" spans="1:24" x14ac:dyDescent="0.15">
      <c r="A98" s="172">
        <v>41</v>
      </c>
      <c r="B98" s="173">
        <v>43747</v>
      </c>
      <c r="C98" s="174" t="s">
        <v>362</v>
      </c>
      <c r="D98" s="291">
        <v>7</v>
      </c>
      <c r="E98" s="291">
        <v>6</v>
      </c>
      <c r="F98" s="291">
        <v>8</v>
      </c>
      <c r="G98" s="291">
        <v>7</v>
      </c>
      <c r="H98" s="291">
        <v>4</v>
      </c>
      <c r="I98" s="291">
        <v>3</v>
      </c>
      <c r="J98" s="292">
        <v>1</v>
      </c>
      <c r="K98" s="222">
        <v>5578612.5</v>
      </c>
      <c r="L98" s="223" t="s">
        <v>23</v>
      </c>
      <c r="M98" s="224" t="s">
        <v>368</v>
      </c>
      <c r="N98" s="225">
        <v>0</v>
      </c>
      <c r="O98" s="226">
        <v>2</v>
      </c>
      <c r="P98" s="227">
        <v>17</v>
      </c>
      <c r="Q98" s="226">
        <v>177</v>
      </c>
      <c r="R98" s="227">
        <v>1664</v>
      </c>
      <c r="S98" s="226">
        <v>17317</v>
      </c>
      <c r="T98" s="227">
        <v>169608</v>
      </c>
      <c r="V98" s="228"/>
      <c r="X98" s="304"/>
    </row>
    <row r="99" spans="1:24" x14ac:dyDescent="0.15">
      <c r="A99" s="178"/>
      <c r="B99" s="179">
        <v>43750</v>
      </c>
      <c r="C99" s="180" t="s">
        <v>363</v>
      </c>
      <c r="D99" s="289">
        <v>3</v>
      </c>
      <c r="E99" s="289">
        <v>2</v>
      </c>
      <c r="F99" s="289">
        <v>4</v>
      </c>
      <c r="G99" s="289">
        <v>6</v>
      </c>
      <c r="H99" s="289">
        <v>5</v>
      </c>
      <c r="I99" s="289">
        <v>9</v>
      </c>
      <c r="J99" s="303">
        <v>4</v>
      </c>
      <c r="K99" s="229">
        <v>12192867.5</v>
      </c>
      <c r="L99" s="230">
        <v>2</v>
      </c>
      <c r="M99" s="229">
        <v>377777</v>
      </c>
      <c r="N99" s="231">
        <v>0</v>
      </c>
      <c r="O99" s="232">
        <v>11</v>
      </c>
      <c r="P99" s="233">
        <v>31</v>
      </c>
      <c r="Q99" s="232">
        <v>411</v>
      </c>
      <c r="R99" s="233">
        <v>3934</v>
      </c>
      <c r="S99" s="232">
        <v>39137</v>
      </c>
      <c r="T99" s="233">
        <v>423066</v>
      </c>
      <c r="V99" s="228"/>
      <c r="X99" s="304"/>
    </row>
    <row r="100" spans="1:24" x14ac:dyDescent="0.15">
      <c r="A100" s="172">
        <v>42</v>
      </c>
      <c r="B100" s="173">
        <v>43754</v>
      </c>
      <c r="C100" s="174" t="s">
        <v>362</v>
      </c>
      <c r="D100" s="291">
        <v>1</v>
      </c>
      <c r="E100" s="291">
        <v>5</v>
      </c>
      <c r="F100" s="291">
        <v>4</v>
      </c>
      <c r="G100" s="291">
        <v>2</v>
      </c>
      <c r="H100" s="291">
        <v>3</v>
      </c>
      <c r="I100" s="291">
        <v>7</v>
      </c>
      <c r="J100" s="292">
        <v>2</v>
      </c>
      <c r="K100" s="222">
        <v>4881282.5</v>
      </c>
      <c r="L100" s="234" t="s">
        <v>23</v>
      </c>
      <c r="M100" s="224" t="s">
        <v>368</v>
      </c>
      <c r="N100" s="225">
        <v>347059.20000000001</v>
      </c>
      <c r="O100" s="226">
        <v>2</v>
      </c>
      <c r="P100" s="227">
        <v>14</v>
      </c>
      <c r="Q100" s="226">
        <v>151</v>
      </c>
      <c r="R100" s="227">
        <v>1604</v>
      </c>
      <c r="S100" s="226">
        <v>15579</v>
      </c>
      <c r="T100" s="227">
        <v>154488</v>
      </c>
      <c r="V100" s="228"/>
      <c r="X100" s="304"/>
    </row>
    <row r="101" spans="1:24" x14ac:dyDescent="0.15">
      <c r="A101" s="178"/>
      <c r="B101" s="179">
        <v>43757</v>
      </c>
      <c r="C101" s="180" t="s">
        <v>363</v>
      </c>
      <c r="D101" s="289">
        <v>0</v>
      </c>
      <c r="E101" s="289">
        <v>7</v>
      </c>
      <c r="F101" s="289">
        <v>8</v>
      </c>
      <c r="G101" s="289">
        <v>1</v>
      </c>
      <c r="H101" s="289">
        <v>4</v>
      </c>
      <c r="I101" s="289">
        <v>6</v>
      </c>
      <c r="J101" s="303">
        <v>5</v>
      </c>
      <c r="K101" s="229">
        <v>11867877.5</v>
      </c>
      <c r="L101" s="237" t="s">
        <v>23</v>
      </c>
      <c r="M101" s="229" t="s">
        <v>368</v>
      </c>
      <c r="N101" s="231">
        <v>1190865.3</v>
      </c>
      <c r="O101" s="232">
        <v>2</v>
      </c>
      <c r="P101" s="233">
        <v>41</v>
      </c>
      <c r="Q101" s="232">
        <v>514</v>
      </c>
      <c r="R101" s="233">
        <v>5036</v>
      </c>
      <c r="S101" s="232">
        <v>51023</v>
      </c>
      <c r="T101" s="233">
        <v>487721</v>
      </c>
      <c r="U101" s="228"/>
      <c r="V101" s="228"/>
      <c r="X101" s="304"/>
    </row>
    <row r="102" spans="1:24" x14ac:dyDescent="0.15">
      <c r="A102" s="172">
        <v>43</v>
      </c>
      <c r="B102" s="173">
        <v>43761</v>
      </c>
      <c r="C102" s="174" t="s">
        <v>362</v>
      </c>
      <c r="D102" s="291">
        <v>9</v>
      </c>
      <c r="E102" s="291">
        <v>0</v>
      </c>
      <c r="F102" s="291">
        <v>1</v>
      </c>
      <c r="G102" s="291">
        <v>3</v>
      </c>
      <c r="H102" s="291">
        <v>5</v>
      </c>
      <c r="I102" s="291">
        <v>5</v>
      </c>
      <c r="J102" s="292">
        <v>9</v>
      </c>
      <c r="K102" s="222">
        <v>4983665</v>
      </c>
      <c r="L102" s="223" t="s">
        <v>23</v>
      </c>
      <c r="M102" s="224" t="s">
        <v>368</v>
      </c>
      <c r="N102" s="225">
        <v>1545203.9000000004</v>
      </c>
      <c r="O102" s="226">
        <v>1</v>
      </c>
      <c r="P102" s="227">
        <v>18</v>
      </c>
      <c r="Q102" s="226">
        <v>140</v>
      </c>
      <c r="R102" s="227">
        <v>1640</v>
      </c>
      <c r="S102" s="226">
        <v>17844</v>
      </c>
      <c r="T102" s="227">
        <v>168315</v>
      </c>
      <c r="V102" s="228"/>
      <c r="X102" s="304"/>
    </row>
    <row r="103" spans="1:24" x14ac:dyDescent="0.15">
      <c r="A103" s="178"/>
      <c r="B103" s="287">
        <v>43764</v>
      </c>
      <c r="C103" s="180" t="s">
        <v>363</v>
      </c>
      <c r="D103" s="289">
        <v>1</v>
      </c>
      <c r="E103" s="289">
        <v>0</v>
      </c>
      <c r="F103" s="289">
        <v>2</v>
      </c>
      <c r="G103" s="289">
        <v>6</v>
      </c>
      <c r="H103" s="289">
        <v>8</v>
      </c>
      <c r="I103" s="289">
        <v>2</v>
      </c>
      <c r="J103" s="303">
        <v>5</v>
      </c>
      <c r="K103" s="229">
        <v>11894780</v>
      </c>
      <c r="L103" s="237">
        <v>1</v>
      </c>
      <c r="M103" s="229">
        <v>2377777</v>
      </c>
      <c r="N103" s="231">
        <v>0</v>
      </c>
      <c r="O103" s="232">
        <v>5</v>
      </c>
      <c r="P103" s="233">
        <v>61</v>
      </c>
      <c r="Q103" s="232">
        <v>529</v>
      </c>
      <c r="R103" s="233">
        <v>5185</v>
      </c>
      <c r="S103" s="232">
        <v>50696</v>
      </c>
      <c r="T103" s="233">
        <v>489739</v>
      </c>
      <c r="V103" s="228"/>
      <c r="X103" s="304"/>
    </row>
    <row r="104" spans="1:24" x14ac:dyDescent="0.15">
      <c r="A104" s="172">
        <v>44</v>
      </c>
      <c r="B104" s="173">
        <v>43768</v>
      </c>
      <c r="C104" s="174" t="s">
        <v>362</v>
      </c>
      <c r="D104" s="291">
        <v>3</v>
      </c>
      <c r="E104" s="291">
        <v>3</v>
      </c>
      <c r="F104" s="291">
        <v>2</v>
      </c>
      <c r="G104" s="291">
        <v>1</v>
      </c>
      <c r="H104" s="291">
        <v>9</v>
      </c>
      <c r="I104" s="291">
        <v>8</v>
      </c>
      <c r="J104" s="292">
        <v>8</v>
      </c>
      <c r="K104" s="222">
        <v>4975582.5</v>
      </c>
      <c r="L104" s="234" t="s">
        <v>23</v>
      </c>
      <c r="M104" s="224" t="s">
        <v>368</v>
      </c>
      <c r="N104" s="225">
        <v>353763.9</v>
      </c>
      <c r="O104" s="226">
        <v>2</v>
      </c>
      <c r="P104" s="227">
        <v>28</v>
      </c>
      <c r="Q104" s="226">
        <v>261</v>
      </c>
      <c r="R104" s="227">
        <v>2114</v>
      </c>
      <c r="S104" s="226">
        <v>22177</v>
      </c>
      <c r="T104" s="227">
        <v>188918</v>
      </c>
      <c r="V104" s="228"/>
      <c r="X104" s="304"/>
    </row>
    <row r="105" spans="1:24" x14ac:dyDescent="0.15">
      <c r="A105" s="178"/>
      <c r="B105" s="179">
        <v>43771</v>
      </c>
      <c r="C105" s="180" t="s">
        <v>363</v>
      </c>
      <c r="D105" s="289">
        <v>0</v>
      </c>
      <c r="E105" s="289">
        <v>3</v>
      </c>
      <c r="F105" s="289">
        <v>7</v>
      </c>
      <c r="G105" s="289">
        <v>2</v>
      </c>
      <c r="H105" s="289">
        <v>5</v>
      </c>
      <c r="I105" s="289">
        <v>2</v>
      </c>
      <c r="J105" s="303">
        <v>0</v>
      </c>
      <c r="K105" s="229">
        <v>12233325</v>
      </c>
      <c r="L105" s="237" t="s">
        <v>23</v>
      </c>
      <c r="M105" s="229" t="s">
        <v>368</v>
      </c>
      <c r="N105" s="231">
        <v>1223553.3000000003</v>
      </c>
      <c r="O105" s="232">
        <v>2</v>
      </c>
      <c r="P105" s="232">
        <v>27</v>
      </c>
      <c r="Q105" s="233">
        <v>291</v>
      </c>
      <c r="R105" s="232">
        <v>3070</v>
      </c>
      <c r="S105" s="233">
        <v>30787</v>
      </c>
      <c r="T105" s="232">
        <v>327099</v>
      </c>
      <c r="V105" s="228"/>
      <c r="X105" s="304"/>
    </row>
    <row r="106" spans="1:24" x14ac:dyDescent="0.15">
      <c r="A106" s="172">
        <v>45</v>
      </c>
      <c r="B106" s="173">
        <v>43775</v>
      </c>
      <c r="C106" s="174" t="s">
        <v>362</v>
      </c>
      <c r="D106" s="291">
        <v>1</v>
      </c>
      <c r="E106" s="291">
        <v>8</v>
      </c>
      <c r="F106" s="291">
        <v>1</v>
      </c>
      <c r="G106" s="291">
        <v>7</v>
      </c>
      <c r="H106" s="291">
        <v>6</v>
      </c>
      <c r="I106" s="291">
        <v>4</v>
      </c>
      <c r="J106" s="292">
        <v>3</v>
      </c>
      <c r="K106" s="222">
        <v>5157335</v>
      </c>
      <c r="L106" s="223" t="s">
        <v>23</v>
      </c>
      <c r="M106" s="224" t="s">
        <v>368</v>
      </c>
      <c r="N106" s="225">
        <v>1590239.8000000005</v>
      </c>
      <c r="O106" s="226">
        <v>2</v>
      </c>
      <c r="P106" s="227">
        <v>13</v>
      </c>
      <c r="Q106" s="226">
        <v>203</v>
      </c>
      <c r="R106" s="227">
        <v>1916</v>
      </c>
      <c r="S106" s="226">
        <v>19461</v>
      </c>
      <c r="T106" s="227">
        <v>199706</v>
      </c>
      <c r="V106" s="228"/>
      <c r="X106" s="304"/>
    </row>
    <row r="107" spans="1:24" x14ac:dyDescent="0.15">
      <c r="A107" s="178"/>
      <c r="B107" s="179">
        <v>43778</v>
      </c>
      <c r="C107" s="180" t="s">
        <v>363</v>
      </c>
      <c r="D107" s="289">
        <v>4</v>
      </c>
      <c r="E107" s="289">
        <v>3</v>
      </c>
      <c r="F107" s="289">
        <v>2</v>
      </c>
      <c r="G107" s="289">
        <v>9</v>
      </c>
      <c r="H107" s="289">
        <v>4</v>
      </c>
      <c r="I107" s="289">
        <v>4</v>
      </c>
      <c r="J107" s="303">
        <v>6</v>
      </c>
      <c r="K107" s="229">
        <v>12928292.5</v>
      </c>
      <c r="L107" s="237">
        <v>1</v>
      </c>
      <c r="M107" s="229">
        <v>2477777</v>
      </c>
      <c r="N107" s="231">
        <v>0</v>
      </c>
      <c r="O107" s="232">
        <v>3</v>
      </c>
      <c r="P107" s="233">
        <v>40</v>
      </c>
      <c r="Q107" s="232">
        <v>428</v>
      </c>
      <c r="R107" s="233">
        <v>4464</v>
      </c>
      <c r="S107" s="232">
        <v>49415</v>
      </c>
      <c r="T107" s="233">
        <v>480302</v>
      </c>
      <c r="V107" s="228"/>
      <c r="X107" s="304"/>
    </row>
    <row r="108" spans="1:24" x14ac:dyDescent="0.15">
      <c r="A108" s="172">
        <v>46</v>
      </c>
      <c r="B108" s="173">
        <v>43782</v>
      </c>
      <c r="C108" s="174" t="s">
        <v>362</v>
      </c>
      <c r="D108" s="291">
        <v>3</v>
      </c>
      <c r="E108" s="291">
        <v>2</v>
      </c>
      <c r="F108" s="291">
        <v>8</v>
      </c>
      <c r="G108" s="291">
        <v>1</v>
      </c>
      <c r="H108" s="291">
        <v>4</v>
      </c>
      <c r="I108" s="291">
        <v>6</v>
      </c>
      <c r="J108" s="292">
        <v>6</v>
      </c>
      <c r="K108" s="222">
        <v>5325010</v>
      </c>
      <c r="L108" s="234">
        <v>1</v>
      </c>
      <c r="M108" s="224">
        <v>377777</v>
      </c>
      <c r="N108" s="225">
        <v>0</v>
      </c>
      <c r="O108" s="226">
        <v>4</v>
      </c>
      <c r="P108" s="227">
        <v>24</v>
      </c>
      <c r="Q108" s="226">
        <v>196</v>
      </c>
      <c r="R108" s="227">
        <v>2163</v>
      </c>
      <c r="S108" s="226">
        <v>23606</v>
      </c>
      <c r="T108" s="227">
        <v>202893</v>
      </c>
      <c r="V108" s="228"/>
      <c r="X108" s="304"/>
    </row>
    <row r="109" spans="1:24" x14ac:dyDescent="0.15">
      <c r="A109" s="178"/>
      <c r="B109" s="179">
        <v>43785</v>
      </c>
      <c r="C109" s="180" t="s">
        <v>363</v>
      </c>
      <c r="D109" s="289">
        <v>3</v>
      </c>
      <c r="E109" s="289">
        <v>4</v>
      </c>
      <c r="F109" s="289">
        <v>0</v>
      </c>
      <c r="G109" s="289">
        <v>5</v>
      </c>
      <c r="H109" s="289">
        <v>5</v>
      </c>
      <c r="I109" s="289">
        <v>2</v>
      </c>
      <c r="J109" s="303">
        <v>7</v>
      </c>
      <c r="K109" s="229">
        <v>13256315</v>
      </c>
      <c r="L109" s="237">
        <v>1</v>
      </c>
      <c r="M109" s="229">
        <v>877777</v>
      </c>
      <c r="N109" s="231">
        <v>0</v>
      </c>
      <c r="O109" s="232">
        <v>3</v>
      </c>
      <c r="P109" s="233">
        <v>45</v>
      </c>
      <c r="Q109" s="232">
        <v>574</v>
      </c>
      <c r="R109" s="233">
        <v>5921</v>
      </c>
      <c r="S109" s="232">
        <v>57878</v>
      </c>
      <c r="T109" s="233">
        <v>580644</v>
      </c>
      <c r="V109" s="228"/>
      <c r="X109" s="304"/>
    </row>
    <row r="110" spans="1:24" x14ac:dyDescent="0.15">
      <c r="A110" s="172">
        <v>47</v>
      </c>
      <c r="B110" s="173">
        <v>43789</v>
      </c>
      <c r="C110" s="174" t="s">
        <v>362</v>
      </c>
      <c r="D110" s="291">
        <v>4</v>
      </c>
      <c r="E110" s="291">
        <v>7</v>
      </c>
      <c r="F110" s="291">
        <v>1</v>
      </c>
      <c r="G110" s="291">
        <v>0</v>
      </c>
      <c r="H110" s="291">
        <v>2</v>
      </c>
      <c r="I110" s="291">
        <v>9</v>
      </c>
      <c r="J110" s="292">
        <v>0</v>
      </c>
      <c r="K110" s="222">
        <v>4934212.5</v>
      </c>
      <c r="L110" s="234" t="s">
        <v>23</v>
      </c>
      <c r="M110" s="224" t="s">
        <v>368</v>
      </c>
      <c r="N110" s="225">
        <v>350822.5</v>
      </c>
      <c r="O110" s="226" t="s">
        <v>17</v>
      </c>
      <c r="P110" s="227">
        <v>8</v>
      </c>
      <c r="Q110" s="226">
        <v>144</v>
      </c>
      <c r="R110" s="227">
        <v>1233</v>
      </c>
      <c r="S110" s="226">
        <v>12313</v>
      </c>
      <c r="T110" s="227">
        <v>134512</v>
      </c>
      <c r="V110" s="228"/>
      <c r="X110" s="304"/>
    </row>
    <row r="111" spans="1:24" x14ac:dyDescent="0.15">
      <c r="A111" s="178"/>
      <c r="B111" s="179">
        <v>43792</v>
      </c>
      <c r="C111" s="180" t="s">
        <v>363</v>
      </c>
      <c r="D111" s="289">
        <v>8</v>
      </c>
      <c r="E111" s="289">
        <v>1</v>
      </c>
      <c r="F111" s="289">
        <v>2</v>
      </c>
      <c r="G111" s="289">
        <v>0</v>
      </c>
      <c r="H111" s="289">
        <v>1</v>
      </c>
      <c r="I111" s="289">
        <v>8</v>
      </c>
      <c r="J111" s="303">
        <v>8</v>
      </c>
      <c r="K111" s="229">
        <v>12627660</v>
      </c>
      <c r="L111" s="230" t="s">
        <v>23</v>
      </c>
      <c r="M111" s="229" t="s">
        <v>368</v>
      </c>
      <c r="N111" s="231">
        <v>1248649.0999999999</v>
      </c>
      <c r="O111" s="232">
        <v>7</v>
      </c>
      <c r="P111" s="233">
        <v>38</v>
      </c>
      <c r="Q111" s="232">
        <v>500</v>
      </c>
      <c r="R111" s="233">
        <v>4981</v>
      </c>
      <c r="S111" s="232">
        <v>54182</v>
      </c>
      <c r="T111" s="233">
        <v>494942</v>
      </c>
      <c r="V111" s="228"/>
      <c r="X111" s="304"/>
    </row>
    <row r="112" spans="1:24" x14ac:dyDescent="0.15">
      <c r="A112" s="172">
        <v>48</v>
      </c>
      <c r="B112" s="173">
        <v>43796</v>
      </c>
      <c r="C112" s="174" t="s">
        <v>362</v>
      </c>
      <c r="D112" s="291">
        <v>8</v>
      </c>
      <c r="E112" s="291">
        <v>6</v>
      </c>
      <c r="F112" s="291">
        <v>7</v>
      </c>
      <c r="G112" s="291">
        <v>7</v>
      </c>
      <c r="H112" s="291">
        <v>5</v>
      </c>
      <c r="I112" s="291">
        <v>3</v>
      </c>
      <c r="J112" s="292">
        <v>7</v>
      </c>
      <c r="K112" s="222">
        <v>4943967.5</v>
      </c>
      <c r="L112" s="234" t="s">
        <v>23</v>
      </c>
      <c r="M112" s="224" t="s">
        <v>368</v>
      </c>
      <c r="N112" s="225">
        <v>1600165.1999999997</v>
      </c>
      <c r="O112" s="226">
        <v>2</v>
      </c>
      <c r="P112" s="227">
        <v>26</v>
      </c>
      <c r="Q112" s="226">
        <v>265</v>
      </c>
      <c r="R112" s="227">
        <v>2250</v>
      </c>
      <c r="S112" s="226">
        <v>21167</v>
      </c>
      <c r="T112" s="227">
        <v>223416</v>
      </c>
      <c r="V112" s="228"/>
      <c r="X112" s="304"/>
    </row>
    <row r="113" spans="1:24" x14ac:dyDescent="0.15">
      <c r="A113" s="178"/>
      <c r="B113" s="179">
        <v>43799</v>
      </c>
      <c r="C113" s="180" t="s">
        <v>363</v>
      </c>
      <c r="D113" s="289">
        <v>5</v>
      </c>
      <c r="E113" s="289">
        <v>2</v>
      </c>
      <c r="F113" s="289">
        <v>7</v>
      </c>
      <c r="G113" s="289">
        <v>6</v>
      </c>
      <c r="H113" s="289">
        <v>5</v>
      </c>
      <c r="I113" s="289">
        <v>7</v>
      </c>
      <c r="J113" s="303">
        <v>1</v>
      </c>
      <c r="K113" s="229">
        <v>12148622.5</v>
      </c>
      <c r="L113" s="230" t="s">
        <v>23</v>
      </c>
      <c r="M113" s="229" t="s">
        <v>368</v>
      </c>
      <c r="N113" s="231">
        <v>2463932.3000000003</v>
      </c>
      <c r="O113" s="232">
        <v>3</v>
      </c>
      <c r="P113" s="233">
        <v>45</v>
      </c>
      <c r="Q113" s="232">
        <v>374</v>
      </c>
      <c r="R113" s="233">
        <v>3648</v>
      </c>
      <c r="S113" s="232">
        <v>37180</v>
      </c>
      <c r="T113" s="233">
        <v>366465</v>
      </c>
      <c r="V113" s="228"/>
      <c r="X113" s="304"/>
    </row>
    <row r="114" spans="1:24" x14ac:dyDescent="0.15">
      <c r="A114" s="172">
        <v>49</v>
      </c>
      <c r="B114" s="173">
        <v>43803</v>
      </c>
      <c r="C114" s="174" t="s">
        <v>362</v>
      </c>
      <c r="D114" s="291">
        <v>0</v>
      </c>
      <c r="E114" s="291">
        <v>5</v>
      </c>
      <c r="F114" s="291">
        <v>0</v>
      </c>
      <c r="G114" s="291">
        <v>5</v>
      </c>
      <c r="H114" s="291">
        <v>6</v>
      </c>
      <c r="I114" s="291">
        <v>7</v>
      </c>
      <c r="J114" s="292">
        <v>4</v>
      </c>
      <c r="K114" s="222">
        <v>5590160</v>
      </c>
      <c r="L114" s="234">
        <v>1</v>
      </c>
      <c r="M114" s="224">
        <v>2777777</v>
      </c>
      <c r="N114" s="225">
        <v>0</v>
      </c>
      <c r="O114" s="226">
        <v>3</v>
      </c>
      <c r="P114" s="227">
        <v>24</v>
      </c>
      <c r="Q114" s="226">
        <v>195</v>
      </c>
      <c r="R114" s="227">
        <v>1933</v>
      </c>
      <c r="S114" s="226">
        <v>18884</v>
      </c>
      <c r="T114" s="227">
        <v>193411</v>
      </c>
      <c r="V114" s="228"/>
      <c r="X114" s="304"/>
    </row>
    <row r="115" spans="1:24" x14ac:dyDescent="0.15">
      <c r="A115" s="178"/>
      <c r="B115" s="179">
        <v>43806</v>
      </c>
      <c r="C115" s="180" t="s">
        <v>363</v>
      </c>
      <c r="D115" s="289">
        <v>0</v>
      </c>
      <c r="E115" s="289">
        <v>3</v>
      </c>
      <c r="F115" s="289">
        <v>8</v>
      </c>
      <c r="G115" s="289">
        <v>1</v>
      </c>
      <c r="H115" s="289">
        <v>2</v>
      </c>
      <c r="I115" s="289">
        <v>0</v>
      </c>
      <c r="J115" s="303">
        <v>5</v>
      </c>
      <c r="K115" s="229">
        <v>13108310</v>
      </c>
      <c r="L115" s="230" t="s">
        <v>23</v>
      </c>
      <c r="M115" s="229" t="s">
        <v>368</v>
      </c>
      <c r="N115" s="231">
        <v>932000.8</v>
      </c>
      <c r="O115" s="232">
        <v>6</v>
      </c>
      <c r="P115" s="233">
        <v>53</v>
      </c>
      <c r="Q115" s="232">
        <v>466</v>
      </c>
      <c r="R115" s="233">
        <v>4474</v>
      </c>
      <c r="S115" s="232">
        <v>45487</v>
      </c>
      <c r="T115" s="233">
        <v>548700</v>
      </c>
      <c r="V115" s="228"/>
      <c r="X115" s="304"/>
    </row>
    <row r="116" spans="1:24" x14ac:dyDescent="0.15">
      <c r="A116" s="172">
        <v>50</v>
      </c>
      <c r="B116" s="173">
        <v>43810</v>
      </c>
      <c r="C116" s="174" t="s">
        <v>362</v>
      </c>
      <c r="D116" s="291">
        <v>4</v>
      </c>
      <c r="E116" s="291">
        <v>7</v>
      </c>
      <c r="F116" s="291">
        <v>4</v>
      </c>
      <c r="G116" s="291">
        <v>7</v>
      </c>
      <c r="H116" s="291">
        <v>2</v>
      </c>
      <c r="I116" s="291">
        <v>2</v>
      </c>
      <c r="J116" s="292">
        <v>9</v>
      </c>
      <c r="K116" s="222">
        <v>5502792.5</v>
      </c>
      <c r="L116" s="234">
        <v>1</v>
      </c>
      <c r="M116" s="224">
        <v>1277777</v>
      </c>
      <c r="N116" s="225">
        <v>0</v>
      </c>
      <c r="O116" s="226" t="s">
        <v>17</v>
      </c>
      <c r="P116" s="227">
        <v>18</v>
      </c>
      <c r="Q116" s="226">
        <v>165</v>
      </c>
      <c r="R116" s="227">
        <v>1832</v>
      </c>
      <c r="S116" s="226">
        <v>18852</v>
      </c>
      <c r="T116" s="227">
        <v>187245</v>
      </c>
      <c r="V116" s="228"/>
      <c r="X116" s="304"/>
    </row>
    <row r="117" spans="1:24" x14ac:dyDescent="0.15">
      <c r="A117" s="178"/>
      <c r="B117" s="179">
        <v>43813</v>
      </c>
      <c r="C117" s="180" t="s">
        <v>363</v>
      </c>
      <c r="D117" s="289">
        <v>6</v>
      </c>
      <c r="E117" s="289">
        <v>5</v>
      </c>
      <c r="F117" s="289">
        <v>2</v>
      </c>
      <c r="G117" s="289">
        <v>2</v>
      </c>
      <c r="H117" s="289">
        <v>9</v>
      </c>
      <c r="I117" s="289">
        <v>0</v>
      </c>
      <c r="J117" s="303">
        <v>4</v>
      </c>
      <c r="K117" s="229">
        <v>12917120</v>
      </c>
      <c r="L117" s="230" t="s">
        <v>23</v>
      </c>
      <c r="M117" s="229" t="s">
        <v>368</v>
      </c>
      <c r="N117" s="231">
        <v>918407.2</v>
      </c>
      <c r="O117" s="232">
        <v>5</v>
      </c>
      <c r="P117" s="233">
        <v>36</v>
      </c>
      <c r="Q117" s="232">
        <v>390</v>
      </c>
      <c r="R117" s="233">
        <v>4118</v>
      </c>
      <c r="S117" s="232">
        <v>39821</v>
      </c>
      <c r="T117" s="233">
        <v>446425</v>
      </c>
      <c r="V117" s="228"/>
      <c r="X117" s="304"/>
    </row>
    <row r="118" spans="1:24" x14ac:dyDescent="0.15">
      <c r="A118" s="172">
        <v>51</v>
      </c>
      <c r="B118" s="173">
        <v>43817</v>
      </c>
      <c r="C118" s="174" t="s">
        <v>362</v>
      </c>
      <c r="D118" s="291">
        <v>4</v>
      </c>
      <c r="E118" s="291">
        <v>0</v>
      </c>
      <c r="F118" s="291">
        <v>1</v>
      </c>
      <c r="G118" s="291">
        <v>0</v>
      </c>
      <c r="H118" s="291">
        <v>2</v>
      </c>
      <c r="I118" s="291">
        <v>3</v>
      </c>
      <c r="J118" s="292">
        <v>4</v>
      </c>
      <c r="K118" s="222">
        <v>5778962.5</v>
      </c>
      <c r="L118" s="234" t="s">
        <v>23</v>
      </c>
      <c r="M118" s="224" t="s">
        <v>368</v>
      </c>
      <c r="N118" s="225">
        <v>1329291.4000000001</v>
      </c>
      <c r="O118" s="226">
        <v>3</v>
      </c>
      <c r="P118" s="227">
        <v>16</v>
      </c>
      <c r="Q118" s="226">
        <v>193</v>
      </c>
      <c r="R118" s="227">
        <v>2012</v>
      </c>
      <c r="S118" s="226">
        <v>19214</v>
      </c>
      <c r="T118" s="227">
        <v>200390</v>
      </c>
      <c r="V118" s="228"/>
      <c r="X118" s="304"/>
    </row>
    <row r="119" spans="1:24" x14ac:dyDescent="0.15">
      <c r="A119" s="178"/>
      <c r="B119" s="179">
        <v>43820</v>
      </c>
      <c r="C119" s="180" t="s">
        <v>363</v>
      </c>
      <c r="D119" s="289">
        <v>2</v>
      </c>
      <c r="E119" s="289">
        <v>7</v>
      </c>
      <c r="F119" s="289">
        <v>9</v>
      </c>
      <c r="G119" s="289">
        <v>5</v>
      </c>
      <c r="H119" s="289">
        <v>0</v>
      </c>
      <c r="I119" s="289">
        <v>1</v>
      </c>
      <c r="J119" s="303">
        <v>3</v>
      </c>
      <c r="K119" s="229">
        <v>13494765</v>
      </c>
      <c r="L119" s="230">
        <v>1</v>
      </c>
      <c r="M119" s="229">
        <v>2277777</v>
      </c>
      <c r="N119" s="231">
        <v>0</v>
      </c>
      <c r="O119" s="232">
        <v>5</v>
      </c>
      <c r="P119" s="233">
        <v>77</v>
      </c>
      <c r="Q119" s="232">
        <v>571</v>
      </c>
      <c r="R119" s="233">
        <v>5574</v>
      </c>
      <c r="S119" s="232">
        <v>58119</v>
      </c>
      <c r="T119" s="233">
        <v>498189</v>
      </c>
      <c r="V119" s="228"/>
      <c r="X119" s="304"/>
    </row>
    <row r="120" spans="1:24" x14ac:dyDescent="0.15">
      <c r="A120" s="172">
        <v>52</v>
      </c>
      <c r="B120" s="173">
        <v>43824</v>
      </c>
      <c r="C120" s="174" t="s">
        <v>362</v>
      </c>
      <c r="D120" s="291">
        <v>6</v>
      </c>
      <c r="E120" s="291">
        <v>7</v>
      </c>
      <c r="F120" s="291">
        <v>1</v>
      </c>
      <c r="G120" s="291">
        <v>3</v>
      </c>
      <c r="H120" s="291">
        <v>8</v>
      </c>
      <c r="I120" s="291">
        <v>9</v>
      </c>
      <c r="J120" s="292">
        <v>9</v>
      </c>
      <c r="K120" s="222">
        <v>6113045</v>
      </c>
      <c r="L120" s="223" t="s">
        <v>23</v>
      </c>
      <c r="M120" s="224" t="s">
        <v>368</v>
      </c>
      <c r="N120" s="225">
        <v>434637.5</v>
      </c>
      <c r="O120" s="226">
        <v>4</v>
      </c>
      <c r="P120" s="227">
        <v>33</v>
      </c>
      <c r="Q120" s="226">
        <v>224</v>
      </c>
      <c r="R120" s="227">
        <v>2281</v>
      </c>
      <c r="S120" s="226">
        <v>21601</v>
      </c>
      <c r="T120" s="227">
        <v>209984</v>
      </c>
      <c r="V120" s="228"/>
      <c r="X120" s="304"/>
    </row>
    <row r="121" spans="1:24" x14ac:dyDescent="0.15">
      <c r="A121" s="178"/>
      <c r="B121" s="179">
        <v>43827</v>
      </c>
      <c r="C121" s="180" t="s">
        <v>363</v>
      </c>
      <c r="D121" s="307">
        <v>4</v>
      </c>
      <c r="E121" s="307">
        <v>1</v>
      </c>
      <c r="F121" s="307">
        <v>3</v>
      </c>
      <c r="G121" s="307">
        <v>9</v>
      </c>
      <c r="H121" s="307">
        <v>6</v>
      </c>
      <c r="I121" s="307">
        <v>5</v>
      </c>
      <c r="J121" s="308">
        <v>4</v>
      </c>
      <c r="K121" s="229">
        <v>13227215</v>
      </c>
      <c r="L121" s="237">
        <v>2</v>
      </c>
      <c r="M121" s="229">
        <v>677777</v>
      </c>
      <c r="N121" s="231">
        <v>0</v>
      </c>
      <c r="O121" s="232">
        <v>5</v>
      </c>
      <c r="P121" s="233">
        <v>44</v>
      </c>
      <c r="Q121" s="232">
        <v>499</v>
      </c>
      <c r="R121" s="233">
        <v>4877</v>
      </c>
      <c r="S121" s="232">
        <v>47377</v>
      </c>
      <c r="T121" s="233">
        <v>453707</v>
      </c>
      <c r="V121" s="228"/>
      <c r="X121" s="304"/>
    </row>
    <row r="122" spans="1:24" x14ac:dyDescent="0.15">
      <c r="A122" s="45"/>
      <c r="B122" s="46"/>
      <c r="C122" s="46"/>
      <c r="D122" s="309"/>
      <c r="E122" s="309"/>
      <c r="F122" s="309"/>
      <c r="G122" s="309"/>
      <c r="H122" s="309"/>
      <c r="I122" s="309" t="s">
        <v>24</v>
      </c>
      <c r="J122" s="309"/>
      <c r="K122" s="277"/>
      <c r="L122" s="278">
        <f>SUM(L70:L121)</f>
        <v>23</v>
      </c>
      <c r="M122" s="229"/>
      <c r="N122" s="278"/>
      <c r="O122" s="278">
        <f t="shared" ref="O122:T122" si="1">SUM(O70:O121)</f>
        <v>171</v>
      </c>
      <c r="P122" s="278">
        <f t="shared" si="1"/>
        <v>1645</v>
      </c>
      <c r="Q122" s="278">
        <f t="shared" si="1"/>
        <v>17088</v>
      </c>
      <c r="R122" s="278">
        <f t="shared" si="1"/>
        <v>169714</v>
      </c>
      <c r="S122" s="278">
        <f t="shared" si="1"/>
        <v>1718899</v>
      </c>
      <c r="T122" s="278">
        <f t="shared" si="1"/>
        <v>16785103</v>
      </c>
      <c r="V122" s="228"/>
      <c r="X122" s="304"/>
    </row>
    <row r="123" spans="1:24" x14ac:dyDescent="0.15">
      <c r="K123" s="222"/>
      <c r="V123" s="280"/>
      <c r="X123" s="304"/>
    </row>
  </sheetData>
  <printOptions horizontalCentered="1" verticalCentered="1"/>
  <pageMargins left="0" right="0" top="0" bottom="0.39370078740157483" header="0.23622047244094491" footer="0.23622047244094491"/>
  <pageSetup paperSize="9" scale="87" orientation="landscape" r:id="rId1"/>
  <headerFooter alignWithMargins="0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X125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8" customWidth="1"/>
    <col min="10" max="10" width="5" style="298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4" ht="14.1" customHeight="1" x14ac:dyDescent="0.2">
      <c r="A2" s="318" t="s">
        <v>364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20" t="s">
        <v>450</v>
      </c>
    </row>
    <row r="3" spans="1:24" ht="11.1" customHeight="1" x14ac:dyDescent="0.15">
      <c r="A3" s="321" t="s">
        <v>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</row>
    <row r="4" spans="1:24" ht="11.1" customHeight="1" x14ac:dyDescent="0.15">
      <c r="A4" s="311"/>
      <c r="B4" s="322"/>
      <c r="C4" s="323"/>
      <c r="D4" s="324"/>
      <c r="E4" s="324"/>
      <c r="F4" s="324"/>
      <c r="G4" s="324"/>
      <c r="H4" s="324"/>
      <c r="I4" s="324"/>
      <c r="J4" s="325"/>
      <c r="K4" s="322"/>
      <c r="L4" s="324"/>
      <c r="M4" s="326"/>
      <c r="N4" s="325"/>
      <c r="O4" s="322"/>
      <c r="P4" s="325"/>
      <c r="Q4" s="322"/>
      <c r="R4" s="325"/>
      <c r="S4" s="322"/>
      <c r="T4" s="325"/>
    </row>
    <row r="5" spans="1:24" ht="11.1" customHeight="1" x14ac:dyDescent="0.15">
      <c r="A5" s="327"/>
      <c r="B5" s="328"/>
      <c r="C5" s="329"/>
      <c r="D5" s="330" t="s">
        <v>4</v>
      </c>
      <c r="E5" s="331"/>
      <c r="F5" s="331"/>
      <c r="G5" s="331"/>
      <c r="H5" s="331"/>
      <c r="I5" s="331"/>
      <c r="J5" s="332" t="s">
        <v>5</v>
      </c>
      <c r="K5" s="333" t="s">
        <v>6</v>
      </c>
      <c r="L5" s="321" t="s">
        <v>7</v>
      </c>
      <c r="M5" s="334"/>
      <c r="N5" s="327" t="s">
        <v>21</v>
      </c>
      <c r="O5" s="328" t="s">
        <v>8</v>
      </c>
      <c r="P5" s="327" t="s">
        <v>9</v>
      </c>
      <c r="Q5" s="328" t="s">
        <v>10</v>
      </c>
      <c r="R5" s="327" t="s">
        <v>11</v>
      </c>
      <c r="S5" s="328" t="s">
        <v>12</v>
      </c>
      <c r="T5" s="327" t="s">
        <v>49</v>
      </c>
    </row>
    <row r="6" spans="1:24" ht="11.1" customHeight="1" x14ac:dyDescent="0.15">
      <c r="A6" s="327" t="s">
        <v>428</v>
      </c>
      <c r="B6" s="328">
        <v>2020</v>
      </c>
      <c r="C6" s="335" t="s">
        <v>361</v>
      </c>
      <c r="D6" s="336"/>
      <c r="E6" s="336"/>
      <c r="F6" s="336"/>
      <c r="G6" s="336"/>
      <c r="H6" s="336"/>
      <c r="I6" s="336"/>
      <c r="J6" s="332" t="s">
        <v>13</v>
      </c>
      <c r="K6" s="328"/>
      <c r="L6" s="321" t="s">
        <v>371</v>
      </c>
      <c r="M6" s="334"/>
      <c r="N6" s="327" t="s">
        <v>367</v>
      </c>
      <c r="O6" s="337">
        <v>77777</v>
      </c>
      <c r="P6" s="337">
        <v>7777</v>
      </c>
      <c r="Q6" s="337">
        <v>777</v>
      </c>
      <c r="R6" s="337">
        <v>77</v>
      </c>
      <c r="S6" s="337">
        <v>17</v>
      </c>
      <c r="T6" s="337">
        <v>5</v>
      </c>
    </row>
    <row r="7" spans="1:24" ht="10.5" customHeight="1" x14ac:dyDescent="0.15">
      <c r="A7" s="338"/>
      <c r="B7" s="339"/>
      <c r="C7" s="335"/>
      <c r="D7" s="336"/>
      <c r="E7" s="336"/>
      <c r="F7" s="336"/>
      <c r="G7" s="336"/>
      <c r="H7" s="336"/>
      <c r="I7" s="336"/>
      <c r="J7" s="327"/>
      <c r="K7" s="339" t="s">
        <v>367</v>
      </c>
      <c r="L7" s="340" t="s">
        <v>15</v>
      </c>
      <c r="M7" s="341" t="s">
        <v>367</v>
      </c>
      <c r="N7" s="327"/>
      <c r="O7" s="342" t="s">
        <v>15</v>
      </c>
      <c r="P7" s="327" t="s">
        <v>15</v>
      </c>
      <c r="Q7" s="342" t="s">
        <v>15</v>
      </c>
      <c r="R7" s="327" t="s">
        <v>15</v>
      </c>
      <c r="S7" s="342" t="s">
        <v>15</v>
      </c>
      <c r="T7" s="327" t="s">
        <v>15</v>
      </c>
    </row>
    <row r="8" spans="1:24" x14ac:dyDescent="0.15">
      <c r="A8" s="343">
        <v>1</v>
      </c>
      <c r="B8" s="344">
        <v>43831</v>
      </c>
      <c r="C8" s="345" t="s">
        <v>362</v>
      </c>
      <c r="D8" s="310">
        <v>7</v>
      </c>
      <c r="E8" s="310">
        <v>9</v>
      </c>
      <c r="F8" s="310">
        <v>6</v>
      </c>
      <c r="G8" s="310">
        <v>0</v>
      </c>
      <c r="H8" s="310">
        <v>0</v>
      </c>
      <c r="I8" s="310">
        <v>4</v>
      </c>
      <c r="J8" s="311">
        <v>5</v>
      </c>
      <c r="K8" s="312">
        <v>6334202.5</v>
      </c>
      <c r="L8" s="346" t="s">
        <v>23</v>
      </c>
      <c r="M8" s="314" t="s">
        <v>368</v>
      </c>
      <c r="N8" s="314">
        <v>450361.8</v>
      </c>
      <c r="O8" s="316">
        <v>5</v>
      </c>
      <c r="P8" s="317">
        <v>16</v>
      </c>
      <c r="Q8" s="316">
        <v>211</v>
      </c>
      <c r="R8" s="317">
        <v>2335</v>
      </c>
      <c r="S8" s="316">
        <v>26685</v>
      </c>
      <c r="T8" s="317">
        <v>256369</v>
      </c>
      <c r="V8" s="228"/>
      <c r="X8" s="304"/>
    </row>
    <row r="9" spans="1:24" x14ac:dyDescent="0.15">
      <c r="A9" s="347"/>
      <c r="B9" s="348">
        <v>43834</v>
      </c>
      <c r="C9" s="349" t="s">
        <v>363</v>
      </c>
      <c r="D9" s="336">
        <v>9</v>
      </c>
      <c r="E9" s="336">
        <v>3</v>
      </c>
      <c r="F9" s="336">
        <v>3</v>
      </c>
      <c r="G9" s="336">
        <v>8</v>
      </c>
      <c r="H9" s="336">
        <v>0</v>
      </c>
      <c r="I9" s="336">
        <v>2</v>
      </c>
      <c r="J9" s="327">
        <v>9</v>
      </c>
      <c r="K9" s="350">
        <v>14430625</v>
      </c>
      <c r="L9" s="351" t="s">
        <v>23</v>
      </c>
      <c r="M9" s="350" t="s">
        <v>368</v>
      </c>
      <c r="N9" s="352">
        <v>1476379.2000000002</v>
      </c>
      <c r="O9" s="353">
        <v>3</v>
      </c>
      <c r="P9" s="354">
        <v>55</v>
      </c>
      <c r="Q9" s="353">
        <v>489</v>
      </c>
      <c r="R9" s="354">
        <v>4878</v>
      </c>
      <c r="S9" s="353">
        <v>52213</v>
      </c>
      <c r="T9" s="354">
        <v>512364</v>
      </c>
      <c r="U9">
        <v>737224</v>
      </c>
      <c r="V9" s="228"/>
      <c r="X9" s="304"/>
    </row>
    <row r="10" spans="1:24" x14ac:dyDescent="0.15">
      <c r="A10" s="343">
        <v>2</v>
      </c>
      <c r="B10" s="344">
        <v>43838</v>
      </c>
      <c r="C10" s="345" t="s">
        <v>362</v>
      </c>
      <c r="D10" s="355">
        <v>4</v>
      </c>
      <c r="E10" s="310">
        <v>1</v>
      </c>
      <c r="F10" s="310">
        <v>9</v>
      </c>
      <c r="G10" s="310">
        <v>6</v>
      </c>
      <c r="H10" s="310">
        <v>4</v>
      </c>
      <c r="I10" s="310">
        <v>3</v>
      </c>
      <c r="J10" s="311">
        <v>1</v>
      </c>
      <c r="K10" s="312">
        <v>5251437.5</v>
      </c>
      <c r="L10" s="313" t="s">
        <v>23</v>
      </c>
      <c r="M10" s="314" t="s">
        <v>368</v>
      </c>
      <c r="N10" s="315">
        <v>1849756.4000000006</v>
      </c>
      <c r="O10" s="316" t="s">
        <v>17</v>
      </c>
      <c r="P10" s="317">
        <v>10</v>
      </c>
      <c r="Q10" s="316">
        <v>159</v>
      </c>
      <c r="R10" s="317">
        <v>1598</v>
      </c>
      <c r="S10" s="316">
        <v>16041</v>
      </c>
      <c r="T10" s="317">
        <v>156775</v>
      </c>
      <c r="V10" s="228"/>
      <c r="X10" s="304"/>
    </row>
    <row r="11" spans="1:24" x14ac:dyDescent="0.15">
      <c r="A11" s="347"/>
      <c r="B11" s="348">
        <v>43841</v>
      </c>
      <c r="C11" s="349" t="s">
        <v>363</v>
      </c>
      <c r="D11" s="356">
        <v>7</v>
      </c>
      <c r="E11" s="356">
        <v>3</v>
      </c>
      <c r="F11" s="356">
        <v>5</v>
      </c>
      <c r="G11" s="356">
        <v>5</v>
      </c>
      <c r="H11" s="356">
        <v>8</v>
      </c>
      <c r="I11" s="356">
        <v>2</v>
      </c>
      <c r="J11" s="327">
        <v>0</v>
      </c>
      <c r="K11" s="350">
        <v>12295080</v>
      </c>
      <c r="L11" s="351" t="s">
        <v>23</v>
      </c>
      <c r="M11" s="350" t="s">
        <v>368</v>
      </c>
      <c r="N11" s="350">
        <v>2723936.6</v>
      </c>
      <c r="O11" s="353">
        <v>6</v>
      </c>
      <c r="P11" s="354">
        <v>32</v>
      </c>
      <c r="Q11" s="353">
        <v>315</v>
      </c>
      <c r="R11" s="354">
        <v>3071</v>
      </c>
      <c r="S11" s="353">
        <v>31720</v>
      </c>
      <c r="T11" s="354">
        <v>328052</v>
      </c>
      <c r="V11" s="228"/>
      <c r="X11" s="304"/>
    </row>
    <row r="12" spans="1:24" x14ac:dyDescent="0.15">
      <c r="A12" s="343">
        <v>3</v>
      </c>
      <c r="B12" s="344">
        <v>43845</v>
      </c>
      <c r="C12" s="345" t="s">
        <v>362</v>
      </c>
      <c r="D12" s="355">
        <v>3</v>
      </c>
      <c r="E12" s="310">
        <v>8</v>
      </c>
      <c r="F12" s="310">
        <v>8</v>
      </c>
      <c r="G12" s="310">
        <v>6</v>
      </c>
      <c r="H12" s="310">
        <v>2</v>
      </c>
      <c r="I12" s="310">
        <v>7</v>
      </c>
      <c r="J12" s="311">
        <v>9</v>
      </c>
      <c r="K12" s="312">
        <v>5154267.5</v>
      </c>
      <c r="L12" s="313" t="s">
        <v>23</v>
      </c>
      <c r="M12" s="314" t="s">
        <v>368</v>
      </c>
      <c r="N12" s="315">
        <v>3090404.9999999995</v>
      </c>
      <c r="O12" s="316">
        <v>1</v>
      </c>
      <c r="P12" s="317">
        <v>20</v>
      </c>
      <c r="Q12" s="316">
        <v>196</v>
      </c>
      <c r="R12" s="317">
        <v>1874</v>
      </c>
      <c r="S12" s="316">
        <v>18023</v>
      </c>
      <c r="T12" s="317">
        <v>176080</v>
      </c>
      <c r="V12" s="228"/>
      <c r="X12" s="304"/>
    </row>
    <row r="13" spans="1:24" x14ac:dyDescent="0.15">
      <c r="A13" s="347"/>
      <c r="B13" s="348">
        <v>43848</v>
      </c>
      <c r="C13" s="349" t="s">
        <v>363</v>
      </c>
      <c r="D13" s="356">
        <v>0</v>
      </c>
      <c r="E13" s="356">
        <v>5</v>
      </c>
      <c r="F13" s="356">
        <v>1</v>
      </c>
      <c r="G13" s="356">
        <v>1</v>
      </c>
      <c r="H13" s="356">
        <v>1</v>
      </c>
      <c r="I13" s="356">
        <v>3</v>
      </c>
      <c r="J13" s="327">
        <v>1</v>
      </c>
      <c r="K13" s="350">
        <v>12335075</v>
      </c>
      <c r="L13" s="357" t="s">
        <v>23</v>
      </c>
      <c r="M13" s="350" t="s">
        <v>368</v>
      </c>
      <c r="N13" s="352">
        <v>3967428.8000000007</v>
      </c>
      <c r="O13" s="353">
        <v>3</v>
      </c>
      <c r="P13" s="354">
        <v>35</v>
      </c>
      <c r="Q13" s="353">
        <v>376</v>
      </c>
      <c r="R13" s="354">
        <v>3859</v>
      </c>
      <c r="S13" s="353">
        <v>38417</v>
      </c>
      <c r="T13" s="354">
        <v>372018</v>
      </c>
      <c r="V13" s="228"/>
      <c r="X13" s="304"/>
    </row>
    <row r="14" spans="1:24" x14ac:dyDescent="0.15">
      <c r="A14" s="343">
        <v>4</v>
      </c>
      <c r="B14" s="344">
        <v>43852</v>
      </c>
      <c r="C14" s="345" t="s">
        <v>362</v>
      </c>
      <c r="D14" s="310">
        <v>5</v>
      </c>
      <c r="E14" s="310">
        <v>0</v>
      </c>
      <c r="F14" s="310">
        <v>3</v>
      </c>
      <c r="G14" s="310">
        <v>2</v>
      </c>
      <c r="H14" s="310">
        <v>8</v>
      </c>
      <c r="I14" s="310">
        <v>1</v>
      </c>
      <c r="J14" s="311">
        <v>7</v>
      </c>
      <c r="K14" s="312">
        <v>5083147.5</v>
      </c>
      <c r="L14" s="313" t="s">
        <v>23</v>
      </c>
      <c r="M14" s="314" t="s">
        <v>368</v>
      </c>
      <c r="N14" s="315">
        <v>4328840.6000000006</v>
      </c>
      <c r="O14" s="316">
        <v>6</v>
      </c>
      <c r="P14" s="317">
        <v>18</v>
      </c>
      <c r="Q14" s="316">
        <v>200</v>
      </c>
      <c r="R14" s="317">
        <v>2220</v>
      </c>
      <c r="S14" s="316">
        <v>22764</v>
      </c>
      <c r="T14" s="317">
        <v>225967</v>
      </c>
      <c r="V14" s="228"/>
      <c r="X14" s="304"/>
    </row>
    <row r="15" spans="1:24" x14ac:dyDescent="0.15">
      <c r="A15" s="347"/>
      <c r="B15" s="348">
        <v>43855</v>
      </c>
      <c r="C15" s="349" t="s">
        <v>363</v>
      </c>
      <c r="D15" s="336">
        <v>5</v>
      </c>
      <c r="E15" s="336">
        <v>1</v>
      </c>
      <c r="F15" s="336">
        <v>0</v>
      </c>
      <c r="G15" s="336">
        <v>2</v>
      </c>
      <c r="H15" s="336">
        <v>3</v>
      </c>
      <c r="I15" s="336">
        <v>8</v>
      </c>
      <c r="J15" s="327">
        <v>5</v>
      </c>
      <c r="K15" s="350">
        <v>12673685</v>
      </c>
      <c r="L15" s="357" t="s">
        <v>23</v>
      </c>
      <c r="M15" s="350" t="s">
        <v>368</v>
      </c>
      <c r="N15" s="352">
        <v>5229939.6000000015</v>
      </c>
      <c r="O15" s="353">
        <v>3</v>
      </c>
      <c r="P15" s="354">
        <v>46</v>
      </c>
      <c r="Q15" s="353">
        <v>530</v>
      </c>
      <c r="R15" s="354">
        <v>5323</v>
      </c>
      <c r="S15" s="353">
        <v>52484</v>
      </c>
      <c r="T15" s="354">
        <v>528055</v>
      </c>
      <c r="V15" s="228"/>
      <c r="X15" s="304"/>
    </row>
    <row r="16" spans="1:24" x14ac:dyDescent="0.15">
      <c r="A16" s="343">
        <v>5</v>
      </c>
      <c r="B16" s="344">
        <v>43859</v>
      </c>
      <c r="C16" s="345" t="s">
        <v>362</v>
      </c>
      <c r="D16" s="310">
        <v>0</v>
      </c>
      <c r="E16" s="310">
        <v>1</v>
      </c>
      <c r="F16" s="310">
        <v>8</v>
      </c>
      <c r="G16" s="310">
        <v>9</v>
      </c>
      <c r="H16" s="310">
        <v>3</v>
      </c>
      <c r="I16" s="310">
        <v>8</v>
      </c>
      <c r="J16" s="311">
        <v>7</v>
      </c>
      <c r="K16" s="312">
        <v>5294750</v>
      </c>
      <c r="L16" s="346" t="s">
        <v>23</v>
      </c>
      <c r="M16" s="314" t="s">
        <v>368</v>
      </c>
      <c r="N16" s="314">
        <v>5606396.3000000017</v>
      </c>
      <c r="O16" s="316">
        <v>2</v>
      </c>
      <c r="P16" s="316">
        <v>21</v>
      </c>
      <c r="Q16" s="316">
        <v>221</v>
      </c>
      <c r="R16" s="316">
        <v>2311</v>
      </c>
      <c r="S16" s="316">
        <v>21990</v>
      </c>
      <c r="T16" s="316">
        <v>237470</v>
      </c>
      <c r="V16" s="228"/>
      <c r="X16" s="304"/>
    </row>
    <row r="17" spans="1:24" x14ac:dyDescent="0.15">
      <c r="A17" s="347"/>
      <c r="B17" s="348">
        <v>43862</v>
      </c>
      <c r="C17" s="349" t="s">
        <v>363</v>
      </c>
      <c r="D17" s="336">
        <v>3</v>
      </c>
      <c r="E17" s="336">
        <v>6</v>
      </c>
      <c r="F17" s="336">
        <v>6</v>
      </c>
      <c r="G17" s="336">
        <v>8</v>
      </c>
      <c r="H17" s="336">
        <v>5</v>
      </c>
      <c r="I17" s="336">
        <v>9</v>
      </c>
      <c r="J17" s="327">
        <v>8</v>
      </c>
      <c r="K17" s="350">
        <v>13493422.5</v>
      </c>
      <c r="L17" s="357" t="s">
        <v>23</v>
      </c>
      <c r="M17" s="350" t="s">
        <v>368</v>
      </c>
      <c r="N17" s="350">
        <v>6565778.6000000015</v>
      </c>
      <c r="O17" s="353">
        <v>8</v>
      </c>
      <c r="P17" s="354">
        <v>67</v>
      </c>
      <c r="Q17" s="353">
        <v>541</v>
      </c>
      <c r="R17" s="354">
        <v>5002</v>
      </c>
      <c r="S17" s="353">
        <v>49910</v>
      </c>
      <c r="T17" s="354">
        <v>530599</v>
      </c>
      <c r="V17" s="228"/>
      <c r="X17" s="304"/>
    </row>
    <row r="18" spans="1:24" x14ac:dyDescent="0.15">
      <c r="A18" s="343">
        <v>6</v>
      </c>
      <c r="B18" s="344">
        <v>43866</v>
      </c>
      <c r="C18" s="345" t="s">
        <v>362</v>
      </c>
      <c r="D18" s="310">
        <v>9</v>
      </c>
      <c r="E18" s="310">
        <v>5</v>
      </c>
      <c r="F18" s="310">
        <v>6</v>
      </c>
      <c r="G18" s="310">
        <v>7</v>
      </c>
      <c r="H18" s="310">
        <v>0</v>
      </c>
      <c r="I18" s="310">
        <v>3</v>
      </c>
      <c r="J18" s="311">
        <v>0</v>
      </c>
      <c r="K18" s="312">
        <v>5742717.5</v>
      </c>
      <c r="L18" s="346" t="s">
        <v>23</v>
      </c>
      <c r="M18" s="314" t="s">
        <v>368</v>
      </c>
      <c r="N18" s="314">
        <v>6974085.8000000007</v>
      </c>
      <c r="O18" s="316">
        <v>2</v>
      </c>
      <c r="P18" s="317">
        <v>20</v>
      </c>
      <c r="Q18" s="316">
        <v>163</v>
      </c>
      <c r="R18" s="317">
        <v>1457</v>
      </c>
      <c r="S18" s="316">
        <v>15364</v>
      </c>
      <c r="T18" s="317">
        <v>156390</v>
      </c>
      <c r="V18" s="228"/>
      <c r="X18" s="304"/>
    </row>
    <row r="19" spans="1:24" x14ac:dyDescent="0.15">
      <c r="A19" s="347"/>
      <c r="B19" s="348">
        <v>43869</v>
      </c>
      <c r="C19" s="349" t="s">
        <v>363</v>
      </c>
      <c r="D19" s="336">
        <v>7</v>
      </c>
      <c r="E19" s="336">
        <v>2</v>
      </c>
      <c r="F19" s="336">
        <v>4</v>
      </c>
      <c r="G19" s="336">
        <v>0</v>
      </c>
      <c r="H19" s="336">
        <v>4</v>
      </c>
      <c r="I19" s="336">
        <v>2</v>
      </c>
      <c r="J19" s="327">
        <v>1</v>
      </c>
      <c r="K19" s="350">
        <v>13443915</v>
      </c>
      <c r="L19" s="357" t="s">
        <v>23</v>
      </c>
      <c r="M19" s="350" t="s">
        <v>368</v>
      </c>
      <c r="N19" s="352">
        <v>7929948.200000002</v>
      </c>
      <c r="O19" s="353">
        <v>1</v>
      </c>
      <c r="P19" s="354">
        <v>39</v>
      </c>
      <c r="Q19" s="353">
        <v>488</v>
      </c>
      <c r="R19" s="354">
        <v>4319</v>
      </c>
      <c r="S19" s="353">
        <v>42189</v>
      </c>
      <c r="T19" s="354">
        <v>409153</v>
      </c>
      <c r="V19" s="228"/>
      <c r="X19" s="304"/>
    </row>
    <row r="20" spans="1:24" x14ac:dyDescent="0.15">
      <c r="A20" s="343">
        <v>7</v>
      </c>
      <c r="B20" s="344">
        <v>43873</v>
      </c>
      <c r="C20" s="345" t="s">
        <v>362</v>
      </c>
      <c r="D20" s="310">
        <v>1</v>
      </c>
      <c r="E20" s="310">
        <v>9</v>
      </c>
      <c r="F20" s="310">
        <v>3</v>
      </c>
      <c r="G20" s="310">
        <v>6</v>
      </c>
      <c r="H20" s="310">
        <v>7</v>
      </c>
      <c r="I20" s="310">
        <v>6</v>
      </c>
      <c r="J20" s="311">
        <v>0</v>
      </c>
      <c r="K20" s="312">
        <v>5751362.5</v>
      </c>
      <c r="L20" s="346" t="s">
        <v>23</v>
      </c>
      <c r="M20" s="314" t="s">
        <v>368</v>
      </c>
      <c r="N20" s="315">
        <v>0</v>
      </c>
      <c r="O20" s="316" t="s">
        <v>17</v>
      </c>
      <c r="P20" s="317">
        <v>15</v>
      </c>
      <c r="Q20" s="316">
        <v>155</v>
      </c>
      <c r="R20" s="317">
        <v>1513</v>
      </c>
      <c r="S20" s="316">
        <v>16147</v>
      </c>
      <c r="T20" s="317">
        <v>157834</v>
      </c>
      <c r="V20" s="228"/>
      <c r="X20" s="304"/>
    </row>
    <row r="21" spans="1:24" x14ac:dyDescent="0.15">
      <c r="A21" s="347"/>
      <c r="B21" s="348">
        <v>43876</v>
      </c>
      <c r="C21" s="349" t="s">
        <v>363</v>
      </c>
      <c r="D21" s="336">
        <v>6</v>
      </c>
      <c r="E21" s="336">
        <v>6</v>
      </c>
      <c r="F21" s="336">
        <v>4</v>
      </c>
      <c r="G21" s="336">
        <v>8</v>
      </c>
      <c r="H21" s="336">
        <v>4</v>
      </c>
      <c r="I21" s="336">
        <v>1</v>
      </c>
      <c r="J21" s="327">
        <v>8</v>
      </c>
      <c r="K21" s="350">
        <v>12126150</v>
      </c>
      <c r="L21" s="357" t="s">
        <v>23</v>
      </c>
      <c r="M21" s="350" t="s">
        <v>368</v>
      </c>
      <c r="N21" s="352">
        <v>862169.3</v>
      </c>
      <c r="O21" s="353">
        <v>4</v>
      </c>
      <c r="P21" s="354">
        <v>44</v>
      </c>
      <c r="Q21" s="353">
        <v>479</v>
      </c>
      <c r="R21" s="354">
        <v>4641</v>
      </c>
      <c r="S21" s="353">
        <v>46710</v>
      </c>
      <c r="T21" s="354">
        <v>480600</v>
      </c>
      <c r="U21" s="240"/>
      <c r="V21" s="228"/>
      <c r="X21" s="304"/>
    </row>
    <row r="22" spans="1:24" x14ac:dyDescent="0.15">
      <c r="A22" s="343">
        <v>8</v>
      </c>
      <c r="B22" s="344">
        <v>43880</v>
      </c>
      <c r="C22" s="345" t="s">
        <v>362</v>
      </c>
      <c r="D22" s="310">
        <v>5</v>
      </c>
      <c r="E22" s="310">
        <v>1</v>
      </c>
      <c r="F22" s="310">
        <v>4</v>
      </c>
      <c r="G22" s="310">
        <v>8</v>
      </c>
      <c r="H22" s="310">
        <v>9</v>
      </c>
      <c r="I22" s="310">
        <v>0</v>
      </c>
      <c r="J22" s="311">
        <v>4</v>
      </c>
      <c r="K22" s="312">
        <v>4908137.5</v>
      </c>
      <c r="L22" s="346" t="s">
        <v>23</v>
      </c>
      <c r="M22" s="314" t="s">
        <v>368</v>
      </c>
      <c r="N22" s="315">
        <v>1211137.9000000001</v>
      </c>
      <c r="O22" s="316">
        <v>2</v>
      </c>
      <c r="P22" s="317">
        <v>20</v>
      </c>
      <c r="Q22" s="316">
        <v>144</v>
      </c>
      <c r="R22" s="317">
        <v>1662</v>
      </c>
      <c r="S22" s="316">
        <v>15550</v>
      </c>
      <c r="T22" s="317">
        <v>172873</v>
      </c>
      <c r="V22" s="228"/>
      <c r="X22" s="304"/>
    </row>
    <row r="23" spans="1:24" x14ac:dyDescent="0.15">
      <c r="A23" s="347"/>
      <c r="B23" s="348">
        <v>43883</v>
      </c>
      <c r="C23" s="349" t="s">
        <v>363</v>
      </c>
      <c r="D23" s="336">
        <v>8</v>
      </c>
      <c r="E23" s="336">
        <v>9</v>
      </c>
      <c r="F23" s="336">
        <v>2</v>
      </c>
      <c r="G23" s="336">
        <v>8</v>
      </c>
      <c r="H23" s="336">
        <v>1</v>
      </c>
      <c r="I23" s="336">
        <v>6</v>
      </c>
      <c r="J23" s="327">
        <v>8</v>
      </c>
      <c r="K23" s="350">
        <v>11897395</v>
      </c>
      <c r="L23" s="357" t="s">
        <v>23</v>
      </c>
      <c r="M23" s="350" t="s">
        <v>368</v>
      </c>
      <c r="N23" s="352">
        <v>2057042.6999999997</v>
      </c>
      <c r="O23" s="353">
        <v>4</v>
      </c>
      <c r="P23" s="354">
        <v>61</v>
      </c>
      <c r="Q23" s="353">
        <v>483</v>
      </c>
      <c r="R23" s="354">
        <v>5095</v>
      </c>
      <c r="S23" s="353">
        <v>51132</v>
      </c>
      <c r="T23" s="354">
        <v>470881</v>
      </c>
      <c r="V23" s="228"/>
      <c r="X23" s="304"/>
    </row>
    <row r="24" spans="1:24" x14ac:dyDescent="0.15">
      <c r="A24" s="343">
        <v>9</v>
      </c>
      <c r="B24" s="344">
        <v>43887</v>
      </c>
      <c r="C24" s="345" t="s">
        <v>362</v>
      </c>
      <c r="D24" s="310">
        <v>1</v>
      </c>
      <c r="E24" s="310">
        <v>7</v>
      </c>
      <c r="F24" s="310">
        <v>6</v>
      </c>
      <c r="G24" s="310">
        <v>6</v>
      </c>
      <c r="H24" s="310">
        <v>9</v>
      </c>
      <c r="I24" s="310">
        <v>6</v>
      </c>
      <c r="J24" s="311">
        <v>1</v>
      </c>
      <c r="K24" s="312">
        <v>4938850</v>
      </c>
      <c r="L24" s="346">
        <v>1</v>
      </c>
      <c r="M24" s="314">
        <v>2377777</v>
      </c>
      <c r="N24" s="315">
        <v>0</v>
      </c>
      <c r="O24" s="316">
        <v>2</v>
      </c>
      <c r="P24" s="317">
        <v>13</v>
      </c>
      <c r="Q24" s="316">
        <v>161</v>
      </c>
      <c r="R24" s="317">
        <v>1814</v>
      </c>
      <c r="S24" s="316">
        <v>15452</v>
      </c>
      <c r="T24" s="317">
        <v>147810</v>
      </c>
      <c r="V24" s="228"/>
      <c r="X24" s="304"/>
    </row>
    <row r="25" spans="1:24" x14ac:dyDescent="0.15">
      <c r="A25" s="347"/>
      <c r="B25" s="348">
        <v>43890</v>
      </c>
      <c r="C25" s="349" t="s">
        <v>363</v>
      </c>
      <c r="D25" s="336">
        <v>7</v>
      </c>
      <c r="E25" s="336">
        <v>6</v>
      </c>
      <c r="F25" s="336">
        <v>3</v>
      </c>
      <c r="G25" s="336">
        <v>1</v>
      </c>
      <c r="H25" s="336">
        <v>9</v>
      </c>
      <c r="I25" s="336">
        <v>1</v>
      </c>
      <c r="J25" s="327">
        <v>4</v>
      </c>
      <c r="K25" s="350">
        <v>12223762.5</v>
      </c>
      <c r="L25" s="357" t="s">
        <v>23</v>
      </c>
      <c r="M25" s="350" t="s">
        <v>368</v>
      </c>
      <c r="N25" s="352">
        <v>869109.49999999988</v>
      </c>
      <c r="O25" s="353">
        <v>2</v>
      </c>
      <c r="P25" s="354">
        <v>41</v>
      </c>
      <c r="Q25" s="353">
        <v>480</v>
      </c>
      <c r="R25" s="354">
        <v>4102</v>
      </c>
      <c r="S25" s="353">
        <v>42179</v>
      </c>
      <c r="T25" s="354">
        <v>425659</v>
      </c>
      <c r="V25" s="228"/>
      <c r="X25" s="304"/>
    </row>
    <row r="26" spans="1:24" x14ac:dyDescent="0.15">
      <c r="A26" s="343">
        <v>10</v>
      </c>
      <c r="B26" s="344">
        <v>43894</v>
      </c>
      <c r="C26" s="345" t="s">
        <v>362</v>
      </c>
      <c r="D26" s="310">
        <v>3</v>
      </c>
      <c r="E26" s="310">
        <v>2</v>
      </c>
      <c r="F26" s="310">
        <v>6</v>
      </c>
      <c r="G26" s="310">
        <v>6</v>
      </c>
      <c r="H26" s="310">
        <v>3</v>
      </c>
      <c r="I26" s="310">
        <v>5</v>
      </c>
      <c r="J26" s="311">
        <v>0</v>
      </c>
      <c r="K26" s="312">
        <v>5160582.5</v>
      </c>
      <c r="L26" s="346" t="s">
        <v>23</v>
      </c>
      <c r="M26" s="314" t="s">
        <v>368</v>
      </c>
      <c r="N26" s="315">
        <v>1236026.8999999997</v>
      </c>
      <c r="O26" s="316">
        <v>1</v>
      </c>
      <c r="P26" s="317">
        <v>16</v>
      </c>
      <c r="Q26" s="316">
        <v>143</v>
      </c>
      <c r="R26" s="317">
        <v>1389</v>
      </c>
      <c r="S26" s="316">
        <v>14507</v>
      </c>
      <c r="T26" s="317">
        <v>141148</v>
      </c>
      <c r="V26" s="228"/>
      <c r="X26" s="304"/>
    </row>
    <row r="27" spans="1:24" x14ac:dyDescent="0.15">
      <c r="A27" s="347"/>
      <c r="B27" s="348">
        <v>43897</v>
      </c>
      <c r="C27" s="349" t="s">
        <v>363</v>
      </c>
      <c r="D27" s="336">
        <v>2</v>
      </c>
      <c r="E27" s="336">
        <v>2</v>
      </c>
      <c r="F27" s="336">
        <v>5</v>
      </c>
      <c r="G27" s="336">
        <v>1</v>
      </c>
      <c r="H27" s="336">
        <v>2</v>
      </c>
      <c r="I27" s="336">
        <v>8</v>
      </c>
      <c r="J27" s="327">
        <v>7</v>
      </c>
      <c r="K27" s="350">
        <v>12656470</v>
      </c>
      <c r="L27" s="357">
        <v>1</v>
      </c>
      <c r="M27" s="350">
        <v>2077777</v>
      </c>
      <c r="N27" s="352">
        <v>0</v>
      </c>
      <c r="O27" s="353">
        <v>6</v>
      </c>
      <c r="P27" s="354">
        <v>53</v>
      </c>
      <c r="Q27" s="353">
        <v>521</v>
      </c>
      <c r="R27" s="354">
        <v>5246</v>
      </c>
      <c r="S27" s="353">
        <v>53071</v>
      </c>
      <c r="T27" s="354">
        <v>555603</v>
      </c>
      <c r="V27" s="228"/>
      <c r="X27" s="304"/>
    </row>
    <row r="28" spans="1:24" x14ac:dyDescent="0.15">
      <c r="A28" s="343">
        <v>11</v>
      </c>
      <c r="B28" s="344">
        <v>43901</v>
      </c>
      <c r="C28" s="345" t="s">
        <v>362</v>
      </c>
      <c r="D28" s="310">
        <v>9</v>
      </c>
      <c r="E28" s="310">
        <v>7</v>
      </c>
      <c r="F28" s="310">
        <v>2</v>
      </c>
      <c r="G28" s="310">
        <v>3</v>
      </c>
      <c r="H28" s="310">
        <v>1</v>
      </c>
      <c r="I28" s="310">
        <v>5</v>
      </c>
      <c r="J28" s="311">
        <v>7</v>
      </c>
      <c r="K28" s="312">
        <v>4865680</v>
      </c>
      <c r="L28" s="346" t="s">
        <v>23</v>
      </c>
      <c r="M28" s="314" t="s">
        <v>368</v>
      </c>
      <c r="N28" s="315">
        <v>345949.8</v>
      </c>
      <c r="O28" s="316">
        <v>3</v>
      </c>
      <c r="P28" s="317">
        <v>30</v>
      </c>
      <c r="Q28" s="316">
        <v>234</v>
      </c>
      <c r="R28" s="317">
        <v>2147</v>
      </c>
      <c r="S28" s="316">
        <v>21973</v>
      </c>
      <c r="T28" s="317">
        <v>217462</v>
      </c>
      <c r="V28" s="228"/>
      <c r="X28" s="304"/>
    </row>
    <row r="29" spans="1:24" x14ac:dyDescent="0.15">
      <c r="A29" s="347"/>
      <c r="B29" s="348">
        <v>43904</v>
      </c>
      <c r="C29" s="349" t="s">
        <v>363</v>
      </c>
      <c r="D29" s="336">
        <v>0</v>
      </c>
      <c r="E29" s="336">
        <v>2</v>
      </c>
      <c r="F29" s="336">
        <v>5</v>
      </c>
      <c r="G29" s="336">
        <v>4</v>
      </c>
      <c r="H29" s="336">
        <v>5</v>
      </c>
      <c r="I29" s="336">
        <v>1</v>
      </c>
      <c r="J29" s="327">
        <v>4</v>
      </c>
      <c r="K29" s="350">
        <v>12269797.5</v>
      </c>
      <c r="L29" s="357" t="s">
        <v>23</v>
      </c>
      <c r="M29" s="350" t="s">
        <v>368</v>
      </c>
      <c r="N29" s="352">
        <v>1218332.3999999999</v>
      </c>
      <c r="O29" s="353">
        <v>2</v>
      </c>
      <c r="P29" s="354">
        <v>44</v>
      </c>
      <c r="Q29" s="353">
        <v>418</v>
      </c>
      <c r="R29" s="354">
        <v>4297</v>
      </c>
      <c r="S29" s="353">
        <v>42529</v>
      </c>
      <c r="T29" s="354">
        <v>427073</v>
      </c>
      <c r="V29" s="228"/>
      <c r="X29" s="304"/>
    </row>
    <row r="30" spans="1:24" x14ac:dyDescent="0.15">
      <c r="A30" s="343">
        <v>12</v>
      </c>
      <c r="B30" s="344">
        <v>43908</v>
      </c>
      <c r="C30" s="345" t="s">
        <v>362</v>
      </c>
      <c r="D30" s="310">
        <v>2</v>
      </c>
      <c r="E30" s="310">
        <v>0</v>
      </c>
      <c r="F30" s="310">
        <v>5</v>
      </c>
      <c r="G30" s="310">
        <v>2</v>
      </c>
      <c r="H30" s="310">
        <v>3</v>
      </c>
      <c r="I30" s="310">
        <v>4</v>
      </c>
      <c r="J30" s="311">
        <v>9</v>
      </c>
      <c r="K30" s="312">
        <v>4967160</v>
      </c>
      <c r="L30" s="346">
        <v>1</v>
      </c>
      <c r="M30" s="314">
        <v>1477777</v>
      </c>
      <c r="N30" s="315">
        <v>0</v>
      </c>
      <c r="O30" s="316">
        <v>4</v>
      </c>
      <c r="P30" s="317">
        <v>23</v>
      </c>
      <c r="Q30" s="316">
        <v>183</v>
      </c>
      <c r="R30" s="317">
        <v>1694</v>
      </c>
      <c r="S30" s="316">
        <v>17327</v>
      </c>
      <c r="T30" s="317">
        <v>169624</v>
      </c>
      <c r="V30" s="228"/>
      <c r="X30" s="304"/>
    </row>
    <row r="31" spans="1:24" x14ac:dyDescent="0.15">
      <c r="A31" s="347"/>
      <c r="B31" s="348">
        <v>43911</v>
      </c>
      <c r="C31" s="349" t="s">
        <v>363</v>
      </c>
      <c r="D31" s="336">
        <v>7</v>
      </c>
      <c r="E31" s="336">
        <v>4</v>
      </c>
      <c r="F31" s="336">
        <v>5</v>
      </c>
      <c r="G31" s="336">
        <v>9</v>
      </c>
      <c r="H31" s="336">
        <v>7</v>
      </c>
      <c r="I31" s="336">
        <v>6</v>
      </c>
      <c r="J31" s="327">
        <v>7</v>
      </c>
      <c r="K31" s="350">
        <v>11694147.5</v>
      </c>
      <c r="L31" s="357" t="s">
        <v>23</v>
      </c>
      <c r="M31" s="350" t="s">
        <v>368</v>
      </c>
      <c r="N31" s="352">
        <v>831453.9</v>
      </c>
      <c r="O31" s="353">
        <v>3</v>
      </c>
      <c r="P31" s="354">
        <v>53</v>
      </c>
      <c r="Q31" s="353">
        <v>566</v>
      </c>
      <c r="R31" s="354">
        <v>5276</v>
      </c>
      <c r="S31" s="353">
        <v>51505</v>
      </c>
      <c r="T31" s="354">
        <v>515092</v>
      </c>
      <c r="V31" s="228"/>
      <c r="X31" s="304"/>
    </row>
    <row r="32" spans="1:24" x14ac:dyDescent="0.15">
      <c r="A32" s="343">
        <v>13</v>
      </c>
      <c r="B32" s="344">
        <v>43915</v>
      </c>
      <c r="C32" s="345" t="s">
        <v>362</v>
      </c>
      <c r="D32" s="310">
        <v>9</v>
      </c>
      <c r="E32" s="310">
        <v>1</v>
      </c>
      <c r="F32" s="310">
        <v>5</v>
      </c>
      <c r="G32" s="310">
        <v>5</v>
      </c>
      <c r="H32" s="310">
        <v>5</v>
      </c>
      <c r="I32" s="310">
        <v>9</v>
      </c>
      <c r="J32" s="311">
        <v>0</v>
      </c>
      <c r="K32" s="312">
        <v>4767670</v>
      </c>
      <c r="L32" s="346">
        <v>1</v>
      </c>
      <c r="M32" s="314">
        <v>1077777</v>
      </c>
      <c r="N32" s="315">
        <v>0</v>
      </c>
      <c r="O32" s="316" t="s">
        <v>17</v>
      </c>
      <c r="P32" s="317">
        <v>12</v>
      </c>
      <c r="Q32" s="316">
        <v>139</v>
      </c>
      <c r="R32" s="317">
        <v>1207</v>
      </c>
      <c r="S32" s="316">
        <v>12182</v>
      </c>
      <c r="T32" s="317">
        <v>131921</v>
      </c>
      <c r="V32" s="228"/>
      <c r="X32" s="304"/>
    </row>
    <row r="33" spans="1:24" x14ac:dyDescent="0.15">
      <c r="A33" s="347"/>
      <c r="B33" s="348">
        <v>43918</v>
      </c>
      <c r="C33" s="349" t="s">
        <v>363</v>
      </c>
      <c r="D33" s="336">
        <v>3</v>
      </c>
      <c r="E33" s="336">
        <v>1</v>
      </c>
      <c r="F33" s="336">
        <v>1</v>
      </c>
      <c r="G33" s="336">
        <v>6</v>
      </c>
      <c r="H33" s="336">
        <v>4</v>
      </c>
      <c r="I33" s="336">
        <v>7</v>
      </c>
      <c r="J33" s="327">
        <v>1</v>
      </c>
      <c r="K33" s="350">
        <v>11850875</v>
      </c>
      <c r="L33" s="357">
        <v>1</v>
      </c>
      <c r="M33" s="350">
        <v>777777</v>
      </c>
      <c r="N33" s="352">
        <v>0</v>
      </c>
      <c r="O33" s="353">
        <v>3</v>
      </c>
      <c r="P33" s="354">
        <v>34</v>
      </c>
      <c r="Q33" s="353">
        <v>380</v>
      </c>
      <c r="R33" s="354">
        <v>3587</v>
      </c>
      <c r="S33" s="353">
        <v>36745</v>
      </c>
      <c r="T33" s="354">
        <v>358189</v>
      </c>
      <c r="U33" s="240"/>
      <c r="V33" s="228"/>
      <c r="X33" s="304"/>
    </row>
    <row r="34" spans="1:24" x14ac:dyDescent="0.15">
      <c r="A34" s="343">
        <v>14</v>
      </c>
      <c r="B34" s="344">
        <v>43922</v>
      </c>
      <c r="C34" s="345" t="s">
        <v>362</v>
      </c>
      <c r="D34" s="310">
        <v>5</v>
      </c>
      <c r="E34" s="310">
        <v>0</v>
      </c>
      <c r="F34" s="310">
        <v>9</v>
      </c>
      <c r="G34" s="310">
        <v>8</v>
      </c>
      <c r="H34" s="310">
        <v>7</v>
      </c>
      <c r="I34" s="310">
        <v>6</v>
      </c>
      <c r="J34" s="311">
        <v>1</v>
      </c>
      <c r="K34" s="312">
        <v>5046052.5</v>
      </c>
      <c r="L34" s="346" t="s">
        <v>23</v>
      </c>
      <c r="M34" s="314" t="s">
        <v>368</v>
      </c>
      <c r="N34" s="315">
        <v>358774.3</v>
      </c>
      <c r="O34" s="316">
        <v>1</v>
      </c>
      <c r="P34" s="317">
        <v>11</v>
      </c>
      <c r="Q34" s="316">
        <v>154</v>
      </c>
      <c r="R34" s="317">
        <v>1536</v>
      </c>
      <c r="S34" s="316">
        <v>16255</v>
      </c>
      <c r="T34" s="317">
        <v>152143</v>
      </c>
      <c r="V34" s="228"/>
      <c r="X34" s="304"/>
    </row>
    <row r="35" spans="1:24" x14ac:dyDescent="0.15">
      <c r="A35" s="347"/>
      <c r="B35" s="348">
        <v>43925</v>
      </c>
      <c r="C35" s="349" t="s">
        <v>363</v>
      </c>
      <c r="D35" s="336">
        <v>5</v>
      </c>
      <c r="E35" s="336">
        <v>2</v>
      </c>
      <c r="F35" s="336">
        <v>6</v>
      </c>
      <c r="G35" s="336">
        <v>5</v>
      </c>
      <c r="H35" s="336">
        <v>5</v>
      </c>
      <c r="I35" s="336">
        <v>5</v>
      </c>
      <c r="J35" s="327">
        <v>8</v>
      </c>
      <c r="K35" s="350">
        <v>12489592.5</v>
      </c>
      <c r="L35" s="357" t="s">
        <v>23</v>
      </c>
      <c r="M35" s="350" t="s">
        <v>368</v>
      </c>
      <c r="N35" s="352">
        <v>1246784.2999999996</v>
      </c>
      <c r="O35" s="353">
        <v>5</v>
      </c>
      <c r="P35" s="354">
        <v>59</v>
      </c>
      <c r="Q35" s="353">
        <v>518</v>
      </c>
      <c r="R35" s="354">
        <v>5215</v>
      </c>
      <c r="S35" s="353">
        <v>53051</v>
      </c>
      <c r="T35" s="354">
        <v>490525</v>
      </c>
      <c r="V35" s="228"/>
      <c r="X35" s="304"/>
    </row>
    <row r="36" spans="1:24" x14ac:dyDescent="0.15">
      <c r="A36" s="343">
        <v>15</v>
      </c>
      <c r="B36" s="344">
        <v>43929</v>
      </c>
      <c r="C36" s="345" t="s">
        <v>362</v>
      </c>
      <c r="D36" s="310">
        <v>6</v>
      </c>
      <c r="E36" s="310">
        <v>2</v>
      </c>
      <c r="F36" s="310">
        <v>8</v>
      </c>
      <c r="G36" s="310">
        <v>7</v>
      </c>
      <c r="H36" s="310">
        <v>1</v>
      </c>
      <c r="I36" s="310">
        <v>0</v>
      </c>
      <c r="J36" s="311">
        <v>5</v>
      </c>
      <c r="K36" s="312">
        <v>4800035</v>
      </c>
      <c r="L36" s="313" t="s">
        <v>23</v>
      </c>
      <c r="M36" s="314" t="s">
        <v>368</v>
      </c>
      <c r="N36" s="315">
        <v>1588066.7999999993</v>
      </c>
      <c r="O36" s="316">
        <v>1</v>
      </c>
      <c r="P36" s="317">
        <v>11</v>
      </c>
      <c r="Q36" s="316">
        <v>172</v>
      </c>
      <c r="R36" s="317">
        <v>1756</v>
      </c>
      <c r="S36" s="316">
        <v>16436</v>
      </c>
      <c r="T36" s="317">
        <v>201879</v>
      </c>
      <c r="V36" s="228"/>
      <c r="X36" s="304"/>
    </row>
    <row r="37" spans="1:24" x14ac:dyDescent="0.15">
      <c r="A37" s="347"/>
      <c r="B37" s="348">
        <v>43932</v>
      </c>
      <c r="C37" s="349" t="s">
        <v>363</v>
      </c>
      <c r="D37" s="336">
        <v>1</v>
      </c>
      <c r="E37" s="336">
        <v>0</v>
      </c>
      <c r="F37" s="336">
        <v>8</v>
      </c>
      <c r="G37" s="336">
        <v>7</v>
      </c>
      <c r="H37" s="336">
        <v>0</v>
      </c>
      <c r="I37" s="336">
        <v>2</v>
      </c>
      <c r="J37" s="327">
        <v>7</v>
      </c>
      <c r="K37" s="350">
        <v>12125430</v>
      </c>
      <c r="L37" s="357" t="s">
        <v>23</v>
      </c>
      <c r="M37" s="350" t="s">
        <v>368</v>
      </c>
      <c r="N37" s="352">
        <v>2450184.8999999994</v>
      </c>
      <c r="O37" s="353">
        <v>5</v>
      </c>
      <c r="P37" s="354">
        <v>42</v>
      </c>
      <c r="Q37" s="353">
        <v>525</v>
      </c>
      <c r="R37" s="354">
        <v>5082</v>
      </c>
      <c r="S37" s="353">
        <v>54231</v>
      </c>
      <c r="T37" s="354">
        <v>532524</v>
      </c>
      <c r="V37" s="228"/>
      <c r="X37" s="304"/>
    </row>
    <row r="38" spans="1:24" x14ac:dyDescent="0.15">
      <c r="A38" s="343">
        <v>16</v>
      </c>
      <c r="B38" s="344">
        <v>43936</v>
      </c>
      <c r="C38" s="345" t="s">
        <v>362</v>
      </c>
      <c r="D38" s="310">
        <v>4</v>
      </c>
      <c r="E38" s="310">
        <v>4</v>
      </c>
      <c r="F38" s="310">
        <v>3</v>
      </c>
      <c r="G38" s="310">
        <v>8</v>
      </c>
      <c r="H38" s="310">
        <v>4</v>
      </c>
      <c r="I38" s="310">
        <v>0</v>
      </c>
      <c r="J38" s="311">
        <v>7</v>
      </c>
      <c r="K38" s="312">
        <v>4783090</v>
      </c>
      <c r="L38" s="313" t="s">
        <v>23</v>
      </c>
      <c r="M38" s="314" t="s">
        <v>368</v>
      </c>
      <c r="N38" s="315">
        <v>2790262.5999999987</v>
      </c>
      <c r="O38" s="316">
        <v>2</v>
      </c>
      <c r="P38" s="317">
        <v>11</v>
      </c>
      <c r="Q38" s="316">
        <v>178</v>
      </c>
      <c r="R38" s="317">
        <v>1762</v>
      </c>
      <c r="S38" s="316">
        <v>18205</v>
      </c>
      <c r="T38" s="317">
        <v>221238</v>
      </c>
      <c r="V38" s="228"/>
      <c r="X38" s="304"/>
    </row>
    <row r="39" spans="1:24" x14ac:dyDescent="0.15">
      <c r="A39" s="347"/>
      <c r="B39" s="348">
        <v>43939</v>
      </c>
      <c r="C39" s="349" t="s">
        <v>363</v>
      </c>
      <c r="D39" s="336">
        <v>2</v>
      </c>
      <c r="E39" s="336">
        <v>8</v>
      </c>
      <c r="F39" s="336">
        <v>7</v>
      </c>
      <c r="G39" s="336">
        <v>4</v>
      </c>
      <c r="H39" s="336">
        <v>7</v>
      </c>
      <c r="I39" s="336">
        <v>8</v>
      </c>
      <c r="J39" s="327">
        <v>3</v>
      </c>
      <c r="K39" s="350">
        <v>12459522.5</v>
      </c>
      <c r="L39" s="357" t="s">
        <v>23</v>
      </c>
      <c r="M39" s="350" t="s">
        <v>368</v>
      </c>
      <c r="N39" s="352">
        <v>3676134.5999999996</v>
      </c>
      <c r="O39" s="353">
        <v>7</v>
      </c>
      <c r="P39" s="354">
        <v>43</v>
      </c>
      <c r="Q39" s="353">
        <v>492</v>
      </c>
      <c r="R39" s="354">
        <v>4816</v>
      </c>
      <c r="S39" s="353">
        <v>46527</v>
      </c>
      <c r="T39" s="354">
        <v>464691</v>
      </c>
      <c r="V39" s="228"/>
      <c r="X39" s="304"/>
    </row>
    <row r="40" spans="1:24" x14ac:dyDescent="0.15">
      <c r="A40" s="343">
        <v>17</v>
      </c>
      <c r="B40" s="344">
        <v>43943</v>
      </c>
      <c r="C40" s="345" t="s">
        <v>362</v>
      </c>
      <c r="D40" s="310">
        <v>9</v>
      </c>
      <c r="E40" s="310">
        <v>0</v>
      </c>
      <c r="F40" s="310">
        <v>6</v>
      </c>
      <c r="G40" s="310">
        <v>8</v>
      </c>
      <c r="H40" s="310">
        <v>8</v>
      </c>
      <c r="I40" s="310">
        <v>7</v>
      </c>
      <c r="J40" s="311">
        <v>0</v>
      </c>
      <c r="K40" s="312">
        <v>4794247.5</v>
      </c>
      <c r="L40" s="346" t="s">
        <v>23</v>
      </c>
      <c r="M40" s="314" t="s">
        <v>368</v>
      </c>
      <c r="N40" s="315">
        <v>4017005.6</v>
      </c>
      <c r="O40" s="316">
        <v>1</v>
      </c>
      <c r="P40" s="317">
        <v>15</v>
      </c>
      <c r="Q40" s="316">
        <v>134</v>
      </c>
      <c r="R40" s="317">
        <v>1282</v>
      </c>
      <c r="S40" s="316">
        <v>13103</v>
      </c>
      <c r="T40" s="317">
        <v>133939</v>
      </c>
      <c r="V40" s="228"/>
      <c r="X40" s="304"/>
    </row>
    <row r="41" spans="1:24" x14ac:dyDescent="0.15">
      <c r="A41" s="347"/>
      <c r="B41" s="348">
        <v>43946</v>
      </c>
      <c r="C41" s="349" t="s">
        <v>363</v>
      </c>
      <c r="D41" s="336">
        <v>6</v>
      </c>
      <c r="E41" s="336">
        <v>4</v>
      </c>
      <c r="F41" s="336">
        <v>4</v>
      </c>
      <c r="G41" s="336">
        <v>3</v>
      </c>
      <c r="H41" s="336">
        <v>8</v>
      </c>
      <c r="I41" s="336">
        <v>4</v>
      </c>
      <c r="J41" s="327">
        <v>4</v>
      </c>
      <c r="K41" s="350">
        <v>12506055</v>
      </c>
      <c r="L41" s="357">
        <v>1</v>
      </c>
      <c r="M41" s="350">
        <v>4877777</v>
      </c>
      <c r="N41" s="352">
        <v>0</v>
      </c>
      <c r="O41" s="353">
        <v>6</v>
      </c>
      <c r="P41" s="354">
        <v>41</v>
      </c>
      <c r="Q41" s="353">
        <v>425</v>
      </c>
      <c r="R41" s="354">
        <v>4349</v>
      </c>
      <c r="S41" s="353">
        <v>44268</v>
      </c>
      <c r="T41" s="354">
        <v>436389</v>
      </c>
      <c r="V41" s="228"/>
      <c r="X41" s="304"/>
    </row>
    <row r="42" spans="1:24" x14ac:dyDescent="0.15">
      <c r="A42" s="343">
        <v>18</v>
      </c>
      <c r="B42" s="344">
        <v>43950</v>
      </c>
      <c r="C42" s="345" t="s">
        <v>362</v>
      </c>
      <c r="D42" s="310">
        <v>6</v>
      </c>
      <c r="E42" s="310">
        <v>4</v>
      </c>
      <c r="F42" s="310">
        <v>9</v>
      </c>
      <c r="G42" s="310">
        <v>8</v>
      </c>
      <c r="H42" s="310">
        <v>8</v>
      </c>
      <c r="I42" s="310">
        <v>4</v>
      </c>
      <c r="J42" s="311">
        <v>7</v>
      </c>
      <c r="K42" s="312">
        <v>4917690</v>
      </c>
      <c r="L42" s="313" t="s">
        <v>23</v>
      </c>
      <c r="M42" s="314" t="s">
        <v>368</v>
      </c>
      <c r="N42" s="315">
        <v>349647.8</v>
      </c>
      <c r="O42" s="316">
        <v>1</v>
      </c>
      <c r="P42" s="317">
        <v>18</v>
      </c>
      <c r="Q42" s="316">
        <v>214</v>
      </c>
      <c r="R42" s="317">
        <v>2340</v>
      </c>
      <c r="S42" s="316">
        <v>23113</v>
      </c>
      <c r="T42" s="317">
        <v>223133</v>
      </c>
      <c r="V42" s="228"/>
      <c r="X42" s="304"/>
    </row>
    <row r="43" spans="1:24" x14ac:dyDescent="0.15">
      <c r="A43" s="347"/>
      <c r="B43" s="348">
        <v>43953</v>
      </c>
      <c r="C43" s="349" t="s">
        <v>363</v>
      </c>
      <c r="D43" s="336">
        <v>7</v>
      </c>
      <c r="E43" s="336">
        <v>3</v>
      </c>
      <c r="F43" s="336">
        <v>3</v>
      </c>
      <c r="G43" s="336">
        <v>4</v>
      </c>
      <c r="H43" s="336">
        <v>5</v>
      </c>
      <c r="I43" s="336">
        <v>4</v>
      </c>
      <c r="J43" s="327">
        <v>0</v>
      </c>
      <c r="K43" s="350">
        <v>12665080</v>
      </c>
      <c r="L43" s="351" t="s">
        <v>23</v>
      </c>
      <c r="M43" s="350" t="s">
        <v>368</v>
      </c>
      <c r="N43" s="352">
        <v>1250135</v>
      </c>
      <c r="O43" s="353">
        <v>3</v>
      </c>
      <c r="P43" s="354">
        <v>40</v>
      </c>
      <c r="Q43" s="353">
        <v>321</v>
      </c>
      <c r="R43" s="354">
        <v>3214</v>
      </c>
      <c r="S43" s="353">
        <v>33473</v>
      </c>
      <c r="T43" s="354">
        <v>347655</v>
      </c>
      <c r="V43" s="228"/>
      <c r="X43" s="304"/>
    </row>
    <row r="44" spans="1:24" x14ac:dyDescent="0.15">
      <c r="A44" s="343">
        <v>19</v>
      </c>
      <c r="B44" s="344">
        <v>43957</v>
      </c>
      <c r="C44" s="345" t="s">
        <v>362</v>
      </c>
      <c r="D44" s="310">
        <v>3</v>
      </c>
      <c r="E44" s="310">
        <v>9</v>
      </c>
      <c r="F44" s="310">
        <v>5</v>
      </c>
      <c r="G44" s="310">
        <v>1</v>
      </c>
      <c r="H44" s="310">
        <v>2</v>
      </c>
      <c r="I44" s="310">
        <v>7</v>
      </c>
      <c r="J44" s="311">
        <v>3</v>
      </c>
      <c r="K44" s="312">
        <v>5095432.5</v>
      </c>
      <c r="L44" s="313" t="s">
        <v>23</v>
      </c>
      <c r="M44" s="314" t="s">
        <v>368</v>
      </c>
      <c r="N44" s="315">
        <v>1612420.3</v>
      </c>
      <c r="O44" s="316">
        <v>2</v>
      </c>
      <c r="P44" s="317">
        <v>16</v>
      </c>
      <c r="Q44" s="316">
        <v>203</v>
      </c>
      <c r="R44" s="317">
        <v>2005</v>
      </c>
      <c r="S44" s="316">
        <v>19968</v>
      </c>
      <c r="T44" s="317">
        <v>193278</v>
      </c>
      <c r="V44" s="228"/>
      <c r="X44" s="304"/>
    </row>
    <row r="45" spans="1:24" x14ac:dyDescent="0.15">
      <c r="A45" s="347"/>
      <c r="B45" s="348">
        <v>43960</v>
      </c>
      <c r="C45" s="349" t="s">
        <v>363</v>
      </c>
      <c r="D45" s="336">
        <v>0</v>
      </c>
      <c r="E45" s="336">
        <v>3</v>
      </c>
      <c r="F45" s="336">
        <v>3</v>
      </c>
      <c r="G45" s="336">
        <v>7</v>
      </c>
      <c r="H45" s="336">
        <v>3</v>
      </c>
      <c r="I45" s="336">
        <v>3</v>
      </c>
      <c r="J45" s="327">
        <v>7</v>
      </c>
      <c r="K45" s="350">
        <v>12183045</v>
      </c>
      <c r="L45" s="351" t="s">
        <v>23</v>
      </c>
      <c r="M45" s="350" t="s">
        <v>368</v>
      </c>
      <c r="N45" s="358">
        <v>2478634.8000000003</v>
      </c>
      <c r="O45" s="353">
        <v>10</v>
      </c>
      <c r="P45" s="354">
        <v>52</v>
      </c>
      <c r="Q45" s="353">
        <v>478</v>
      </c>
      <c r="R45" s="354">
        <v>4953</v>
      </c>
      <c r="S45" s="353">
        <v>53309</v>
      </c>
      <c r="T45" s="354">
        <v>544843</v>
      </c>
      <c r="V45" s="228"/>
      <c r="X45" s="304"/>
    </row>
    <row r="46" spans="1:24" x14ac:dyDescent="0.15">
      <c r="A46" s="343">
        <v>20</v>
      </c>
      <c r="B46" s="344">
        <v>43964</v>
      </c>
      <c r="C46" s="345" t="s">
        <v>362</v>
      </c>
      <c r="D46" s="310">
        <v>4</v>
      </c>
      <c r="E46" s="310">
        <v>4</v>
      </c>
      <c r="F46" s="310">
        <v>6</v>
      </c>
      <c r="G46" s="310">
        <v>7</v>
      </c>
      <c r="H46" s="310">
        <v>4</v>
      </c>
      <c r="I46" s="310">
        <v>6</v>
      </c>
      <c r="J46" s="311">
        <v>5</v>
      </c>
      <c r="K46" s="312">
        <v>5360947.5</v>
      </c>
      <c r="L46" s="313" t="s">
        <v>23</v>
      </c>
      <c r="M46" s="312" t="s">
        <v>368</v>
      </c>
      <c r="N46" s="315">
        <v>2859798.1999999997</v>
      </c>
      <c r="O46" s="316">
        <v>2</v>
      </c>
      <c r="P46" s="317">
        <v>25</v>
      </c>
      <c r="Q46" s="316">
        <v>225</v>
      </c>
      <c r="R46" s="317">
        <v>2251</v>
      </c>
      <c r="S46" s="316">
        <v>22740</v>
      </c>
      <c r="T46" s="317">
        <v>218302</v>
      </c>
      <c r="V46" s="228"/>
      <c r="X46" s="304"/>
    </row>
    <row r="47" spans="1:24" x14ac:dyDescent="0.15">
      <c r="A47" s="347"/>
      <c r="B47" s="348">
        <v>43967</v>
      </c>
      <c r="C47" s="349" t="s">
        <v>363</v>
      </c>
      <c r="D47" s="336">
        <v>4</v>
      </c>
      <c r="E47" s="336">
        <v>1</v>
      </c>
      <c r="F47" s="336">
        <v>8</v>
      </c>
      <c r="G47" s="336">
        <v>4</v>
      </c>
      <c r="H47" s="336">
        <v>9</v>
      </c>
      <c r="I47" s="336">
        <v>5</v>
      </c>
      <c r="J47" s="327">
        <v>6</v>
      </c>
      <c r="K47" s="350">
        <v>12533990</v>
      </c>
      <c r="L47" s="357" t="s">
        <v>23</v>
      </c>
      <c r="M47" s="359" t="s">
        <v>368</v>
      </c>
      <c r="N47" s="352">
        <v>3750964.9</v>
      </c>
      <c r="O47" s="353">
        <v>4</v>
      </c>
      <c r="P47" s="354">
        <v>44</v>
      </c>
      <c r="Q47" s="353">
        <v>508</v>
      </c>
      <c r="R47" s="354">
        <v>5308</v>
      </c>
      <c r="S47" s="353">
        <v>49635</v>
      </c>
      <c r="T47" s="354">
        <v>457576</v>
      </c>
      <c r="V47" s="228"/>
      <c r="X47" s="304"/>
    </row>
    <row r="48" spans="1:24" x14ac:dyDescent="0.15">
      <c r="A48" s="343">
        <v>21</v>
      </c>
      <c r="B48" s="344">
        <v>43971</v>
      </c>
      <c r="C48" s="345" t="s">
        <v>362</v>
      </c>
      <c r="D48" s="355">
        <v>4</v>
      </c>
      <c r="E48" s="310">
        <v>4</v>
      </c>
      <c r="F48" s="310">
        <v>8</v>
      </c>
      <c r="G48" s="310">
        <v>0</v>
      </c>
      <c r="H48" s="310">
        <v>3</v>
      </c>
      <c r="I48" s="310">
        <v>9</v>
      </c>
      <c r="J48" s="311">
        <v>1</v>
      </c>
      <c r="K48" s="312">
        <v>5672050</v>
      </c>
      <c r="L48" s="313" t="s">
        <v>23</v>
      </c>
      <c r="M48" s="314" t="s">
        <v>368</v>
      </c>
      <c r="N48" s="358">
        <v>4154247.7</v>
      </c>
      <c r="O48" s="316">
        <v>4</v>
      </c>
      <c r="P48" s="317">
        <v>25</v>
      </c>
      <c r="Q48" s="316">
        <v>154</v>
      </c>
      <c r="R48" s="317">
        <v>1552</v>
      </c>
      <c r="S48" s="316">
        <v>16205</v>
      </c>
      <c r="T48" s="317">
        <v>172289</v>
      </c>
      <c r="V48" s="228"/>
      <c r="X48" s="304"/>
    </row>
    <row r="49" spans="1:24" x14ac:dyDescent="0.15">
      <c r="A49" s="347"/>
      <c r="B49" s="348">
        <v>43974</v>
      </c>
      <c r="C49" s="349" t="s">
        <v>363</v>
      </c>
      <c r="D49" s="356">
        <v>8</v>
      </c>
      <c r="E49" s="356">
        <v>2</v>
      </c>
      <c r="F49" s="356">
        <v>7</v>
      </c>
      <c r="G49" s="356">
        <v>5</v>
      </c>
      <c r="H49" s="356">
        <v>1</v>
      </c>
      <c r="I49" s="356">
        <v>7</v>
      </c>
      <c r="J49" s="327">
        <v>5</v>
      </c>
      <c r="K49" s="350">
        <v>12544382.5</v>
      </c>
      <c r="L49" s="351" t="s">
        <v>23</v>
      </c>
      <c r="M49" s="350" t="s">
        <v>368</v>
      </c>
      <c r="N49" s="352">
        <v>5046153.3</v>
      </c>
      <c r="O49" s="353">
        <v>3</v>
      </c>
      <c r="P49" s="354">
        <v>45</v>
      </c>
      <c r="Q49" s="353">
        <v>566</v>
      </c>
      <c r="R49" s="354">
        <v>5648</v>
      </c>
      <c r="S49" s="353">
        <v>54036</v>
      </c>
      <c r="T49" s="354">
        <v>515446</v>
      </c>
      <c r="V49" s="228"/>
      <c r="X49" s="304"/>
    </row>
    <row r="50" spans="1:24" x14ac:dyDescent="0.15">
      <c r="A50" s="343">
        <v>22</v>
      </c>
      <c r="B50" s="344">
        <v>43978</v>
      </c>
      <c r="C50" s="345" t="s">
        <v>362</v>
      </c>
      <c r="D50" s="310">
        <v>3</v>
      </c>
      <c r="E50" s="310">
        <v>0</v>
      </c>
      <c r="F50" s="310">
        <v>6</v>
      </c>
      <c r="G50" s="310">
        <v>9</v>
      </c>
      <c r="H50" s="310">
        <v>6</v>
      </c>
      <c r="I50" s="310">
        <v>0</v>
      </c>
      <c r="J50" s="311">
        <v>9</v>
      </c>
      <c r="K50" s="312">
        <v>5789595</v>
      </c>
      <c r="L50" s="313" t="s">
        <v>23</v>
      </c>
      <c r="M50" s="314" t="s">
        <v>368</v>
      </c>
      <c r="N50" s="315">
        <v>5457793.4999999991</v>
      </c>
      <c r="O50" s="316" t="s">
        <v>17</v>
      </c>
      <c r="P50" s="317">
        <v>20</v>
      </c>
      <c r="Q50" s="316">
        <v>177</v>
      </c>
      <c r="R50" s="317">
        <v>1707</v>
      </c>
      <c r="S50" s="316">
        <v>17395</v>
      </c>
      <c r="T50" s="317">
        <v>199337</v>
      </c>
      <c r="V50" s="228"/>
      <c r="X50" s="304"/>
    </row>
    <row r="51" spans="1:24" x14ac:dyDescent="0.15">
      <c r="A51" s="347"/>
      <c r="B51" s="348">
        <v>43981</v>
      </c>
      <c r="C51" s="349" t="s">
        <v>363</v>
      </c>
      <c r="D51" s="336">
        <v>6</v>
      </c>
      <c r="E51" s="336">
        <v>8</v>
      </c>
      <c r="F51" s="336">
        <v>0</v>
      </c>
      <c r="G51" s="336">
        <v>5</v>
      </c>
      <c r="H51" s="336">
        <v>2</v>
      </c>
      <c r="I51" s="336">
        <v>0</v>
      </c>
      <c r="J51" s="327">
        <v>0</v>
      </c>
      <c r="K51" s="350">
        <v>13375060</v>
      </c>
      <c r="L51" s="351">
        <v>1</v>
      </c>
      <c r="M51" s="350">
        <v>6377777</v>
      </c>
      <c r="N51" s="352">
        <v>0</v>
      </c>
      <c r="O51" s="353">
        <v>3</v>
      </c>
      <c r="P51" s="354">
        <v>44</v>
      </c>
      <c r="Q51" s="353">
        <v>330</v>
      </c>
      <c r="R51" s="354">
        <v>3644</v>
      </c>
      <c r="S51" s="353">
        <v>39428</v>
      </c>
      <c r="T51" s="354">
        <v>366442</v>
      </c>
      <c r="V51" s="228"/>
      <c r="X51" s="304"/>
    </row>
    <row r="52" spans="1:24" x14ac:dyDescent="0.15">
      <c r="A52" s="343">
        <v>23</v>
      </c>
      <c r="B52" s="344">
        <v>43985</v>
      </c>
      <c r="C52" s="345" t="s">
        <v>362</v>
      </c>
      <c r="D52" s="310">
        <v>6</v>
      </c>
      <c r="E52" s="310">
        <v>3</v>
      </c>
      <c r="F52" s="310">
        <v>1</v>
      </c>
      <c r="G52" s="310">
        <v>2</v>
      </c>
      <c r="H52" s="310">
        <v>6</v>
      </c>
      <c r="I52" s="310">
        <v>6</v>
      </c>
      <c r="J52" s="311">
        <v>5</v>
      </c>
      <c r="K52" s="312">
        <v>6669250</v>
      </c>
      <c r="L52" s="313" t="s">
        <v>23</v>
      </c>
      <c r="M52" s="314" t="s">
        <v>368</v>
      </c>
      <c r="N52" s="315">
        <v>474183.7</v>
      </c>
      <c r="O52" s="316">
        <v>2</v>
      </c>
      <c r="P52" s="317">
        <v>31</v>
      </c>
      <c r="Q52" s="316">
        <v>238</v>
      </c>
      <c r="R52" s="317">
        <v>2530</v>
      </c>
      <c r="S52" s="316">
        <v>28657</v>
      </c>
      <c r="T52" s="317">
        <v>270142</v>
      </c>
      <c r="V52" s="228"/>
      <c r="X52" s="304"/>
    </row>
    <row r="53" spans="1:24" x14ac:dyDescent="0.15">
      <c r="A53" s="347"/>
      <c r="B53" s="348">
        <v>43988</v>
      </c>
      <c r="C53" s="349" t="s">
        <v>363</v>
      </c>
      <c r="D53" s="336">
        <v>5</v>
      </c>
      <c r="E53" s="336">
        <v>9</v>
      </c>
      <c r="F53" s="336">
        <v>5</v>
      </c>
      <c r="G53" s="336">
        <v>1</v>
      </c>
      <c r="H53" s="336">
        <v>5</v>
      </c>
      <c r="I53" s="336">
        <v>7</v>
      </c>
      <c r="J53" s="327">
        <v>8</v>
      </c>
      <c r="K53" s="350">
        <v>12128907.5</v>
      </c>
      <c r="L53" s="351" t="s">
        <v>23</v>
      </c>
      <c r="M53" s="350" t="s">
        <v>368</v>
      </c>
      <c r="N53" s="352">
        <v>1336549.0000000005</v>
      </c>
      <c r="O53" s="353">
        <v>5</v>
      </c>
      <c r="P53" s="354">
        <v>36</v>
      </c>
      <c r="Q53" s="353">
        <v>474</v>
      </c>
      <c r="R53" s="354">
        <v>4720</v>
      </c>
      <c r="S53" s="353">
        <v>47379</v>
      </c>
      <c r="T53" s="354">
        <v>473096</v>
      </c>
      <c r="V53" s="228"/>
      <c r="X53" s="304"/>
    </row>
    <row r="54" spans="1:24" x14ac:dyDescent="0.15">
      <c r="A54" s="343">
        <v>24</v>
      </c>
      <c r="B54" s="344">
        <v>43992</v>
      </c>
      <c r="C54" s="345" t="s">
        <v>362</v>
      </c>
      <c r="D54" s="310">
        <v>0</v>
      </c>
      <c r="E54" s="310">
        <v>4</v>
      </c>
      <c r="F54" s="310">
        <v>9</v>
      </c>
      <c r="G54" s="310">
        <v>2</v>
      </c>
      <c r="H54" s="310">
        <v>2</v>
      </c>
      <c r="I54" s="310">
        <v>3</v>
      </c>
      <c r="J54" s="311">
        <v>5</v>
      </c>
      <c r="K54" s="312">
        <v>5167625</v>
      </c>
      <c r="L54" s="346" t="s">
        <v>23</v>
      </c>
      <c r="M54" s="314" t="s">
        <v>368</v>
      </c>
      <c r="N54" s="315">
        <v>1703967.1</v>
      </c>
      <c r="O54" s="316">
        <v>2</v>
      </c>
      <c r="P54" s="317">
        <v>19</v>
      </c>
      <c r="Q54" s="316">
        <v>221</v>
      </c>
      <c r="R54" s="317">
        <v>2242</v>
      </c>
      <c r="S54" s="316">
        <v>21566</v>
      </c>
      <c r="T54" s="317">
        <v>216828</v>
      </c>
      <c r="V54" s="228"/>
      <c r="X54" s="304"/>
    </row>
    <row r="55" spans="1:24" x14ac:dyDescent="0.15">
      <c r="A55" s="347"/>
      <c r="B55" s="348">
        <v>43995</v>
      </c>
      <c r="C55" s="349" t="s">
        <v>363</v>
      </c>
      <c r="D55" s="336">
        <v>1</v>
      </c>
      <c r="E55" s="336">
        <v>1</v>
      </c>
      <c r="F55" s="336">
        <v>1</v>
      </c>
      <c r="G55" s="336">
        <v>6</v>
      </c>
      <c r="H55" s="336">
        <v>9</v>
      </c>
      <c r="I55" s="336">
        <v>9</v>
      </c>
      <c r="J55" s="327">
        <v>9</v>
      </c>
      <c r="K55" s="350">
        <v>11872892.5</v>
      </c>
      <c r="L55" s="357" t="s">
        <v>23</v>
      </c>
      <c r="M55" s="350" t="s">
        <v>368</v>
      </c>
      <c r="N55" s="352">
        <v>2548129.7999999998</v>
      </c>
      <c r="O55" s="353">
        <v>6</v>
      </c>
      <c r="P55" s="354">
        <v>49</v>
      </c>
      <c r="Q55" s="353">
        <v>505</v>
      </c>
      <c r="R55" s="354">
        <v>5372</v>
      </c>
      <c r="S55" s="353">
        <v>39663</v>
      </c>
      <c r="T55" s="354">
        <v>417207</v>
      </c>
      <c r="V55" s="228"/>
      <c r="X55" s="304"/>
    </row>
    <row r="56" spans="1:24" x14ac:dyDescent="0.15">
      <c r="A56" s="343">
        <v>25</v>
      </c>
      <c r="B56" s="344">
        <v>43999</v>
      </c>
      <c r="C56" s="345" t="s">
        <v>362</v>
      </c>
      <c r="D56" s="310">
        <v>3</v>
      </c>
      <c r="E56" s="310">
        <v>1</v>
      </c>
      <c r="F56" s="310">
        <v>0</v>
      </c>
      <c r="G56" s="310">
        <v>1</v>
      </c>
      <c r="H56" s="310">
        <v>2</v>
      </c>
      <c r="I56" s="310">
        <v>4</v>
      </c>
      <c r="J56" s="311">
        <v>0</v>
      </c>
      <c r="K56" s="312">
        <v>5192880</v>
      </c>
      <c r="L56" s="313" t="s">
        <v>23</v>
      </c>
      <c r="M56" s="314" t="s">
        <v>368</v>
      </c>
      <c r="N56" s="315">
        <v>2917343.6000000006</v>
      </c>
      <c r="O56" s="316">
        <v>2</v>
      </c>
      <c r="P56" s="317">
        <v>10</v>
      </c>
      <c r="Q56" s="316">
        <v>130</v>
      </c>
      <c r="R56" s="317">
        <v>1371</v>
      </c>
      <c r="S56" s="316">
        <v>13720</v>
      </c>
      <c r="T56" s="317">
        <v>145880</v>
      </c>
      <c r="U56" s="240"/>
      <c r="V56" s="275"/>
      <c r="X56" s="304"/>
    </row>
    <row r="57" spans="1:24" x14ac:dyDescent="0.15">
      <c r="A57" s="347"/>
      <c r="B57" s="348">
        <v>44002</v>
      </c>
      <c r="C57" s="349" t="s">
        <v>363</v>
      </c>
      <c r="D57" s="336">
        <v>2</v>
      </c>
      <c r="E57" s="336">
        <v>8</v>
      </c>
      <c r="F57" s="336">
        <v>2</v>
      </c>
      <c r="G57" s="336">
        <v>1</v>
      </c>
      <c r="H57" s="336">
        <v>8</v>
      </c>
      <c r="I57" s="336">
        <v>4</v>
      </c>
      <c r="J57" s="327">
        <v>3</v>
      </c>
      <c r="K57" s="350">
        <v>12176237.5</v>
      </c>
      <c r="L57" s="357" t="s">
        <v>23</v>
      </c>
      <c r="M57" s="350" t="s">
        <v>368</v>
      </c>
      <c r="N57" s="352">
        <v>3783074.100000001</v>
      </c>
      <c r="O57" s="353">
        <v>3</v>
      </c>
      <c r="P57" s="354">
        <v>48</v>
      </c>
      <c r="Q57" s="353">
        <v>456</v>
      </c>
      <c r="R57" s="354">
        <v>4569</v>
      </c>
      <c r="S57" s="353">
        <v>44958</v>
      </c>
      <c r="T57" s="354">
        <v>452620</v>
      </c>
      <c r="V57" s="228"/>
      <c r="X57" s="304"/>
    </row>
    <row r="58" spans="1:24" x14ac:dyDescent="0.15">
      <c r="A58" s="343">
        <v>26</v>
      </c>
      <c r="B58" s="344">
        <v>44006</v>
      </c>
      <c r="C58" s="345" t="s">
        <v>362</v>
      </c>
      <c r="D58" s="310">
        <v>4</v>
      </c>
      <c r="E58" s="310">
        <v>2</v>
      </c>
      <c r="F58" s="310">
        <v>6</v>
      </c>
      <c r="G58" s="310">
        <v>7</v>
      </c>
      <c r="H58" s="310">
        <v>6</v>
      </c>
      <c r="I58" s="310">
        <v>7</v>
      </c>
      <c r="J58" s="311">
        <v>7</v>
      </c>
      <c r="K58" s="312">
        <v>5336570</v>
      </c>
      <c r="L58" s="346" t="s">
        <v>23</v>
      </c>
      <c r="M58" s="314" t="s">
        <v>368</v>
      </c>
      <c r="N58" s="315">
        <v>4162504.2000000007</v>
      </c>
      <c r="O58" s="316">
        <v>4</v>
      </c>
      <c r="P58" s="317">
        <v>33</v>
      </c>
      <c r="Q58" s="316">
        <v>325</v>
      </c>
      <c r="R58" s="317">
        <v>2926</v>
      </c>
      <c r="S58" s="316">
        <v>31905</v>
      </c>
      <c r="T58" s="317">
        <v>236298</v>
      </c>
      <c r="V58" s="228"/>
      <c r="X58" s="304"/>
    </row>
    <row r="59" spans="1:24" x14ac:dyDescent="0.15">
      <c r="A59" s="347"/>
      <c r="B59" s="348">
        <v>44009</v>
      </c>
      <c r="C59" s="349" t="s">
        <v>363</v>
      </c>
      <c r="D59" s="360">
        <v>9</v>
      </c>
      <c r="E59" s="360">
        <v>1</v>
      </c>
      <c r="F59" s="360">
        <v>1</v>
      </c>
      <c r="G59" s="360">
        <v>0</v>
      </c>
      <c r="H59" s="360">
        <v>3</v>
      </c>
      <c r="I59" s="360">
        <v>9</v>
      </c>
      <c r="J59" s="338">
        <v>6</v>
      </c>
      <c r="K59" s="350">
        <v>12373727.5</v>
      </c>
      <c r="L59" s="357" t="s">
        <v>23</v>
      </c>
      <c r="M59" s="350" t="s">
        <v>368</v>
      </c>
      <c r="N59" s="352">
        <v>5042276.2000000011</v>
      </c>
      <c r="O59" s="353">
        <v>3</v>
      </c>
      <c r="P59" s="354">
        <v>42</v>
      </c>
      <c r="Q59" s="353">
        <v>460</v>
      </c>
      <c r="R59" s="354">
        <v>4455</v>
      </c>
      <c r="S59" s="353">
        <v>44314</v>
      </c>
      <c r="T59" s="354">
        <v>459691</v>
      </c>
      <c r="V59" s="228"/>
      <c r="X59" s="304"/>
    </row>
    <row r="60" spans="1:24" x14ac:dyDescent="0.15">
      <c r="A60" s="45"/>
      <c r="B60" s="46"/>
      <c r="C60" s="46"/>
      <c r="D60" s="309"/>
      <c r="E60" s="309"/>
      <c r="F60" s="309"/>
      <c r="G60" s="309"/>
      <c r="H60" s="309"/>
      <c r="I60" s="309" t="s">
        <v>24</v>
      </c>
      <c r="J60" s="309"/>
      <c r="K60" s="277"/>
      <c r="L60" s="278">
        <f>SUM(L8:L59)</f>
        <v>7</v>
      </c>
      <c r="M60" s="229"/>
      <c r="N60" s="278"/>
      <c r="O60" s="278">
        <f t="shared" ref="O60:T60" si="0">SUM(O8:O59)</f>
        <v>163</v>
      </c>
      <c r="P60" s="278">
        <f t="shared" si="0"/>
        <v>1668</v>
      </c>
      <c r="Q60" s="278">
        <f t="shared" si="0"/>
        <v>16958</v>
      </c>
      <c r="R60" s="278">
        <f t="shared" si="0"/>
        <v>168522</v>
      </c>
      <c r="S60" s="278">
        <f t="shared" si="0"/>
        <v>1688349</v>
      </c>
      <c r="T60" s="278">
        <f t="shared" si="0"/>
        <v>16804452</v>
      </c>
      <c r="V60" s="228"/>
      <c r="X60" s="304"/>
    </row>
    <row r="63" spans="1:24" x14ac:dyDescent="0.15">
      <c r="K63" s="254"/>
    </row>
    <row r="64" spans="1:24" ht="12.75" x14ac:dyDescent="0.2">
      <c r="A64" s="1" t="s">
        <v>364</v>
      </c>
      <c r="T64" s="3" t="s">
        <v>451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299"/>
      <c r="E66" s="299"/>
      <c r="F66" s="299"/>
      <c r="G66" s="299"/>
      <c r="H66" s="299"/>
      <c r="I66" s="299"/>
      <c r="J66" s="30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361"/>
      <c r="C67" s="125"/>
      <c r="D67" s="301" t="s">
        <v>4</v>
      </c>
      <c r="E67" s="302"/>
      <c r="F67" s="302"/>
      <c r="G67" s="302"/>
      <c r="H67" s="302"/>
      <c r="I67" s="302"/>
      <c r="J67" s="290" t="s">
        <v>5</v>
      </c>
      <c r="K67" s="209" t="s">
        <v>6</v>
      </c>
      <c r="L67" s="6" t="s">
        <v>7</v>
      </c>
      <c r="M67" s="18"/>
      <c r="N67" s="13" t="s">
        <v>21</v>
      </c>
      <c r="O67" s="361" t="s">
        <v>8</v>
      </c>
      <c r="P67" s="13" t="s">
        <v>9</v>
      </c>
      <c r="Q67" s="361" t="s">
        <v>10</v>
      </c>
      <c r="R67" s="13" t="s">
        <v>11</v>
      </c>
      <c r="S67" s="361" t="s">
        <v>12</v>
      </c>
      <c r="T67" s="13" t="s">
        <v>49</v>
      </c>
    </row>
    <row r="68" spans="1:24" ht="11.1" customHeight="1" x14ac:dyDescent="0.15">
      <c r="A68" s="13" t="s">
        <v>428</v>
      </c>
      <c r="B68" s="361">
        <v>2020</v>
      </c>
      <c r="C68" s="220" t="s">
        <v>361</v>
      </c>
      <c r="D68" s="289"/>
      <c r="E68" s="289"/>
      <c r="F68" s="289"/>
      <c r="G68" s="289"/>
      <c r="H68" s="289"/>
      <c r="I68" s="289"/>
      <c r="J68" s="290" t="s">
        <v>13</v>
      </c>
      <c r="K68" s="361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4" ht="11.1" customHeight="1" x14ac:dyDescent="0.15">
      <c r="A69" s="39"/>
      <c r="B69" s="21"/>
      <c r="C69" s="220"/>
      <c r="D69" s="289"/>
      <c r="E69" s="289"/>
      <c r="F69" s="289"/>
      <c r="G69" s="289"/>
      <c r="H69" s="289"/>
      <c r="I69" s="289"/>
      <c r="J69" s="303"/>
      <c r="K69" s="13" t="s">
        <v>367</v>
      </c>
      <c r="L69" s="221" t="s">
        <v>15</v>
      </c>
      <c r="M69" s="361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44013</v>
      </c>
      <c r="C70" s="174" t="s">
        <v>362</v>
      </c>
      <c r="D70" s="291">
        <v>0</v>
      </c>
      <c r="E70" s="291">
        <v>6</v>
      </c>
      <c r="F70" s="291">
        <v>0</v>
      </c>
      <c r="G70" s="291">
        <v>0</v>
      </c>
      <c r="H70" s="291">
        <v>1</v>
      </c>
      <c r="I70" s="291">
        <v>6</v>
      </c>
      <c r="J70" s="292">
        <v>8</v>
      </c>
      <c r="K70" s="222">
        <v>5095662.5</v>
      </c>
      <c r="L70" s="223" t="s">
        <v>23</v>
      </c>
      <c r="M70" s="224" t="s">
        <v>368</v>
      </c>
      <c r="N70" s="225">
        <v>5404577.8000000007</v>
      </c>
      <c r="O70" s="226" t="s">
        <v>17</v>
      </c>
      <c r="P70" s="227">
        <v>16</v>
      </c>
      <c r="Q70" s="226">
        <v>184</v>
      </c>
      <c r="R70" s="227">
        <v>2118</v>
      </c>
      <c r="S70" s="226">
        <v>20434</v>
      </c>
      <c r="T70" s="227">
        <v>191971</v>
      </c>
      <c r="U70" s="240"/>
      <c r="V70" s="275"/>
      <c r="X70" s="304"/>
    </row>
    <row r="71" spans="1:24" x14ac:dyDescent="0.15">
      <c r="A71" s="178"/>
      <c r="B71" s="179">
        <v>44016</v>
      </c>
      <c r="C71" s="180" t="s">
        <v>363</v>
      </c>
      <c r="D71" s="289">
        <v>0</v>
      </c>
      <c r="E71" s="289">
        <v>4</v>
      </c>
      <c r="F71" s="289">
        <v>6</v>
      </c>
      <c r="G71" s="289">
        <v>0</v>
      </c>
      <c r="H71" s="289">
        <v>7</v>
      </c>
      <c r="I71" s="289">
        <v>0</v>
      </c>
      <c r="J71" s="303">
        <v>2</v>
      </c>
      <c r="K71" s="229">
        <v>12050855</v>
      </c>
      <c r="L71" s="230">
        <v>1</v>
      </c>
      <c r="M71" s="229">
        <v>6177777</v>
      </c>
      <c r="N71" s="231">
        <v>0</v>
      </c>
      <c r="O71" s="232">
        <v>1</v>
      </c>
      <c r="P71" s="233">
        <v>34</v>
      </c>
      <c r="Q71" s="232">
        <v>332</v>
      </c>
      <c r="R71" s="233">
        <v>3487</v>
      </c>
      <c r="S71" s="232">
        <v>33713</v>
      </c>
      <c r="T71" s="233">
        <v>390864</v>
      </c>
      <c r="V71" s="228"/>
      <c r="X71" s="304"/>
    </row>
    <row r="72" spans="1:24" x14ac:dyDescent="0.15">
      <c r="A72" s="172">
        <v>28</v>
      </c>
      <c r="B72" s="173">
        <v>44020</v>
      </c>
      <c r="C72" s="174" t="s">
        <v>362</v>
      </c>
      <c r="D72" s="291">
        <v>5</v>
      </c>
      <c r="E72" s="291">
        <v>1</v>
      </c>
      <c r="F72" s="291">
        <v>9</v>
      </c>
      <c r="G72" s="291">
        <v>5</v>
      </c>
      <c r="H72" s="291">
        <v>4</v>
      </c>
      <c r="I72" s="291">
        <v>7</v>
      </c>
      <c r="J72" s="292">
        <v>4</v>
      </c>
      <c r="K72" s="222">
        <v>5586092.5</v>
      </c>
      <c r="L72" s="223">
        <v>1</v>
      </c>
      <c r="M72" s="224">
        <v>377777</v>
      </c>
      <c r="N72" s="225">
        <v>0</v>
      </c>
      <c r="O72" s="226">
        <v>2</v>
      </c>
      <c r="P72" s="227">
        <v>19</v>
      </c>
      <c r="Q72" s="226">
        <v>204</v>
      </c>
      <c r="R72" s="227">
        <v>1992</v>
      </c>
      <c r="S72" s="226">
        <v>19673</v>
      </c>
      <c r="T72" s="227">
        <v>197854</v>
      </c>
      <c r="V72" s="228"/>
      <c r="X72" s="304"/>
    </row>
    <row r="73" spans="1:24" x14ac:dyDescent="0.15">
      <c r="A73" s="178"/>
      <c r="B73" s="179">
        <v>44023</v>
      </c>
      <c r="C73" s="180" t="s">
        <v>363</v>
      </c>
      <c r="D73" s="289">
        <v>4</v>
      </c>
      <c r="E73" s="289">
        <v>6</v>
      </c>
      <c r="F73" s="289">
        <v>6</v>
      </c>
      <c r="G73" s="289">
        <v>3</v>
      </c>
      <c r="H73" s="289">
        <v>4</v>
      </c>
      <c r="I73" s="289">
        <v>2</v>
      </c>
      <c r="J73" s="303">
        <v>1</v>
      </c>
      <c r="K73" s="229">
        <v>12936542.5</v>
      </c>
      <c r="L73" s="237" t="s">
        <v>23</v>
      </c>
      <c r="M73" s="229" t="s">
        <v>368</v>
      </c>
      <c r="N73" s="231">
        <v>919788.20000000007</v>
      </c>
      <c r="O73" s="232">
        <v>4</v>
      </c>
      <c r="P73" s="233">
        <v>36</v>
      </c>
      <c r="Q73" s="232">
        <v>408</v>
      </c>
      <c r="R73" s="233">
        <v>4247</v>
      </c>
      <c r="S73" s="232">
        <v>40755</v>
      </c>
      <c r="T73" s="233">
        <v>392006</v>
      </c>
      <c r="V73" s="228"/>
      <c r="X73" s="304"/>
    </row>
    <row r="74" spans="1:24" x14ac:dyDescent="0.15">
      <c r="A74" s="172">
        <v>29</v>
      </c>
      <c r="B74" s="173">
        <v>44027</v>
      </c>
      <c r="C74" s="174" t="s">
        <v>362</v>
      </c>
      <c r="D74" s="291">
        <v>5</v>
      </c>
      <c r="E74" s="291">
        <v>6</v>
      </c>
      <c r="F74" s="291">
        <v>4</v>
      </c>
      <c r="G74" s="291">
        <v>0</v>
      </c>
      <c r="H74" s="291">
        <v>4</v>
      </c>
      <c r="I74" s="291">
        <v>9</v>
      </c>
      <c r="J74" s="292">
        <v>8</v>
      </c>
      <c r="K74" s="222">
        <v>5160930</v>
      </c>
      <c r="L74" s="223" t="s">
        <v>23</v>
      </c>
      <c r="M74" s="224" t="s">
        <v>368</v>
      </c>
      <c r="N74" s="225">
        <v>1286730.3</v>
      </c>
      <c r="O74" s="226">
        <v>2</v>
      </c>
      <c r="P74" s="227">
        <v>14</v>
      </c>
      <c r="Q74" s="226">
        <v>162</v>
      </c>
      <c r="R74" s="227">
        <v>1829</v>
      </c>
      <c r="S74" s="226">
        <v>17993</v>
      </c>
      <c r="T74" s="227">
        <v>197429</v>
      </c>
      <c r="V74" s="228"/>
      <c r="X74" s="304"/>
    </row>
    <row r="75" spans="1:24" x14ac:dyDescent="0.15">
      <c r="A75" s="178"/>
      <c r="B75" s="179">
        <v>44030</v>
      </c>
      <c r="C75" s="180" t="s">
        <v>363</v>
      </c>
      <c r="D75" s="289">
        <v>7</v>
      </c>
      <c r="E75" s="289">
        <v>6</v>
      </c>
      <c r="F75" s="289">
        <v>1</v>
      </c>
      <c r="G75" s="289">
        <v>6</v>
      </c>
      <c r="H75" s="289">
        <v>8</v>
      </c>
      <c r="I75" s="289">
        <v>3</v>
      </c>
      <c r="J75" s="303">
        <v>6</v>
      </c>
      <c r="K75" s="229">
        <v>12111460</v>
      </c>
      <c r="L75" s="230" t="s">
        <v>23</v>
      </c>
      <c r="M75" s="229" t="s">
        <v>368</v>
      </c>
      <c r="N75" s="231">
        <v>2147855.1</v>
      </c>
      <c r="O75" s="232">
        <v>3</v>
      </c>
      <c r="P75" s="233">
        <v>46</v>
      </c>
      <c r="Q75" s="232">
        <v>504</v>
      </c>
      <c r="R75" s="233">
        <v>4544</v>
      </c>
      <c r="S75" s="232">
        <v>46166</v>
      </c>
      <c r="T75" s="233">
        <v>443960</v>
      </c>
      <c r="V75" s="228"/>
      <c r="X75" s="304"/>
    </row>
    <row r="76" spans="1:24" x14ac:dyDescent="0.15">
      <c r="A76" s="172">
        <v>30</v>
      </c>
      <c r="B76" s="173">
        <v>44034</v>
      </c>
      <c r="C76" s="174" t="s">
        <v>362</v>
      </c>
      <c r="D76" s="291">
        <v>0</v>
      </c>
      <c r="E76" s="291">
        <v>0</v>
      </c>
      <c r="F76" s="291">
        <v>4</v>
      </c>
      <c r="G76" s="291">
        <v>5</v>
      </c>
      <c r="H76" s="291">
        <v>3</v>
      </c>
      <c r="I76" s="291">
        <v>4</v>
      </c>
      <c r="J76" s="292">
        <v>5</v>
      </c>
      <c r="K76" s="222">
        <v>5234097.5</v>
      </c>
      <c r="L76" s="223">
        <v>1</v>
      </c>
      <c r="M76" s="224">
        <v>2477777</v>
      </c>
      <c r="N76" s="225">
        <v>0</v>
      </c>
      <c r="O76" s="226">
        <v>1</v>
      </c>
      <c r="P76" s="227">
        <v>21</v>
      </c>
      <c r="Q76" s="226">
        <v>228</v>
      </c>
      <c r="R76" s="227">
        <v>2341</v>
      </c>
      <c r="S76" s="226">
        <v>22402</v>
      </c>
      <c r="T76" s="227">
        <v>217115</v>
      </c>
      <c r="V76" s="228"/>
      <c r="X76" s="304"/>
    </row>
    <row r="77" spans="1:24" x14ac:dyDescent="0.15">
      <c r="A77" s="178"/>
      <c r="B77" s="179">
        <v>44037</v>
      </c>
      <c r="C77" s="180" t="s">
        <v>363</v>
      </c>
      <c r="D77" s="289">
        <v>6</v>
      </c>
      <c r="E77" s="289">
        <v>7</v>
      </c>
      <c r="F77" s="289">
        <v>1</v>
      </c>
      <c r="G77" s="289">
        <v>0</v>
      </c>
      <c r="H77" s="289">
        <v>5</v>
      </c>
      <c r="I77" s="289">
        <v>8</v>
      </c>
      <c r="J77" s="303">
        <v>7</v>
      </c>
      <c r="K77" s="229">
        <v>12219070</v>
      </c>
      <c r="L77" s="230">
        <v>1</v>
      </c>
      <c r="M77" s="229">
        <v>777777</v>
      </c>
      <c r="N77" s="231">
        <v>0</v>
      </c>
      <c r="O77" s="232">
        <v>5</v>
      </c>
      <c r="P77" s="233">
        <v>48</v>
      </c>
      <c r="Q77" s="232">
        <v>542</v>
      </c>
      <c r="R77" s="233">
        <v>5360</v>
      </c>
      <c r="S77" s="232">
        <v>52682</v>
      </c>
      <c r="T77" s="233">
        <v>549829</v>
      </c>
      <c r="V77" s="228"/>
      <c r="X77" s="304"/>
    </row>
    <row r="78" spans="1:24" x14ac:dyDescent="0.15">
      <c r="A78" s="172">
        <v>31</v>
      </c>
      <c r="B78" s="173">
        <v>44041</v>
      </c>
      <c r="C78" s="174" t="s">
        <v>362</v>
      </c>
      <c r="D78" s="291">
        <v>1</v>
      </c>
      <c r="E78" s="291">
        <v>8</v>
      </c>
      <c r="F78" s="291">
        <v>9</v>
      </c>
      <c r="G78" s="291">
        <v>6</v>
      </c>
      <c r="H78" s="291">
        <v>5</v>
      </c>
      <c r="I78" s="291">
        <v>7</v>
      </c>
      <c r="J78" s="292">
        <v>2</v>
      </c>
      <c r="K78" s="222">
        <v>5335187.5</v>
      </c>
      <c r="L78" s="223" t="s">
        <v>23</v>
      </c>
      <c r="M78" s="224" t="s">
        <v>368</v>
      </c>
      <c r="N78" s="225">
        <v>379331.80000000005</v>
      </c>
      <c r="O78" s="226">
        <v>3</v>
      </c>
      <c r="P78" s="227">
        <v>20</v>
      </c>
      <c r="Q78" s="226">
        <v>163</v>
      </c>
      <c r="R78" s="227">
        <v>1780</v>
      </c>
      <c r="S78" s="226">
        <v>16943</v>
      </c>
      <c r="T78" s="227">
        <v>165781</v>
      </c>
      <c r="V78" s="228"/>
      <c r="X78" s="304"/>
    </row>
    <row r="79" spans="1:24" x14ac:dyDescent="0.15">
      <c r="A79" s="178"/>
      <c r="B79" s="179">
        <v>44044</v>
      </c>
      <c r="C79" s="180" t="s">
        <v>363</v>
      </c>
      <c r="D79" s="289">
        <v>6</v>
      </c>
      <c r="E79" s="289">
        <v>4</v>
      </c>
      <c r="F79" s="289">
        <v>1</v>
      </c>
      <c r="G79" s="289">
        <v>6</v>
      </c>
      <c r="H79" s="289">
        <v>5</v>
      </c>
      <c r="I79" s="289">
        <v>8</v>
      </c>
      <c r="J79" s="303">
        <v>1</v>
      </c>
      <c r="K79" s="229">
        <v>12673735</v>
      </c>
      <c r="L79" s="230">
        <v>2</v>
      </c>
      <c r="M79" s="229">
        <v>577777</v>
      </c>
      <c r="N79" s="231">
        <v>0</v>
      </c>
      <c r="O79" s="232">
        <v>2</v>
      </c>
      <c r="P79" s="233">
        <v>35</v>
      </c>
      <c r="Q79" s="232">
        <v>407</v>
      </c>
      <c r="R79" s="233">
        <v>3885</v>
      </c>
      <c r="S79" s="232">
        <v>38628</v>
      </c>
      <c r="T79" s="233">
        <v>387134</v>
      </c>
      <c r="V79" s="228"/>
      <c r="X79" s="304"/>
    </row>
    <row r="80" spans="1:24" x14ac:dyDescent="0.15">
      <c r="A80" s="172">
        <v>32</v>
      </c>
      <c r="B80" s="173">
        <v>44048</v>
      </c>
      <c r="C80" s="174" t="s">
        <v>362</v>
      </c>
      <c r="D80" s="291">
        <v>1</v>
      </c>
      <c r="E80" s="291">
        <v>1</v>
      </c>
      <c r="F80" s="291">
        <v>2</v>
      </c>
      <c r="G80" s="291">
        <v>3</v>
      </c>
      <c r="H80" s="291">
        <v>0</v>
      </c>
      <c r="I80" s="291">
        <v>0</v>
      </c>
      <c r="J80" s="292">
        <v>4</v>
      </c>
      <c r="K80" s="222">
        <v>5587247.5</v>
      </c>
      <c r="L80" s="234" t="s">
        <v>23</v>
      </c>
      <c r="M80" s="224" t="s">
        <v>368</v>
      </c>
      <c r="N80" s="225">
        <v>397253.3</v>
      </c>
      <c r="O80" s="236">
        <v>1</v>
      </c>
      <c r="P80" s="227">
        <v>14</v>
      </c>
      <c r="Q80" s="226">
        <v>136</v>
      </c>
      <c r="R80" s="227">
        <v>1602</v>
      </c>
      <c r="S80" s="226">
        <v>18112</v>
      </c>
      <c r="T80" s="227">
        <v>199170</v>
      </c>
      <c r="V80" s="228"/>
      <c r="X80" s="304"/>
    </row>
    <row r="81" spans="1:24" x14ac:dyDescent="0.15">
      <c r="A81" s="178"/>
      <c r="B81" s="179">
        <v>44051</v>
      </c>
      <c r="C81" s="180" t="s">
        <v>363</v>
      </c>
      <c r="D81" s="289">
        <v>1</v>
      </c>
      <c r="E81" s="289">
        <v>9</v>
      </c>
      <c r="F81" s="289">
        <v>0</v>
      </c>
      <c r="G81" s="289">
        <v>2</v>
      </c>
      <c r="H81" s="289">
        <v>2</v>
      </c>
      <c r="I81" s="289">
        <v>8</v>
      </c>
      <c r="J81" s="303">
        <v>8</v>
      </c>
      <c r="K81" s="229">
        <v>12958455</v>
      </c>
      <c r="L81" s="230" t="s">
        <v>23</v>
      </c>
      <c r="M81" s="229" t="s">
        <v>368</v>
      </c>
      <c r="N81" s="231">
        <v>1318599.5000000002</v>
      </c>
      <c r="O81" s="232">
        <v>8</v>
      </c>
      <c r="P81" s="233">
        <v>47</v>
      </c>
      <c r="Q81" s="232">
        <v>502</v>
      </c>
      <c r="R81" s="233">
        <v>5099</v>
      </c>
      <c r="S81" s="232">
        <v>55100</v>
      </c>
      <c r="T81" s="233">
        <v>503291</v>
      </c>
      <c r="V81" s="228"/>
      <c r="X81" s="304"/>
    </row>
    <row r="82" spans="1:24" x14ac:dyDescent="0.15">
      <c r="A82" s="172">
        <v>33</v>
      </c>
      <c r="B82" s="173">
        <v>44055</v>
      </c>
      <c r="C82" s="174" t="s">
        <v>362</v>
      </c>
      <c r="D82" s="291">
        <v>2</v>
      </c>
      <c r="E82" s="291">
        <v>3</v>
      </c>
      <c r="F82" s="291">
        <v>8</v>
      </c>
      <c r="G82" s="291">
        <v>1</v>
      </c>
      <c r="H82" s="291">
        <v>7</v>
      </c>
      <c r="I82" s="291">
        <v>0</v>
      </c>
      <c r="J82" s="292">
        <v>1</v>
      </c>
      <c r="K82" s="222">
        <v>5759332.5</v>
      </c>
      <c r="L82" s="223">
        <v>1</v>
      </c>
      <c r="M82" s="279">
        <v>1677777</v>
      </c>
      <c r="N82" s="225">
        <v>0</v>
      </c>
      <c r="O82" s="226" t="s">
        <v>17</v>
      </c>
      <c r="P82" s="227">
        <v>14</v>
      </c>
      <c r="Q82" s="226">
        <v>158</v>
      </c>
      <c r="R82" s="227">
        <v>1536</v>
      </c>
      <c r="S82" s="226">
        <v>15892</v>
      </c>
      <c r="T82" s="227">
        <v>177596</v>
      </c>
      <c r="V82" s="228"/>
      <c r="X82" s="304"/>
    </row>
    <row r="83" spans="1:24" x14ac:dyDescent="0.15">
      <c r="A83" s="178"/>
      <c r="B83" s="179">
        <v>44058</v>
      </c>
      <c r="C83" s="180" t="s">
        <v>363</v>
      </c>
      <c r="D83" s="289">
        <v>8</v>
      </c>
      <c r="E83" s="289">
        <v>2</v>
      </c>
      <c r="F83" s="289">
        <v>4</v>
      </c>
      <c r="G83" s="289">
        <v>8</v>
      </c>
      <c r="H83" s="289">
        <v>9</v>
      </c>
      <c r="I83" s="289">
        <v>7</v>
      </c>
      <c r="J83" s="303">
        <v>7</v>
      </c>
      <c r="K83" s="229">
        <v>12701830</v>
      </c>
      <c r="L83" s="230" t="s">
        <v>23</v>
      </c>
      <c r="M83" s="229" t="s">
        <v>368</v>
      </c>
      <c r="N83" s="231">
        <v>903100.1</v>
      </c>
      <c r="O83" s="232">
        <v>10</v>
      </c>
      <c r="P83" s="233">
        <v>55</v>
      </c>
      <c r="Q83" s="232">
        <v>656</v>
      </c>
      <c r="R83" s="233">
        <v>6550</v>
      </c>
      <c r="S83" s="232">
        <v>68965</v>
      </c>
      <c r="T83" s="233">
        <v>559180</v>
      </c>
      <c r="V83" s="228"/>
      <c r="X83" s="304"/>
    </row>
    <row r="84" spans="1:24" x14ac:dyDescent="0.15">
      <c r="A84" s="172">
        <v>34</v>
      </c>
      <c r="B84" s="173">
        <v>44062</v>
      </c>
      <c r="C84" s="174" t="s">
        <v>362</v>
      </c>
      <c r="D84" s="291">
        <v>7</v>
      </c>
      <c r="E84" s="291">
        <v>3</v>
      </c>
      <c r="F84" s="291">
        <v>7</v>
      </c>
      <c r="G84" s="291">
        <v>4</v>
      </c>
      <c r="H84" s="291">
        <v>9</v>
      </c>
      <c r="I84" s="291">
        <v>3</v>
      </c>
      <c r="J84" s="292">
        <v>4</v>
      </c>
      <c r="K84" s="222">
        <v>7090077.5</v>
      </c>
      <c r="L84" s="223" t="s">
        <v>23</v>
      </c>
      <c r="M84" s="224" t="s">
        <v>368</v>
      </c>
      <c r="N84" s="225">
        <v>1407204.6000000003</v>
      </c>
      <c r="O84" s="226">
        <v>3</v>
      </c>
      <c r="P84" s="227">
        <v>29</v>
      </c>
      <c r="Q84" s="226">
        <v>229</v>
      </c>
      <c r="R84" s="227">
        <v>2518</v>
      </c>
      <c r="S84" s="226">
        <v>24316</v>
      </c>
      <c r="T84" s="227">
        <v>253714</v>
      </c>
      <c r="V84" s="228"/>
      <c r="X84" s="304"/>
    </row>
    <row r="85" spans="1:24" x14ac:dyDescent="0.15">
      <c r="A85" s="178"/>
      <c r="B85" s="179">
        <v>44065</v>
      </c>
      <c r="C85" s="180" t="s">
        <v>363</v>
      </c>
      <c r="D85" s="289">
        <v>6</v>
      </c>
      <c r="E85" s="289">
        <v>8</v>
      </c>
      <c r="F85" s="289">
        <v>8</v>
      </c>
      <c r="G85" s="289">
        <v>6</v>
      </c>
      <c r="H85" s="289">
        <v>3</v>
      </c>
      <c r="I85" s="289">
        <v>4</v>
      </c>
      <c r="J85" s="303">
        <v>5</v>
      </c>
      <c r="K85" s="229">
        <v>11984455</v>
      </c>
      <c r="L85" s="230" t="s">
        <v>23</v>
      </c>
      <c r="M85" s="229" t="s">
        <v>368</v>
      </c>
      <c r="N85" s="231">
        <v>2259299.4</v>
      </c>
      <c r="O85" s="232">
        <v>4</v>
      </c>
      <c r="P85" s="233">
        <v>55</v>
      </c>
      <c r="Q85" s="232">
        <v>543</v>
      </c>
      <c r="R85" s="233">
        <v>5309</v>
      </c>
      <c r="S85" s="232">
        <v>50768</v>
      </c>
      <c r="T85" s="233">
        <v>493757</v>
      </c>
      <c r="V85" s="228"/>
      <c r="X85" s="304"/>
    </row>
    <row r="86" spans="1:24" x14ac:dyDescent="0.15">
      <c r="A86" s="172">
        <v>35</v>
      </c>
      <c r="B86" s="173">
        <v>44069</v>
      </c>
      <c r="C86" s="174" t="s">
        <v>362</v>
      </c>
      <c r="D86" s="291">
        <v>7</v>
      </c>
      <c r="E86" s="291">
        <v>2</v>
      </c>
      <c r="F86" s="291">
        <v>8</v>
      </c>
      <c r="G86" s="291">
        <v>6</v>
      </c>
      <c r="H86" s="291">
        <v>1</v>
      </c>
      <c r="I86" s="291">
        <v>2</v>
      </c>
      <c r="J86" s="292">
        <v>8</v>
      </c>
      <c r="K86" s="222">
        <v>5087162.5</v>
      </c>
      <c r="L86" s="223" t="s">
        <v>23</v>
      </c>
      <c r="M86" s="224" t="s">
        <v>368</v>
      </c>
      <c r="N86" s="225">
        <v>2620996.7000000007</v>
      </c>
      <c r="O86" s="226">
        <v>2</v>
      </c>
      <c r="P86" s="227">
        <v>25</v>
      </c>
      <c r="Q86" s="226">
        <v>187</v>
      </c>
      <c r="R86" s="227">
        <v>1884</v>
      </c>
      <c r="S86" s="226">
        <v>18510</v>
      </c>
      <c r="T86" s="227">
        <v>195575</v>
      </c>
      <c r="V86" s="228"/>
      <c r="X86" s="304"/>
    </row>
    <row r="87" spans="1:24" x14ac:dyDescent="0.15">
      <c r="A87" s="178"/>
      <c r="B87" s="179">
        <v>44072</v>
      </c>
      <c r="C87" s="180" t="s">
        <v>363</v>
      </c>
      <c r="D87" s="289">
        <v>2</v>
      </c>
      <c r="E87" s="289">
        <v>9</v>
      </c>
      <c r="F87" s="289">
        <v>5</v>
      </c>
      <c r="G87" s="289">
        <v>5</v>
      </c>
      <c r="H87" s="289">
        <v>0</v>
      </c>
      <c r="I87" s="289">
        <v>2</v>
      </c>
      <c r="J87" s="303">
        <v>7</v>
      </c>
      <c r="K87" s="229">
        <v>12119110</v>
      </c>
      <c r="L87" s="230">
        <v>1</v>
      </c>
      <c r="M87" s="229">
        <v>3477777</v>
      </c>
      <c r="N87" s="231">
        <v>0</v>
      </c>
      <c r="O87" s="232">
        <v>6</v>
      </c>
      <c r="P87" s="233">
        <v>55</v>
      </c>
      <c r="Q87" s="232">
        <v>519</v>
      </c>
      <c r="R87" s="233">
        <v>5245</v>
      </c>
      <c r="S87" s="232">
        <v>56281</v>
      </c>
      <c r="T87" s="233">
        <v>550672</v>
      </c>
      <c r="V87" s="228"/>
      <c r="X87" s="304"/>
    </row>
    <row r="88" spans="1:24" x14ac:dyDescent="0.15">
      <c r="A88" s="172">
        <v>36</v>
      </c>
      <c r="B88" s="173">
        <v>44076</v>
      </c>
      <c r="C88" s="174" t="s">
        <v>362</v>
      </c>
      <c r="D88" s="291">
        <v>2</v>
      </c>
      <c r="E88" s="291">
        <v>3</v>
      </c>
      <c r="F88" s="291">
        <v>7</v>
      </c>
      <c r="G88" s="291">
        <v>4</v>
      </c>
      <c r="H88" s="291">
        <v>7</v>
      </c>
      <c r="I88" s="291">
        <v>9</v>
      </c>
      <c r="J88" s="292">
        <v>7</v>
      </c>
      <c r="K88" s="222">
        <v>5282207.5</v>
      </c>
      <c r="L88" s="234">
        <v>1</v>
      </c>
      <c r="M88" s="224">
        <v>277777</v>
      </c>
      <c r="N88" s="225">
        <v>0</v>
      </c>
      <c r="O88" s="226">
        <v>1</v>
      </c>
      <c r="P88" s="227">
        <v>19</v>
      </c>
      <c r="Q88" s="226">
        <v>260</v>
      </c>
      <c r="R88" s="227">
        <v>2315</v>
      </c>
      <c r="S88" s="226">
        <v>22310</v>
      </c>
      <c r="T88" s="227">
        <v>249321</v>
      </c>
      <c r="V88" s="228"/>
      <c r="X88" s="304"/>
    </row>
    <row r="89" spans="1:24" x14ac:dyDescent="0.15">
      <c r="A89" s="178"/>
      <c r="B89" s="179">
        <v>44079</v>
      </c>
      <c r="C89" s="180" t="s">
        <v>363</v>
      </c>
      <c r="D89" s="289">
        <v>1</v>
      </c>
      <c r="E89" s="289">
        <v>0</v>
      </c>
      <c r="F89" s="289">
        <v>5</v>
      </c>
      <c r="G89" s="289">
        <v>3</v>
      </c>
      <c r="H89" s="289">
        <v>0</v>
      </c>
      <c r="I89" s="289">
        <v>7</v>
      </c>
      <c r="J89" s="303">
        <v>9</v>
      </c>
      <c r="K89" s="229">
        <v>12171295</v>
      </c>
      <c r="L89" s="237">
        <v>1</v>
      </c>
      <c r="M89" s="229">
        <v>777777</v>
      </c>
      <c r="N89" s="231">
        <v>0</v>
      </c>
      <c r="O89" s="232">
        <v>4</v>
      </c>
      <c r="P89" s="233">
        <v>41</v>
      </c>
      <c r="Q89" s="232">
        <v>411</v>
      </c>
      <c r="R89" s="233">
        <v>4100</v>
      </c>
      <c r="S89" s="232">
        <v>43785</v>
      </c>
      <c r="T89" s="233">
        <v>425844</v>
      </c>
      <c r="V89" s="228"/>
      <c r="X89" s="304"/>
    </row>
    <row r="90" spans="1:24" x14ac:dyDescent="0.15">
      <c r="A90" s="172">
        <v>37</v>
      </c>
      <c r="B90" s="173">
        <v>44083</v>
      </c>
      <c r="C90" s="174" t="s">
        <v>362</v>
      </c>
      <c r="D90" s="310">
        <v>4</v>
      </c>
      <c r="E90" s="310">
        <v>2</v>
      </c>
      <c r="F90" s="310">
        <v>2</v>
      </c>
      <c r="G90" s="310">
        <v>3</v>
      </c>
      <c r="H90" s="310">
        <v>9</v>
      </c>
      <c r="I90" s="310">
        <v>4</v>
      </c>
      <c r="J90" s="311">
        <v>9</v>
      </c>
      <c r="K90" s="312">
        <v>5417535</v>
      </c>
      <c r="L90" s="313" t="s">
        <v>23</v>
      </c>
      <c r="M90" s="314" t="s">
        <v>368</v>
      </c>
      <c r="N90" s="315">
        <v>385186.69999999995</v>
      </c>
      <c r="O90" s="316">
        <v>3</v>
      </c>
      <c r="P90" s="317">
        <v>16</v>
      </c>
      <c r="Q90" s="316">
        <v>192</v>
      </c>
      <c r="R90" s="317">
        <v>2085</v>
      </c>
      <c r="S90" s="316">
        <v>18736</v>
      </c>
      <c r="T90" s="317">
        <v>184344</v>
      </c>
      <c r="V90" s="228"/>
      <c r="X90" s="304"/>
    </row>
    <row r="91" spans="1:24" x14ac:dyDescent="0.15">
      <c r="A91" s="178"/>
      <c r="B91" s="179">
        <v>44086</v>
      </c>
      <c r="C91" s="180" t="s">
        <v>363</v>
      </c>
      <c r="D91" s="289">
        <v>7</v>
      </c>
      <c r="E91" s="289">
        <v>5</v>
      </c>
      <c r="F91" s="289">
        <v>1</v>
      </c>
      <c r="G91" s="289">
        <v>7</v>
      </c>
      <c r="H91" s="289">
        <v>9</v>
      </c>
      <c r="I91" s="289">
        <v>9</v>
      </c>
      <c r="J91" s="303">
        <v>3</v>
      </c>
      <c r="K91" s="229">
        <v>12408992.5</v>
      </c>
      <c r="L91" s="230" t="s">
        <v>23</v>
      </c>
      <c r="M91" s="229" t="s">
        <v>368</v>
      </c>
      <c r="N91" s="231">
        <v>1267466.1000000003</v>
      </c>
      <c r="O91" s="232">
        <v>1</v>
      </c>
      <c r="P91" s="233">
        <v>40</v>
      </c>
      <c r="Q91" s="232">
        <v>401</v>
      </c>
      <c r="R91" s="233">
        <v>4151</v>
      </c>
      <c r="S91" s="232">
        <v>43413</v>
      </c>
      <c r="T91" s="233">
        <v>460983</v>
      </c>
      <c r="V91" s="228"/>
      <c r="X91" s="304"/>
    </row>
    <row r="92" spans="1:24" x14ac:dyDescent="0.15">
      <c r="A92" s="172">
        <v>38</v>
      </c>
      <c r="B92" s="173">
        <v>44090</v>
      </c>
      <c r="C92" s="174" t="s">
        <v>362</v>
      </c>
      <c r="D92" s="291">
        <v>2</v>
      </c>
      <c r="E92" s="291">
        <v>2</v>
      </c>
      <c r="F92" s="291">
        <v>3</v>
      </c>
      <c r="G92" s="291">
        <v>5</v>
      </c>
      <c r="H92" s="291">
        <v>0</v>
      </c>
      <c r="I92" s="291">
        <v>6</v>
      </c>
      <c r="J92" s="292">
        <v>8</v>
      </c>
      <c r="K92" s="222">
        <v>5580267.5</v>
      </c>
      <c r="L92" s="223" t="s">
        <v>23</v>
      </c>
      <c r="M92" s="224" t="s">
        <v>368</v>
      </c>
      <c r="N92" s="225">
        <v>1664223.1</v>
      </c>
      <c r="O92" s="226">
        <v>2</v>
      </c>
      <c r="P92" s="226">
        <v>20</v>
      </c>
      <c r="Q92" s="227">
        <v>215</v>
      </c>
      <c r="R92" s="226">
        <v>2033</v>
      </c>
      <c r="S92" s="227">
        <v>23143</v>
      </c>
      <c r="T92" s="226">
        <v>211663</v>
      </c>
      <c r="V92" s="228"/>
      <c r="X92" s="304"/>
    </row>
    <row r="93" spans="1:24" x14ac:dyDescent="0.15">
      <c r="A93" s="178"/>
      <c r="B93" s="179">
        <v>44093</v>
      </c>
      <c r="C93" s="180" t="s">
        <v>363</v>
      </c>
      <c r="D93" s="289">
        <v>7</v>
      </c>
      <c r="E93" s="289">
        <v>3</v>
      </c>
      <c r="F93" s="289">
        <v>1</v>
      </c>
      <c r="G93" s="289">
        <v>2</v>
      </c>
      <c r="H93" s="289">
        <v>2</v>
      </c>
      <c r="I93" s="289">
        <v>4</v>
      </c>
      <c r="J93" s="303">
        <v>4</v>
      </c>
      <c r="K93" s="229">
        <v>12568650</v>
      </c>
      <c r="L93" s="237" t="s">
        <v>23</v>
      </c>
      <c r="M93" s="229" t="s">
        <v>368</v>
      </c>
      <c r="N93" s="231">
        <v>2557854.1000000006</v>
      </c>
      <c r="O93" s="232">
        <v>2</v>
      </c>
      <c r="P93" s="232">
        <v>41</v>
      </c>
      <c r="Q93" s="233">
        <v>466</v>
      </c>
      <c r="R93" s="232">
        <v>4374</v>
      </c>
      <c r="S93" s="233">
        <v>44963</v>
      </c>
      <c r="T93" s="232">
        <v>437652</v>
      </c>
      <c r="V93" s="228"/>
      <c r="X93" s="304"/>
    </row>
    <row r="94" spans="1:24" x14ac:dyDescent="0.15">
      <c r="A94" s="172">
        <v>39</v>
      </c>
      <c r="B94" s="173">
        <v>44097</v>
      </c>
      <c r="C94" s="174" t="s">
        <v>362</v>
      </c>
      <c r="D94" s="291">
        <v>8</v>
      </c>
      <c r="E94" s="291">
        <v>7</v>
      </c>
      <c r="F94" s="291">
        <v>4</v>
      </c>
      <c r="G94" s="291">
        <v>5</v>
      </c>
      <c r="H94" s="291">
        <v>7</v>
      </c>
      <c r="I94" s="291">
        <v>2</v>
      </c>
      <c r="J94" s="292">
        <v>6</v>
      </c>
      <c r="K94" s="222">
        <v>5859535</v>
      </c>
      <c r="L94" s="234" t="s">
        <v>23</v>
      </c>
      <c r="M94" s="224" t="s">
        <v>368</v>
      </c>
      <c r="N94" s="225">
        <v>2974467.0000000005</v>
      </c>
      <c r="O94" s="226">
        <v>1</v>
      </c>
      <c r="P94" s="226">
        <v>29</v>
      </c>
      <c r="Q94" s="227">
        <v>203</v>
      </c>
      <c r="R94" s="226">
        <v>2239</v>
      </c>
      <c r="S94" s="227">
        <v>21818</v>
      </c>
      <c r="T94" s="226">
        <v>216148</v>
      </c>
      <c r="V94" s="228"/>
      <c r="X94" s="304"/>
    </row>
    <row r="95" spans="1:24" x14ac:dyDescent="0.15">
      <c r="A95" s="178"/>
      <c r="B95" s="179">
        <v>44100</v>
      </c>
      <c r="C95" s="180" t="s">
        <v>363</v>
      </c>
      <c r="D95" s="289">
        <v>6</v>
      </c>
      <c r="E95" s="289">
        <v>9</v>
      </c>
      <c r="F95" s="289">
        <v>9</v>
      </c>
      <c r="G95" s="289">
        <v>0</v>
      </c>
      <c r="H95" s="289">
        <v>9</v>
      </c>
      <c r="I95" s="289">
        <v>2</v>
      </c>
      <c r="J95" s="303">
        <v>4</v>
      </c>
      <c r="K95" s="229">
        <v>12827932.5</v>
      </c>
      <c r="L95" s="230">
        <v>1</v>
      </c>
      <c r="M95" s="229">
        <v>3877777</v>
      </c>
      <c r="N95" s="231">
        <v>0</v>
      </c>
      <c r="O95" s="232">
        <v>2</v>
      </c>
      <c r="P95" s="233">
        <v>47</v>
      </c>
      <c r="Q95" s="232">
        <v>449</v>
      </c>
      <c r="R95" s="233">
        <v>4604</v>
      </c>
      <c r="S95" s="232">
        <v>46365</v>
      </c>
      <c r="T95" s="233">
        <v>448741</v>
      </c>
      <c r="V95" s="228"/>
      <c r="X95" s="304"/>
    </row>
    <row r="96" spans="1:24" x14ac:dyDescent="0.15">
      <c r="A96" s="172">
        <v>40</v>
      </c>
      <c r="B96" s="173">
        <v>44104</v>
      </c>
      <c r="C96" s="174" t="s">
        <v>362</v>
      </c>
      <c r="D96" s="291">
        <v>2</v>
      </c>
      <c r="E96" s="291">
        <v>6</v>
      </c>
      <c r="F96" s="291">
        <v>1</v>
      </c>
      <c r="G96" s="291">
        <v>3</v>
      </c>
      <c r="H96" s="291">
        <v>4</v>
      </c>
      <c r="I96" s="291">
        <v>5</v>
      </c>
      <c r="J96" s="292">
        <v>1</v>
      </c>
      <c r="K96" s="222">
        <v>6136957.5</v>
      </c>
      <c r="L96" s="234" t="s">
        <v>23</v>
      </c>
      <c r="M96" s="224" t="s">
        <v>368</v>
      </c>
      <c r="N96" s="225">
        <v>436337.7</v>
      </c>
      <c r="O96" s="226">
        <v>1</v>
      </c>
      <c r="P96" s="226">
        <v>17</v>
      </c>
      <c r="Q96" s="227">
        <v>165</v>
      </c>
      <c r="R96" s="226">
        <v>1927</v>
      </c>
      <c r="S96" s="227">
        <v>19086</v>
      </c>
      <c r="T96" s="226">
        <v>187986</v>
      </c>
      <c r="V96" s="228"/>
      <c r="X96" s="304"/>
    </row>
    <row r="97" spans="1:24" x14ac:dyDescent="0.15">
      <c r="A97" s="178"/>
      <c r="B97" s="179">
        <v>44107</v>
      </c>
      <c r="C97" s="180" t="s">
        <v>363</v>
      </c>
      <c r="D97" s="289">
        <v>6</v>
      </c>
      <c r="E97" s="289">
        <v>4</v>
      </c>
      <c r="F97" s="289">
        <v>4</v>
      </c>
      <c r="G97" s="289">
        <v>9</v>
      </c>
      <c r="H97" s="289">
        <v>5</v>
      </c>
      <c r="I97" s="289">
        <v>8</v>
      </c>
      <c r="J97" s="303">
        <v>9</v>
      </c>
      <c r="K97" s="229">
        <v>12823025</v>
      </c>
      <c r="L97" s="237">
        <v>1</v>
      </c>
      <c r="M97" s="229">
        <v>1277777</v>
      </c>
      <c r="N97" s="231">
        <v>0</v>
      </c>
      <c r="O97" s="232">
        <v>3</v>
      </c>
      <c r="P97" s="233">
        <v>44</v>
      </c>
      <c r="Q97" s="232">
        <v>390</v>
      </c>
      <c r="R97" s="233">
        <v>4534</v>
      </c>
      <c r="S97" s="232">
        <v>43618</v>
      </c>
      <c r="T97" s="233">
        <v>451562</v>
      </c>
      <c r="V97" s="228"/>
      <c r="X97" s="304"/>
    </row>
    <row r="98" spans="1:24" x14ac:dyDescent="0.15">
      <c r="A98" s="172">
        <v>41</v>
      </c>
      <c r="B98" s="173">
        <v>44111</v>
      </c>
      <c r="C98" s="174" t="s">
        <v>362</v>
      </c>
      <c r="D98" s="291">
        <v>3</v>
      </c>
      <c r="E98" s="291">
        <v>1</v>
      </c>
      <c r="F98" s="291">
        <v>5</v>
      </c>
      <c r="G98" s="291">
        <v>0</v>
      </c>
      <c r="H98" s="291">
        <v>4</v>
      </c>
      <c r="I98" s="291">
        <v>1</v>
      </c>
      <c r="J98" s="292">
        <v>5</v>
      </c>
      <c r="K98" s="222">
        <v>6388590</v>
      </c>
      <c r="L98" s="223" t="s">
        <v>23</v>
      </c>
      <c r="M98" s="224" t="s">
        <v>368</v>
      </c>
      <c r="N98" s="225">
        <v>454228.7</v>
      </c>
      <c r="O98" s="226">
        <v>4</v>
      </c>
      <c r="P98" s="227">
        <v>25</v>
      </c>
      <c r="Q98" s="226">
        <v>248</v>
      </c>
      <c r="R98" s="227">
        <v>2629</v>
      </c>
      <c r="S98" s="226">
        <v>25293</v>
      </c>
      <c r="T98" s="227">
        <v>262680</v>
      </c>
      <c r="V98" s="228"/>
      <c r="X98" s="304"/>
    </row>
    <row r="99" spans="1:24" x14ac:dyDescent="0.15">
      <c r="A99" s="178"/>
      <c r="B99" s="179">
        <v>44114</v>
      </c>
      <c r="C99" s="180" t="s">
        <v>363</v>
      </c>
      <c r="D99" s="289">
        <v>7</v>
      </c>
      <c r="E99" s="289">
        <v>5</v>
      </c>
      <c r="F99" s="289">
        <v>1</v>
      </c>
      <c r="G99" s="289">
        <v>1</v>
      </c>
      <c r="H99" s="289">
        <v>0</v>
      </c>
      <c r="I99" s="289">
        <v>9</v>
      </c>
      <c r="J99" s="303">
        <v>0</v>
      </c>
      <c r="K99" s="229">
        <v>13816950</v>
      </c>
      <c r="L99" s="230" t="s">
        <v>23</v>
      </c>
      <c r="M99" s="229" t="s">
        <v>368</v>
      </c>
      <c r="N99" s="231">
        <v>1436613.8</v>
      </c>
      <c r="O99" s="232">
        <v>6</v>
      </c>
      <c r="P99" s="233">
        <v>37</v>
      </c>
      <c r="Q99" s="232">
        <v>343</v>
      </c>
      <c r="R99" s="233">
        <v>3612</v>
      </c>
      <c r="S99" s="232">
        <v>36878</v>
      </c>
      <c r="T99" s="233">
        <v>386207</v>
      </c>
      <c r="V99" s="228"/>
      <c r="X99" s="304"/>
    </row>
    <row r="100" spans="1:24" x14ac:dyDescent="0.15">
      <c r="A100" s="172">
        <v>42</v>
      </c>
      <c r="B100" s="173">
        <v>44118</v>
      </c>
      <c r="C100" s="174" t="s">
        <v>362</v>
      </c>
      <c r="D100" s="291">
        <v>0</v>
      </c>
      <c r="E100" s="291">
        <v>6</v>
      </c>
      <c r="F100" s="291">
        <v>5</v>
      </c>
      <c r="G100" s="291">
        <v>7</v>
      </c>
      <c r="H100" s="291">
        <v>5</v>
      </c>
      <c r="I100" s="291">
        <v>9</v>
      </c>
      <c r="J100" s="292">
        <v>0</v>
      </c>
      <c r="K100" s="222">
        <v>5145950</v>
      </c>
      <c r="L100" s="234" t="s">
        <v>23</v>
      </c>
      <c r="M100" s="224" t="s">
        <v>368</v>
      </c>
      <c r="N100" s="225">
        <v>1802490.7999999998</v>
      </c>
      <c r="O100" s="226">
        <v>1</v>
      </c>
      <c r="P100" s="227">
        <v>10</v>
      </c>
      <c r="Q100" s="226">
        <v>138</v>
      </c>
      <c r="R100" s="227">
        <v>1432</v>
      </c>
      <c r="S100" s="226">
        <v>14285</v>
      </c>
      <c r="T100" s="227">
        <v>150017</v>
      </c>
      <c r="V100" s="228"/>
      <c r="X100" s="304"/>
    </row>
    <row r="101" spans="1:24" x14ac:dyDescent="0.15">
      <c r="A101" s="178"/>
      <c r="B101" s="179">
        <v>44121</v>
      </c>
      <c r="C101" s="180" t="s">
        <v>363</v>
      </c>
      <c r="D101" s="289">
        <v>1</v>
      </c>
      <c r="E101" s="289">
        <v>4</v>
      </c>
      <c r="F101" s="289">
        <v>6</v>
      </c>
      <c r="G101" s="289">
        <v>8</v>
      </c>
      <c r="H101" s="289">
        <v>3</v>
      </c>
      <c r="I101" s="289">
        <v>8</v>
      </c>
      <c r="J101" s="303">
        <v>1</v>
      </c>
      <c r="K101" s="229">
        <v>12154245</v>
      </c>
      <c r="L101" s="237" t="s">
        <v>23</v>
      </c>
      <c r="M101" s="229" t="s">
        <v>368</v>
      </c>
      <c r="N101" s="231">
        <v>2666657.6</v>
      </c>
      <c r="O101" s="232">
        <v>2</v>
      </c>
      <c r="P101" s="233">
        <v>25</v>
      </c>
      <c r="Q101" s="232">
        <v>353</v>
      </c>
      <c r="R101" s="233">
        <v>3809</v>
      </c>
      <c r="S101" s="232">
        <v>37430</v>
      </c>
      <c r="T101" s="233">
        <v>371739</v>
      </c>
      <c r="U101" s="228"/>
      <c r="V101" s="228"/>
      <c r="X101" s="304"/>
    </row>
    <row r="102" spans="1:24" x14ac:dyDescent="0.15">
      <c r="A102" s="172">
        <v>43</v>
      </c>
      <c r="B102" s="173">
        <v>44125</v>
      </c>
      <c r="C102" s="174" t="s">
        <v>362</v>
      </c>
      <c r="D102" s="291">
        <v>0</v>
      </c>
      <c r="E102" s="291">
        <v>7</v>
      </c>
      <c r="F102" s="291">
        <v>0</v>
      </c>
      <c r="G102" s="291">
        <v>9</v>
      </c>
      <c r="H102" s="291">
        <v>4</v>
      </c>
      <c r="I102" s="291">
        <v>3</v>
      </c>
      <c r="J102" s="292">
        <v>3</v>
      </c>
      <c r="K102" s="222">
        <v>5171282.5</v>
      </c>
      <c r="L102" s="223" t="s">
        <v>23</v>
      </c>
      <c r="M102" s="224" t="s">
        <v>368</v>
      </c>
      <c r="N102" s="225">
        <v>3034335.8</v>
      </c>
      <c r="O102" s="226">
        <v>2</v>
      </c>
      <c r="P102" s="227">
        <v>17</v>
      </c>
      <c r="Q102" s="226">
        <v>212</v>
      </c>
      <c r="R102" s="227">
        <v>1904</v>
      </c>
      <c r="S102" s="226">
        <v>20125</v>
      </c>
      <c r="T102" s="227">
        <v>195111</v>
      </c>
      <c r="V102" s="228"/>
      <c r="X102" s="304"/>
    </row>
    <row r="103" spans="1:24" x14ac:dyDescent="0.15">
      <c r="A103" s="178"/>
      <c r="B103" s="287">
        <v>44128</v>
      </c>
      <c r="C103" s="180" t="s">
        <v>363</v>
      </c>
      <c r="D103" s="289">
        <v>7</v>
      </c>
      <c r="E103" s="289">
        <v>6</v>
      </c>
      <c r="F103" s="289">
        <v>8</v>
      </c>
      <c r="G103" s="289">
        <v>8</v>
      </c>
      <c r="H103" s="289">
        <v>2</v>
      </c>
      <c r="I103" s="289">
        <v>2</v>
      </c>
      <c r="J103" s="303">
        <v>2</v>
      </c>
      <c r="K103" s="229">
        <v>12181250</v>
      </c>
      <c r="L103" s="237" t="s">
        <v>23</v>
      </c>
      <c r="M103" s="229" t="s">
        <v>368</v>
      </c>
      <c r="N103" s="231">
        <v>3900422.7</v>
      </c>
      <c r="O103" s="232">
        <v>3</v>
      </c>
      <c r="P103" s="233">
        <v>44</v>
      </c>
      <c r="Q103" s="232">
        <v>445</v>
      </c>
      <c r="R103" s="233">
        <v>4410</v>
      </c>
      <c r="S103" s="232">
        <v>37954</v>
      </c>
      <c r="T103" s="233">
        <v>386140</v>
      </c>
      <c r="V103" s="228"/>
      <c r="X103" s="304"/>
    </row>
    <row r="104" spans="1:24" x14ac:dyDescent="0.15">
      <c r="A104" s="172">
        <v>44</v>
      </c>
      <c r="B104" s="173">
        <v>44132</v>
      </c>
      <c r="C104" s="174" t="s">
        <v>362</v>
      </c>
      <c r="D104" s="291">
        <v>7</v>
      </c>
      <c r="E104" s="291">
        <v>3</v>
      </c>
      <c r="F104" s="291">
        <v>5</v>
      </c>
      <c r="G104" s="291">
        <v>2</v>
      </c>
      <c r="H104" s="291">
        <v>5</v>
      </c>
      <c r="I104" s="291">
        <v>4</v>
      </c>
      <c r="J104" s="292">
        <v>3</v>
      </c>
      <c r="K104" s="222">
        <v>5304652.5</v>
      </c>
      <c r="L104" s="234" t="s">
        <v>23</v>
      </c>
      <c r="M104" s="224" t="s">
        <v>368</v>
      </c>
      <c r="N104" s="225">
        <v>4277583.5000000009</v>
      </c>
      <c r="O104" s="226">
        <v>1</v>
      </c>
      <c r="P104" s="227">
        <v>21</v>
      </c>
      <c r="Q104" s="226">
        <v>194</v>
      </c>
      <c r="R104" s="227">
        <v>1972</v>
      </c>
      <c r="S104" s="226">
        <v>19760</v>
      </c>
      <c r="T104" s="227">
        <v>200907</v>
      </c>
      <c r="V104" s="228"/>
      <c r="X104" s="304"/>
    </row>
    <row r="105" spans="1:24" x14ac:dyDescent="0.15">
      <c r="A105" s="178"/>
      <c r="B105" s="179">
        <v>44135</v>
      </c>
      <c r="C105" s="180" t="s">
        <v>363</v>
      </c>
      <c r="D105" s="289">
        <v>6</v>
      </c>
      <c r="E105" s="289">
        <v>5</v>
      </c>
      <c r="F105" s="289">
        <v>6</v>
      </c>
      <c r="G105" s="289">
        <v>3</v>
      </c>
      <c r="H105" s="289">
        <v>0</v>
      </c>
      <c r="I105" s="289">
        <v>0</v>
      </c>
      <c r="J105" s="303">
        <v>2</v>
      </c>
      <c r="K105" s="229">
        <v>12299477.5</v>
      </c>
      <c r="L105" s="237" t="s">
        <v>23</v>
      </c>
      <c r="M105" s="229" t="s">
        <v>368</v>
      </c>
      <c r="N105" s="231">
        <v>5152076.4000000004</v>
      </c>
      <c r="O105" s="232">
        <v>2</v>
      </c>
      <c r="P105" s="232">
        <v>30</v>
      </c>
      <c r="Q105" s="233">
        <v>295</v>
      </c>
      <c r="R105" s="232">
        <v>2996</v>
      </c>
      <c r="S105" s="233">
        <v>35269</v>
      </c>
      <c r="T105" s="232">
        <v>395652</v>
      </c>
      <c r="V105" s="228"/>
      <c r="X105" s="304"/>
    </row>
    <row r="106" spans="1:24" x14ac:dyDescent="0.15">
      <c r="A106" s="172">
        <v>45</v>
      </c>
      <c r="B106" s="173">
        <v>44139</v>
      </c>
      <c r="C106" s="174" t="s">
        <v>362</v>
      </c>
      <c r="D106" s="291">
        <v>1</v>
      </c>
      <c r="E106" s="291">
        <v>9</v>
      </c>
      <c r="F106" s="291">
        <v>4</v>
      </c>
      <c r="G106" s="291">
        <v>7</v>
      </c>
      <c r="H106" s="291">
        <v>3</v>
      </c>
      <c r="I106" s="291">
        <v>5</v>
      </c>
      <c r="J106" s="292">
        <v>4</v>
      </c>
      <c r="K106" s="222">
        <v>5653760</v>
      </c>
      <c r="L106" s="223" t="s">
        <v>23</v>
      </c>
      <c r="M106" s="224" t="s">
        <v>368</v>
      </c>
      <c r="N106" s="225">
        <v>5554058.7000000011</v>
      </c>
      <c r="O106" s="226">
        <v>6</v>
      </c>
      <c r="P106" s="227">
        <v>20</v>
      </c>
      <c r="Q106" s="226">
        <v>217</v>
      </c>
      <c r="R106" s="227">
        <v>2021</v>
      </c>
      <c r="S106" s="226">
        <v>21078</v>
      </c>
      <c r="T106" s="227">
        <v>199834</v>
      </c>
      <c r="V106" s="228"/>
      <c r="X106" s="304"/>
    </row>
    <row r="107" spans="1:24" x14ac:dyDescent="0.15">
      <c r="A107" s="178"/>
      <c r="B107" s="179">
        <v>44142</v>
      </c>
      <c r="C107" s="180" t="s">
        <v>363</v>
      </c>
      <c r="D107" s="289">
        <v>2</v>
      </c>
      <c r="E107" s="289">
        <v>5</v>
      </c>
      <c r="F107" s="289">
        <v>8</v>
      </c>
      <c r="G107" s="289">
        <v>2</v>
      </c>
      <c r="H107" s="289">
        <v>9</v>
      </c>
      <c r="I107" s="289">
        <v>7</v>
      </c>
      <c r="J107" s="303">
        <v>4</v>
      </c>
      <c r="K107" s="229">
        <v>12792827.5</v>
      </c>
      <c r="L107" s="237" t="s">
        <v>23</v>
      </c>
      <c r="M107" s="229" t="s">
        <v>368</v>
      </c>
      <c r="N107" s="231">
        <v>6463628.7000000011</v>
      </c>
      <c r="O107" s="232">
        <v>8</v>
      </c>
      <c r="P107" s="233">
        <v>42</v>
      </c>
      <c r="Q107" s="232">
        <v>464</v>
      </c>
      <c r="R107" s="233">
        <v>4803</v>
      </c>
      <c r="S107" s="232">
        <v>44291</v>
      </c>
      <c r="T107" s="233">
        <v>448311</v>
      </c>
      <c r="V107" s="228"/>
      <c r="X107" s="304"/>
    </row>
    <row r="108" spans="1:24" x14ac:dyDescent="0.15">
      <c r="A108" s="172">
        <v>46</v>
      </c>
      <c r="B108" s="173">
        <v>44146</v>
      </c>
      <c r="C108" s="174" t="s">
        <v>362</v>
      </c>
      <c r="D108" s="291">
        <v>5</v>
      </c>
      <c r="E108" s="291">
        <v>9</v>
      </c>
      <c r="F108" s="291">
        <v>5</v>
      </c>
      <c r="G108" s="291">
        <v>3</v>
      </c>
      <c r="H108" s="291">
        <v>5</v>
      </c>
      <c r="I108" s="291">
        <v>0</v>
      </c>
      <c r="J108" s="292">
        <v>4</v>
      </c>
      <c r="K108" s="222">
        <v>5950442.5</v>
      </c>
      <c r="L108" s="234" t="s">
        <v>23</v>
      </c>
      <c r="M108" s="224" t="s">
        <v>368</v>
      </c>
      <c r="N108" s="225">
        <v>6886705.2000000002</v>
      </c>
      <c r="O108" s="226">
        <v>2</v>
      </c>
      <c r="P108" s="227">
        <v>20</v>
      </c>
      <c r="Q108" s="226">
        <v>219</v>
      </c>
      <c r="R108" s="227">
        <v>1951</v>
      </c>
      <c r="S108" s="226">
        <v>19267</v>
      </c>
      <c r="T108" s="227">
        <v>214933</v>
      </c>
      <c r="V108" s="228"/>
      <c r="X108" s="304"/>
    </row>
    <row r="109" spans="1:24" x14ac:dyDescent="0.15">
      <c r="A109" s="178"/>
      <c r="B109" s="179">
        <v>44149</v>
      </c>
      <c r="C109" s="180" t="s">
        <v>363</v>
      </c>
      <c r="D109" s="289">
        <v>6</v>
      </c>
      <c r="E109" s="289">
        <v>7</v>
      </c>
      <c r="F109" s="289">
        <v>4</v>
      </c>
      <c r="G109" s="289">
        <v>0</v>
      </c>
      <c r="H109" s="289">
        <v>5</v>
      </c>
      <c r="I109" s="289">
        <v>8</v>
      </c>
      <c r="J109" s="303">
        <v>6</v>
      </c>
      <c r="K109" s="229">
        <v>13779182.5</v>
      </c>
      <c r="L109" s="237" t="s">
        <v>23</v>
      </c>
      <c r="M109" s="229" t="s">
        <v>368</v>
      </c>
      <c r="N109" s="231">
        <v>7866405.0999999996</v>
      </c>
      <c r="O109" s="232">
        <v>4</v>
      </c>
      <c r="P109" s="233">
        <v>55</v>
      </c>
      <c r="Q109" s="232">
        <v>485</v>
      </c>
      <c r="R109" s="233">
        <v>5253</v>
      </c>
      <c r="S109" s="232">
        <v>49805</v>
      </c>
      <c r="T109" s="233">
        <v>507890</v>
      </c>
      <c r="V109" s="228"/>
      <c r="X109" s="304"/>
    </row>
    <row r="110" spans="1:24" x14ac:dyDescent="0.15">
      <c r="A110" s="172">
        <v>47</v>
      </c>
      <c r="B110" s="173">
        <v>44153</v>
      </c>
      <c r="C110" s="174" t="s">
        <v>362</v>
      </c>
      <c r="D110" s="291">
        <v>1</v>
      </c>
      <c r="E110" s="291">
        <v>2</v>
      </c>
      <c r="F110" s="291">
        <v>8</v>
      </c>
      <c r="G110" s="291">
        <v>8</v>
      </c>
      <c r="H110" s="291">
        <v>0</v>
      </c>
      <c r="I110" s="291">
        <v>0</v>
      </c>
      <c r="J110" s="292">
        <v>7</v>
      </c>
      <c r="K110" s="222">
        <v>6545082.5</v>
      </c>
      <c r="L110" s="234" t="s">
        <v>23</v>
      </c>
      <c r="M110" s="224" t="s">
        <v>368</v>
      </c>
      <c r="N110" s="225">
        <v>0</v>
      </c>
      <c r="O110" s="226">
        <v>3</v>
      </c>
      <c r="P110" s="227">
        <v>29</v>
      </c>
      <c r="Q110" s="226">
        <v>271</v>
      </c>
      <c r="R110" s="227">
        <v>2884</v>
      </c>
      <c r="S110" s="226">
        <v>25461</v>
      </c>
      <c r="T110" s="227">
        <v>304888</v>
      </c>
      <c r="V110" s="228"/>
      <c r="X110" s="304"/>
    </row>
    <row r="111" spans="1:24" x14ac:dyDescent="0.15">
      <c r="A111" s="178"/>
      <c r="B111" s="179">
        <v>44156</v>
      </c>
      <c r="C111" s="180" t="s">
        <v>363</v>
      </c>
      <c r="D111" s="289">
        <v>3</v>
      </c>
      <c r="E111" s="289">
        <v>6</v>
      </c>
      <c r="F111" s="289">
        <v>0</v>
      </c>
      <c r="G111" s="289">
        <v>3</v>
      </c>
      <c r="H111" s="289">
        <v>5</v>
      </c>
      <c r="I111" s="289">
        <v>1</v>
      </c>
      <c r="J111" s="303">
        <v>2</v>
      </c>
      <c r="K111" s="229">
        <v>13560747.5</v>
      </c>
      <c r="L111" s="230">
        <v>1</v>
      </c>
      <c r="M111" s="229">
        <v>877777</v>
      </c>
      <c r="N111" s="231">
        <v>0</v>
      </c>
      <c r="O111" s="232">
        <v>3</v>
      </c>
      <c r="P111" s="233">
        <v>48</v>
      </c>
      <c r="Q111" s="232">
        <v>425</v>
      </c>
      <c r="R111" s="233">
        <v>4432</v>
      </c>
      <c r="S111" s="232">
        <v>44372</v>
      </c>
      <c r="T111" s="233">
        <v>434771</v>
      </c>
      <c r="V111" s="228"/>
      <c r="X111" s="304"/>
    </row>
    <row r="112" spans="1:24" x14ac:dyDescent="0.15">
      <c r="A112" s="172">
        <v>48</v>
      </c>
      <c r="B112" s="173">
        <v>44160</v>
      </c>
      <c r="C112" s="174" t="s">
        <v>362</v>
      </c>
      <c r="D112" s="291">
        <v>6</v>
      </c>
      <c r="E112" s="291">
        <v>5</v>
      </c>
      <c r="F112" s="291">
        <v>6</v>
      </c>
      <c r="G112" s="291">
        <v>3</v>
      </c>
      <c r="H112" s="291">
        <v>3</v>
      </c>
      <c r="I112" s="291">
        <v>0</v>
      </c>
      <c r="J112" s="292">
        <v>1</v>
      </c>
      <c r="K112" s="222">
        <v>6243882.5</v>
      </c>
      <c r="L112" s="234" t="s">
        <v>23</v>
      </c>
      <c r="M112" s="224" t="s">
        <v>368</v>
      </c>
      <c r="N112" s="225">
        <v>443940</v>
      </c>
      <c r="O112" s="226">
        <v>2</v>
      </c>
      <c r="P112" s="227">
        <v>27</v>
      </c>
      <c r="Q112" s="226">
        <v>175</v>
      </c>
      <c r="R112" s="227">
        <v>1827</v>
      </c>
      <c r="S112" s="226">
        <v>17417</v>
      </c>
      <c r="T112" s="227">
        <v>193520</v>
      </c>
      <c r="V112" s="228"/>
      <c r="X112" s="304"/>
    </row>
    <row r="113" spans="1:24" x14ac:dyDescent="0.15">
      <c r="A113" s="178"/>
      <c r="B113" s="179">
        <v>44163</v>
      </c>
      <c r="C113" s="180" t="s">
        <v>363</v>
      </c>
      <c r="D113" s="289">
        <v>9</v>
      </c>
      <c r="E113" s="289">
        <v>8</v>
      </c>
      <c r="F113" s="289">
        <v>1</v>
      </c>
      <c r="G113" s="289">
        <v>7</v>
      </c>
      <c r="H113" s="289">
        <v>6</v>
      </c>
      <c r="I113" s="289">
        <v>8</v>
      </c>
      <c r="J113" s="303">
        <v>1</v>
      </c>
      <c r="K113" s="229">
        <v>13585655</v>
      </c>
      <c r="L113" s="230" t="s">
        <v>23</v>
      </c>
      <c r="M113" s="229" t="s">
        <v>368</v>
      </c>
      <c r="N113" s="231">
        <v>1409880.1000000003</v>
      </c>
      <c r="O113" s="232">
        <v>4</v>
      </c>
      <c r="P113" s="233">
        <v>37</v>
      </c>
      <c r="Q113" s="232">
        <v>428</v>
      </c>
      <c r="R113" s="233">
        <v>4397</v>
      </c>
      <c r="S113" s="232">
        <v>41938</v>
      </c>
      <c r="T113" s="233">
        <v>417669</v>
      </c>
      <c r="V113" s="228"/>
      <c r="X113" s="304"/>
    </row>
    <row r="114" spans="1:24" x14ac:dyDescent="0.15">
      <c r="A114" s="172">
        <v>49</v>
      </c>
      <c r="B114" s="173">
        <v>44167</v>
      </c>
      <c r="C114" s="174" t="s">
        <v>362</v>
      </c>
      <c r="D114" s="291">
        <v>1</v>
      </c>
      <c r="E114" s="291">
        <v>9</v>
      </c>
      <c r="F114" s="291">
        <v>6</v>
      </c>
      <c r="G114" s="291">
        <v>4</v>
      </c>
      <c r="H114" s="291">
        <v>9</v>
      </c>
      <c r="I114" s="291">
        <v>3</v>
      </c>
      <c r="J114" s="292">
        <v>3</v>
      </c>
      <c r="K114" s="222">
        <v>8167105</v>
      </c>
      <c r="L114" s="234" t="s">
        <v>23</v>
      </c>
      <c r="M114" s="224" t="s">
        <v>368</v>
      </c>
      <c r="N114" s="225">
        <v>1990561.3</v>
      </c>
      <c r="O114" s="226">
        <v>3</v>
      </c>
      <c r="P114" s="227">
        <v>25</v>
      </c>
      <c r="Q114" s="226">
        <v>278</v>
      </c>
      <c r="R114" s="227">
        <v>3021</v>
      </c>
      <c r="S114" s="226">
        <v>31316</v>
      </c>
      <c r="T114" s="227">
        <v>309638</v>
      </c>
      <c r="V114" s="228"/>
      <c r="X114" s="304"/>
    </row>
    <row r="115" spans="1:24" x14ac:dyDescent="0.15">
      <c r="A115" s="178"/>
      <c r="B115" s="179">
        <v>44170</v>
      </c>
      <c r="C115" s="180" t="s">
        <v>363</v>
      </c>
      <c r="D115" s="289">
        <v>3</v>
      </c>
      <c r="E115" s="289">
        <v>8</v>
      </c>
      <c r="F115" s="289">
        <v>7</v>
      </c>
      <c r="G115" s="289">
        <v>7</v>
      </c>
      <c r="H115" s="289">
        <v>3</v>
      </c>
      <c r="I115" s="289">
        <v>0</v>
      </c>
      <c r="J115" s="303">
        <v>9</v>
      </c>
      <c r="K115" s="229">
        <v>13436582.5</v>
      </c>
      <c r="L115" s="230" t="s">
        <v>23</v>
      </c>
      <c r="M115" s="229" t="s">
        <v>368</v>
      </c>
      <c r="N115" s="231">
        <v>2945902.3</v>
      </c>
      <c r="O115" s="232">
        <v>4</v>
      </c>
      <c r="P115" s="233">
        <v>49</v>
      </c>
      <c r="Q115" s="232">
        <v>405</v>
      </c>
      <c r="R115" s="233">
        <v>4122</v>
      </c>
      <c r="S115" s="232">
        <v>41165</v>
      </c>
      <c r="T115" s="233">
        <v>472137</v>
      </c>
      <c r="V115" s="228"/>
      <c r="X115" s="304"/>
    </row>
    <row r="116" spans="1:24" x14ac:dyDescent="0.15">
      <c r="A116" s="172">
        <v>50</v>
      </c>
      <c r="B116" s="173">
        <v>44174</v>
      </c>
      <c r="C116" s="174" t="s">
        <v>362</v>
      </c>
      <c r="D116" s="291">
        <v>3</v>
      </c>
      <c r="E116" s="291">
        <v>0</v>
      </c>
      <c r="F116" s="291">
        <v>9</v>
      </c>
      <c r="G116" s="291">
        <v>2</v>
      </c>
      <c r="H116" s="291">
        <v>9</v>
      </c>
      <c r="I116" s="291">
        <v>4</v>
      </c>
      <c r="J116" s="292">
        <v>7</v>
      </c>
      <c r="K116" s="222">
        <v>5555210</v>
      </c>
      <c r="L116" s="234" t="s">
        <v>23</v>
      </c>
      <c r="M116" s="224" t="s">
        <v>368</v>
      </c>
      <c r="N116" s="225">
        <v>3340877.6999999993</v>
      </c>
      <c r="O116" s="226">
        <v>1</v>
      </c>
      <c r="P116" s="227">
        <v>27</v>
      </c>
      <c r="Q116" s="226">
        <v>238</v>
      </c>
      <c r="R116" s="227">
        <v>2740</v>
      </c>
      <c r="S116" s="226">
        <v>25741</v>
      </c>
      <c r="T116" s="227">
        <v>253160</v>
      </c>
      <c r="V116" s="228"/>
      <c r="X116" s="304"/>
    </row>
    <row r="117" spans="1:24" x14ac:dyDescent="0.15">
      <c r="A117" s="178"/>
      <c r="B117" s="179">
        <v>44177</v>
      </c>
      <c r="C117" s="180" t="s">
        <v>363</v>
      </c>
      <c r="D117" s="289">
        <v>4</v>
      </c>
      <c r="E117" s="289">
        <v>6</v>
      </c>
      <c r="F117" s="289">
        <v>3</v>
      </c>
      <c r="G117" s="289">
        <v>2</v>
      </c>
      <c r="H117" s="289">
        <v>0</v>
      </c>
      <c r="I117" s="289">
        <v>3</v>
      </c>
      <c r="J117" s="303">
        <v>2</v>
      </c>
      <c r="K117" s="229">
        <v>12632375</v>
      </c>
      <c r="L117" s="230">
        <v>1</v>
      </c>
      <c r="M117" s="229">
        <v>4177777</v>
      </c>
      <c r="N117" s="231">
        <v>0</v>
      </c>
      <c r="O117" s="232">
        <v>6</v>
      </c>
      <c r="P117" s="233">
        <v>50</v>
      </c>
      <c r="Q117" s="232">
        <v>363</v>
      </c>
      <c r="R117" s="233">
        <v>3914</v>
      </c>
      <c r="S117" s="232">
        <v>41091</v>
      </c>
      <c r="T117" s="233">
        <v>405514</v>
      </c>
      <c r="V117" s="228"/>
      <c r="X117" s="304"/>
    </row>
    <row r="118" spans="1:24" x14ac:dyDescent="0.15">
      <c r="A118" s="172">
        <v>51</v>
      </c>
      <c r="B118" s="173">
        <v>44181</v>
      </c>
      <c r="C118" s="174" t="s">
        <v>362</v>
      </c>
      <c r="D118" s="291">
        <v>2</v>
      </c>
      <c r="E118" s="291">
        <v>4</v>
      </c>
      <c r="F118" s="291">
        <v>2</v>
      </c>
      <c r="G118" s="291">
        <v>7</v>
      </c>
      <c r="H118" s="291">
        <v>1</v>
      </c>
      <c r="I118" s="291">
        <v>3</v>
      </c>
      <c r="J118" s="292">
        <v>8</v>
      </c>
      <c r="K118" s="222">
        <v>5650777.5</v>
      </c>
      <c r="L118" s="234" t="s">
        <v>23</v>
      </c>
      <c r="M118" s="224" t="s">
        <v>368</v>
      </c>
      <c r="N118" s="225">
        <v>401770.30000000005</v>
      </c>
      <c r="O118" s="226">
        <v>1</v>
      </c>
      <c r="P118" s="227">
        <v>16</v>
      </c>
      <c r="Q118" s="226">
        <v>232</v>
      </c>
      <c r="R118" s="227">
        <v>2119</v>
      </c>
      <c r="S118" s="226">
        <v>20784</v>
      </c>
      <c r="T118" s="227">
        <v>214793</v>
      </c>
      <c r="V118" s="228"/>
      <c r="X118" s="304"/>
    </row>
    <row r="119" spans="1:24" x14ac:dyDescent="0.15">
      <c r="A119" s="178"/>
      <c r="B119" s="179">
        <v>44184</v>
      </c>
      <c r="C119" s="180" t="s">
        <v>363</v>
      </c>
      <c r="D119" s="289">
        <v>0</v>
      </c>
      <c r="E119" s="289">
        <v>7</v>
      </c>
      <c r="F119" s="289">
        <v>4</v>
      </c>
      <c r="G119" s="289">
        <v>4</v>
      </c>
      <c r="H119" s="289">
        <v>2</v>
      </c>
      <c r="I119" s="289">
        <v>2</v>
      </c>
      <c r="J119" s="303">
        <v>3</v>
      </c>
      <c r="K119" s="229">
        <v>12774700</v>
      </c>
      <c r="L119" s="230" t="s">
        <v>23</v>
      </c>
      <c r="M119" s="229" t="s">
        <v>368</v>
      </c>
      <c r="N119" s="231">
        <v>1310051.4999999998</v>
      </c>
      <c r="O119" s="232">
        <v>1</v>
      </c>
      <c r="P119" s="233">
        <v>42</v>
      </c>
      <c r="Q119" s="232">
        <v>449</v>
      </c>
      <c r="R119" s="233">
        <v>4375</v>
      </c>
      <c r="S119" s="232">
        <v>46708</v>
      </c>
      <c r="T119" s="233">
        <v>475537</v>
      </c>
      <c r="V119" s="228"/>
      <c r="X119" s="304"/>
    </row>
    <row r="120" spans="1:24" x14ac:dyDescent="0.15">
      <c r="A120" s="172">
        <v>52</v>
      </c>
      <c r="B120" s="173">
        <v>44188</v>
      </c>
      <c r="C120" s="174" t="s">
        <v>362</v>
      </c>
      <c r="D120" s="305">
        <v>5</v>
      </c>
      <c r="E120" s="291">
        <v>1</v>
      </c>
      <c r="F120" s="291">
        <v>0</v>
      </c>
      <c r="G120" s="291">
        <v>1</v>
      </c>
      <c r="H120" s="291">
        <v>7</v>
      </c>
      <c r="I120" s="291">
        <v>6</v>
      </c>
      <c r="J120" s="292">
        <v>1</v>
      </c>
      <c r="K120" s="222">
        <v>6267692.5</v>
      </c>
      <c r="L120" s="234" t="s">
        <v>23</v>
      </c>
      <c r="M120" s="224" t="s">
        <v>368</v>
      </c>
      <c r="N120" s="225">
        <v>1755684.3999999997</v>
      </c>
      <c r="O120" s="226">
        <v>2</v>
      </c>
      <c r="P120" s="227">
        <v>25</v>
      </c>
      <c r="Q120" s="226">
        <v>210</v>
      </c>
      <c r="R120" s="227">
        <v>1875</v>
      </c>
      <c r="S120" s="226">
        <v>20203</v>
      </c>
      <c r="T120" s="227">
        <v>191372</v>
      </c>
      <c r="V120" s="228"/>
      <c r="X120" s="304"/>
    </row>
    <row r="121" spans="1:24" x14ac:dyDescent="0.15">
      <c r="A121" s="178"/>
      <c r="B121" s="179">
        <v>44191</v>
      </c>
      <c r="C121" s="180" t="s">
        <v>363</v>
      </c>
      <c r="D121" s="362">
        <v>2</v>
      </c>
      <c r="E121" s="307">
        <v>8</v>
      </c>
      <c r="F121" s="307">
        <v>3</v>
      </c>
      <c r="G121" s="307">
        <v>7</v>
      </c>
      <c r="H121" s="307">
        <v>1</v>
      </c>
      <c r="I121" s="307">
        <v>0</v>
      </c>
      <c r="J121" s="308">
        <v>0</v>
      </c>
      <c r="K121" s="229">
        <v>12247435</v>
      </c>
      <c r="L121" s="230">
        <v>1</v>
      </c>
      <c r="M121" s="229">
        <v>2577777</v>
      </c>
      <c r="N121" s="231">
        <v>0</v>
      </c>
      <c r="O121" s="232">
        <v>5</v>
      </c>
      <c r="P121" s="233">
        <v>39</v>
      </c>
      <c r="Q121" s="232">
        <v>364</v>
      </c>
      <c r="R121" s="233">
        <v>3489</v>
      </c>
      <c r="S121" s="232">
        <v>36883</v>
      </c>
      <c r="T121" s="233">
        <v>336660</v>
      </c>
      <c r="V121" s="228"/>
      <c r="X121" s="304"/>
    </row>
    <row r="122" spans="1:24" x14ac:dyDescent="0.15">
      <c r="A122" s="363" t="s">
        <v>39</v>
      </c>
      <c r="B122" s="82">
        <v>44195</v>
      </c>
      <c r="C122" s="104" t="s">
        <v>362</v>
      </c>
      <c r="D122" s="306">
        <v>3</v>
      </c>
      <c r="E122" s="306">
        <v>2</v>
      </c>
      <c r="F122" s="306">
        <v>2</v>
      </c>
      <c r="G122" s="306">
        <v>7</v>
      </c>
      <c r="H122" s="306">
        <v>3</v>
      </c>
      <c r="I122" s="306">
        <v>5</v>
      </c>
      <c r="J122" s="303">
        <v>3</v>
      </c>
      <c r="K122" s="255">
        <v>5816070</v>
      </c>
      <c r="L122" s="223" t="s">
        <v>23</v>
      </c>
      <c r="M122" s="364" t="s">
        <v>368</v>
      </c>
      <c r="N122" s="285">
        <v>413522.6</v>
      </c>
      <c r="O122" s="365">
        <v>4</v>
      </c>
      <c r="P122" s="366">
        <v>16</v>
      </c>
      <c r="Q122" s="365">
        <v>235</v>
      </c>
      <c r="R122" s="366">
        <v>2325</v>
      </c>
      <c r="S122" s="365">
        <v>23044</v>
      </c>
      <c r="T122" s="366">
        <v>220552</v>
      </c>
      <c r="V122" s="228"/>
      <c r="X122" s="304"/>
    </row>
    <row r="123" spans="1:24" x14ac:dyDescent="0.15">
      <c r="A123" s="178"/>
      <c r="B123" s="179">
        <v>44198</v>
      </c>
      <c r="C123" s="180" t="s">
        <v>363</v>
      </c>
      <c r="D123" s="307">
        <v>9</v>
      </c>
      <c r="E123" s="307">
        <v>0</v>
      </c>
      <c r="F123" s="307">
        <v>3</v>
      </c>
      <c r="G123" s="307">
        <v>1</v>
      </c>
      <c r="H123" s="307">
        <v>7</v>
      </c>
      <c r="I123" s="307">
        <v>2</v>
      </c>
      <c r="J123" s="308">
        <v>9</v>
      </c>
      <c r="K123" s="229">
        <v>12792970</v>
      </c>
      <c r="L123" s="237">
        <v>1</v>
      </c>
      <c r="M123" s="229">
        <v>1277777</v>
      </c>
      <c r="N123" s="231">
        <v>0</v>
      </c>
      <c r="O123" s="232">
        <v>6</v>
      </c>
      <c r="P123" s="233">
        <v>48</v>
      </c>
      <c r="Q123" s="232">
        <v>469</v>
      </c>
      <c r="R123" s="233">
        <v>4526</v>
      </c>
      <c r="S123" s="232">
        <v>44608</v>
      </c>
      <c r="T123" s="233">
        <v>443548</v>
      </c>
      <c r="V123" s="228"/>
      <c r="X123" s="304"/>
    </row>
    <row r="124" spans="1:24" x14ac:dyDescent="0.15">
      <c r="A124" s="45"/>
      <c r="B124" s="46"/>
      <c r="C124" s="46"/>
      <c r="D124" s="309"/>
      <c r="E124" s="309"/>
      <c r="F124" s="309"/>
      <c r="G124" s="309"/>
      <c r="H124" s="309"/>
      <c r="I124" s="309" t="s">
        <v>24</v>
      </c>
      <c r="J124" s="309"/>
      <c r="K124" s="277"/>
      <c r="L124" s="278">
        <f>SUM(L70:L123)</f>
        <v>16</v>
      </c>
      <c r="M124" s="229"/>
      <c r="N124" s="278"/>
      <c r="O124" s="278">
        <f t="shared" ref="O124:T124" si="1">SUM(O70:O123)</f>
        <v>163</v>
      </c>
      <c r="P124" s="278">
        <f t="shared" si="1"/>
        <v>1721</v>
      </c>
      <c r="Q124" s="278">
        <f t="shared" si="1"/>
        <v>17371</v>
      </c>
      <c r="R124" s="278">
        <f t="shared" si="1"/>
        <v>176526</v>
      </c>
      <c r="S124" s="278">
        <f t="shared" si="1"/>
        <v>1766736</v>
      </c>
      <c r="T124" s="278">
        <f t="shared" si="1"/>
        <v>17734322</v>
      </c>
      <c r="V124" s="228"/>
      <c r="X124" s="304"/>
    </row>
    <row r="125" spans="1:24" x14ac:dyDescent="0.15">
      <c r="K125" s="222"/>
      <c r="V125" s="280"/>
      <c r="X125" s="304"/>
    </row>
  </sheetData>
  <printOptions horizontalCentered="1" verticalCentered="1"/>
  <pageMargins left="0" right="0" top="0" bottom="0.39370078740157483" header="0.23622047244094491" footer="0.23622047244094491"/>
  <pageSetup paperSize="9" scale="84" orientation="landscape" r:id="rId1"/>
  <headerFooter alignWithMargins="0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X123"/>
  <sheetViews>
    <sheetView tabSelected="1"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8" customWidth="1"/>
    <col min="10" max="10" width="5" style="298" customWidth="1"/>
    <col min="11" max="11" width="16.83203125" customWidth="1"/>
    <col min="12" max="12" width="7.6640625" customWidth="1"/>
    <col min="13" max="14" width="16.83203125" customWidth="1"/>
    <col min="15" max="20" width="15.83203125" customWidth="1"/>
    <col min="21" max="21" width="1.1640625" customWidth="1"/>
    <col min="22" max="22" width="13.5" bestFit="1" customWidth="1"/>
    <col min="23" max="23" width="2.1640625" customWidth="1"/>
    <col min="24" max="24" width="11.33203125" customWidth="1"/>
  </cols>
  <sheetData>
    <row r="2" spans="1:24" ht="14.1" customHeight="1" x14ac:dyDescent="0.2">
      <c r="A2" s="318" t="s">
        <v>364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20" t="s">
        <v>452</v>
      </c>
    </row>
    <row r="3" spans="1:24" ht="11.1" customHeight="1" x14ac:dyDescent="0.15">
      <c r="A3" s="321" t="s">
        <v>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</row>
    <row r="4" spans="1:24" ht="11.1" customHeight="1" x14ac:dyDescent="0.15">
      <c r="A4" s="311"/>
      <c r="B4" s="322"/>
      <c r="C4" s="323"/>
      <c r="D4" s="324"/>
      <c r="E4" s="324"/>
      <c r="F4" s="324"/>
      <c r="G4" s="324"/>
      <c r="H4" s="324"/>
      <c r="I4" s="324"/>
      <c r="J4" s="325"/>
      <c r="K4" s="322"/>
      <c r="L4" s="324"/>
      <c r="M4" s="326"/>
      <c r="N4" s="325"/>
      <c r="O4" s="322"/>
      <c r="P4" s="325"/>
      <c r="Q4" s="322"/>
      <c r="R4" s="325"/>
      <c r="S4" s="322"/>
      <c r="T4" s="325"/>
    </row>
    <row r="5" spans="1:24" ht="11.1" customHeight="1" x14ac:dyDescent="0.15">
      <c r="A5" s="327"/>
      <c r="B5" s="328"/>
      <c r="C5" s="329"/>
      <c r="D5" s="330" t="s">
        <v>4</v>
      </c>
      <c r="E5" s="331"/>
      <c r="F5" s="331"/>
      <c r="G5" s="331"/>
      <c r="H5" s="331"/>
      <c r="I5" s="331"/>
      <c r="J5" s="332" t="s">
        <v>5</v>
      </c>
      <c r="K5" s="333" t="s">
        <v>6</v>
      </c>
      <c r="L5" s="321" t="s">
        <v>7</v>
      </c>
      <c r="M5" s="334"/>
      <c r="N5" s="327" t="s">
        <v>21</v>
      </c>
      <c r="O5" s="328" t="s">
        <v>8</v>
      </c>
      <c r="P5" s="327" t="s">
        <v>9</v>
      </c>
      <c r="Q5" s="328" t="s">
        <v>10</v>
      </c>
      <c r="R5" s="327" t="s">
        <v>11</v>
      </c>
      <c r="S5" s="328" t="s">
        <v>12</v>
      </c>
      <c r="T5" s="327" t="s">
        <v>49</v>
      </c>
    </row>
    <row r="6" spans="1:24" ht="11.1" customHeight="1" x14ac:dyDescent="0.15">
      <c r="A6" s="327" t="s">
        <v>428</v>
      </c>
      <c r="B6" s="328">
        <v>2021</v>
      </c>
      <c r="C6" s="335" t="s">
        <v>361</v>
      </c>
      <c r="D6" s="336"/>
      <c r="E6" s="336"/>
      <c r="F6" s="336"/>
      <c r="G6" s="336"/>
      <c r="H6" s="336"/>
      <c r="I6" s="336"/>
      <c r="J6" s="332" t="s">
        <v>13</v>
      </c>
      <c r="K6" s="328"/>
      <c r="L6" s="321" t="s">
        <v>371</v>
      </c>
      <c r="M6" s="334"/>
      <c r="N6" s="327" t="s">
        <v>367</v>
      </c>
      <c r="O6" s="337">
        <v>77777</v>
      </c>
      <c r="P6" s="337">
        <v>7777</v>
      </c>
      <c r="Q6" s="337">
        <v>777</v>
      </c>
      <c r="R6" s="337">
        <v>77</v>
      </c>
      <c r="S6" s="337">
        <v>17</v>
      </c>
      <c r="T6" s="337">
        <v>5</v>
      </c>
    </row>
    <row r="7" spans="1:24" ht="10.5" customHeight="1" x14ac:dyDescent="0.15">
      <c r="A7" s="338"/>
      <c r="B7" s="339"/>
      <c r="C7" s="335"/>
      <c r="D7" s="336"/>
      <c r="E7" s="336"/>
      <c r="F7" s="336"/>
      <c r="G7" s="336"/>
      <c r="H7" s="336"/>
      <c r="I7" s="336"/>
      <c r="J7" s="327"/>
      <c r="K7" s="339" t="s">
        <v>367</v>
      </c>
      <c r="L7" s="340" t="s">
        <v>15</v>
      </c>
      <c r="M7" s="341" t="s">
        <v>367</v>
      </c>
      <c r="N7" s="327"/>
      <c r="O7" s="342" t="s">
        <v>15</v>
      </c>
      <c r="P7" s="327" t="s">
        <v>15</v>
      </c>
      <c r="Q7" s="342" t="s">
        <v>15</v>
      </c>
      <c r="R7" s="327" t="s">
        <v>15</v>
      </c>
      <c r="S7" s="342" t="s">
        <v>15</v>
      </c>
      <c r="T7" s="327" t="s">
        <v>15</v>
      </c>
    </row>
    <row r="8" spans="1:24" x14ac:dyDescent="0.15">
      <c r="A8" s="343">
        <v>1</v>
      </c>
      <c r="B8" s="344">
        <v>44202</v>
      </c>
      <c r="C8" s="345" t="s">
        <v>362</v>
      </c>
      <c r="D8" s="310">
        <v>7</v>
      </c>
      <c r="E8" s="310">
        <v>5</v>
      </c>
      <c r="F8" s="310">
        <v>2</v>
      </c>
      <c r="G8" s="310">
        <v>7</v>
      </c>
      <c r="H8" s="310">
        <v>9</v>
      </c>
      <c r="I8" s="310">
        <v>1</v>
      </c>
      <c r="J8" s="311">
        <v>1</v>
      </c>
      <c r="K8" s="312">
        <v>5065945</v>
      </c>
      <c r="L8" s="346" t="s">
        <v>23</v>
      </c>
      <c r="M8" s="314" t="s">
        <v>368</v>
      </c>
      <c r="N8" s="314">
        <v>360188.7</v>
      </c>
      <c r="O8" s="316">
        <v>2</v>
      </c>
      <c r="P8" s="317">
        <v>25</v>
      </c>
      <c r="Q8" s="316">
        <v>162</v>
      </c>
      <c r="R8" s="317">
        <v>1684</v>
      </c>
      <c r="S8" s="316">
        <v>16247</v>
      </c>
      <c r="T8" s="317">
        <v>153629</v>
      </c>
      <c r="V8" s="228"/>
      <c r="X8" s="304"/>
    </row>
    <row r="9" spans="1:24" x14ac:dyDescent="0.15">
      <c r="A9" s="347"/>
      <c r="B9" s="348">
        <v>44205</v>
      </c>
      <c r="C9" s="349" t="s">
        <v>363</v>
      </c>
      <c r="D9" s="336">
        <v>8</v>
      </c>
      <c r="E9" s="336">
        <v>6</v>
      </c>
      <c r="F9" s="336">
        <v>5</v>
      </c>
      <c r="G9" s="336">
        <v>7</v>
      </c>
      <c r="H9" s="336">
        <v>8</v>
      </c>
      <c r="I9" s="336">
        <v>1</v>
      </c>
      <c r="J9" s="327">
        <v>8</v>
      </c>
      <c r="K9" s="350">
        <v>12613645</v>
      </c>
      <c r="L9" s="351" t="s">
        <v>23</v>
      </c>
      <c r="M9" s="350" t="s">
        <v>368</v>
      </c>
      <c r="N9" s="352">
        <v>1257018.8999999997</v>
      </c>
      <c r="O9" s="353">
        <v>5</v>
      </c>
      <c r="P9" s="354">
        <v>54</v>
      </c>
      <c r="Q9" s="353">
        <v>485</v>
      </c>
      <c r="R9" s="354">
        <v>5058</v>
      </c>
      <c r="S9" s="353">
        <v>48106</v>
      </c>
      <c r="T9" s="354">
        <v>495380</v>
      </c>
      <c r="U9">
        <v>737224</v>
      </c>
      <c r="V9" s="228"/>
      <c r="X9" s="304"/>
    </row>
    <row r="10" spans="1:24" x14ac:dyDescent="0.15">
      <c r="A10" s="343">
        <v>2</v>
      </c>
      <c r="B10" s="344">
        <v>44209</v>
      </c>
      <c r="C10" s="345" t="s">
        <v>362</v>
      </c>
      <c r="D10" s="355">
        <v>3</v>
      </c>
      <c r="E10" s="310">
        <v>4</v>
      </c>
      <c r="F10" s="310">
        <v>4</v>
      </c>
      <c r="G10" s="310">
        <v>4</v>
      </c>
      <c r="H10" s="310">
        <v>0</v>
      </c>
      <c r="I10" s="310">
        <v>2</v>
      </c>
      <c r="J10" s="311">
        <v>6</v>
      </c>
      <c r="K10" s="312">
        <v>5276767.5</v>
      </c>
      <c r="L10" s="313" t="s">
        <v>23</v>
      </c>
      <c r="M10" s="314" t="s">
        <v>368</v>
      </c>
      <c r="N10" s="315">
        <v>1632197.0999999996</v>
      </c>
      <c r="O10" s="316">
        <v>4</v>
      </c>
      <c r="P10" s="317">
        <v>23</v>
      </c>
      <c r="Q10" s="316">
        <v>185</v>
      </c>
      <c r="R10" s="317">
        <v>1747</v>
      </c>
      <c r="S10" s="316">
        <v>19858</v>
      </c>
      <c r="T10" s="317">
        <v>193741</v>
      </c>
      <c r="V10" s="228"/>
      <c r="X10" s="304"/>
    </row>
    <row r="11" spans="1:24" x14ac:dyDescent="0.15">
      <c r="A11" s="347"/>
      <c r="B11" s="348">
        <v>44212</v>
      </c>
      <c r="C11" s="349" t="s">
        <v>363</v>
      </c>
      <c r="D11" s="356">
        <v>8</v>
      </c>
      <c r="E11" s="356">
        <v>4</v>
      </c>
      <c r="F11" s="356">
        <v>5</v>
      </c>
      <c r="G11" s="356">
        <v>0</v>
      </c>
      <c r="H11" s="356">
        <v>7</v>
      </c>
      <c r="I11" s="356">
        <v>7</v>
      </c>
      <c r="J11" s="327">
        <v>2</v>
      </c>
      <c r="K11" s="350">
        <v>12959255</v>
      </c>
      <c r="L11" s="351" t="s">
        <v>23</v>
      </c>
      <c r="M11" s="350" t="s">
        <v>368</v>
      </c>
      <c r="N11" s="350">
        <v>2553600.1</v>
      </c>
      <c r="O11" s="353">
        <v>6</v>
      </c>
      <c r="P11" s="354">
        <v>41</v>
      </c>
      <c r="Q11" s="353">
        <v>417</v>
      </c>
      <c r="R11" s="354">
        <v>3981</v>
      </c>
      <c r="S11" s="353">
        <v>42844</v>
      </c>
      <c r="T11" s="354">
        <v>419548</v>
      </c>
      <c r="V11" s="228"/>
      <c r="X11" s="304"/>
    </row>
    <row r="12" spans="1:24" x14ac:dyDescent="0.15">
      <c r="A12" s="343">
        <v>3</v>
      </c>
      <c r="B12" s="344">
        <v>44216</v>
      </c>
      <c r="C12" s="345" t="s">
        <v>362</v>
      </c>
      <c r="D12" s="355">
        <v>6</v>
      </c>
      <c r="E12" s="310">
        <v>3</v>
      </c>
      <c r="F12" s="310">
        <v>7</v>
      </c>
      <c r="G12" s="310">
        <v>0</v>
      </c>
      <c r="H12" s="310">
        <v>1</v>
      </c>
      <c r="I12" s="310">
        <v>8</v>
      </c>
      <c r="J12" s="311">
        <v>0</v>
      </c>
      <c r="K12" s="312">
        <v>5255682.5</v>
      </c>
      <c r="L12" s="313" t="s">
        <v>23</v>
      </c>
      <c r="M12" s="314" t="s">
        <v>368</v>
      </c>
      <c r="N12" s="315">
        <v>2927279.1</v>
      </c>
      <c r="O12" s="316" t="s">
        <v>17</v>
      </c>
      <c r="P12" s="317">
        <v>11</v>
      </c>
      <c r="Q12" s="316">
        <v>147</v>
      </c>
      <c r="R12" s="317">
        <v>1445</v>
      </c>
      <c r="S12" s="316">
        <v>14449</v>
      </c>
      <c r="T12" s="317">
        <v>148905</v>
      </c>
      <c r="V12" s="228"/>
      <c r="X12" s="304"/>
    </row>
    <row r="13" spans="1:24" x14ac:dyDescent="0.15">
      <c r="A13" s="347"/>
      <c r="B13" s="348">
        <v>44219</v>
      </c>
      <c r="C13" s="349" t="s">
        <v>363</v>
      </c>
      <c r="D13" s="356">
        <v>4</v>
      </c>
      <c r="E13" s="356">
        <v>5</v>
      </c>
      <c r="F13" s="356">
        <v>8</v>
      </c>
      <c r="G13" s="356">
        <v>4</v>
      </c>
      <c r="H13" s="356">
        <v>8</v>
      </c>
      <c r="I13" s="356">
        <v>8</v>
      </c>
      <c r="J13" s="327">
        <v>8</v>
      </c>
      <c r="K13" s="350">
        <v>12255167.5</v>
      </c>
      <c r="L13" s="357" t="s">
        <v>23</v>
      </c>
      <c r="M13" s="350" t="s">
        <v>368</v>
      </c>
      <c r="N13" s="352">
        <v>3798621.4999999995</v>
      </c>
      <c r="O13" s="353">
        <v>12</v>
      </c>
      <c r="P13" s="354">
        <v>67</v>
      </c>
      <c r="Q13" s="353">
        <v>679</v>
      </c>
      <c r="R13" s="354">
        <v>7293</v>
      </c>
      <c r="S13" s="353">
        <v>49854</v>
      </c>
      <c r="T13" s="354">
        <v>477132</v>
      </c>
      <c r="V13" s="228"/>
      <c r="X13" s="304"/>
    </row>
    <row r="14" spans="1:24" x14ac:dyDescent="0.15">
      <c r="A14" s="343">
        <v>4</v>
      </c>
      <c r="B14" s="344">
        <v>44223</v>
      </c>
      <c r="C14" s="345" t="s">
        <v>362</v>
      </c>
      <c r="D14" s="310">
        <v>3</v>
      </c>
      <c r="E14" s="310">
        <v>9</v>
      </c>
      <c r="F14" s="310">
        <v>1</v>
      </c>
      <c r="G14" s="310">
        <v>1</v>
      </c>
      <c r="H14" s="310">
        <v>8</v>
      </c>
      <c r="I14" s="310">
        <v>0</v>
      </c>
      <c r="J14" s="311">
        <v>0</v>
      </c>
      <c r="K14" s="312">
        <v>5078930</v>
      </c>
      <c r="L14" s="313" t="s">
        <v>23</v>
      </c>
      <c r="M14" s="314" t="s">
        <v>368</v>
      </c>
      <c r="N14" s="315">
        <v>4159733.399999999</v>
      </c>
      <c r="O14" s="316">
        <v>1</v>
      </c>
      <c r="P14" s="317">
        <v>17</v>
      </c>
      <c r="Q14" s="316">
        <v>158</v>
      </c>
      <c r="R14" s="317">
        <v>1548</v>
      </c>
      <c r="S14" s="316">
        <v>17258</v>
      </c>
      <c r="T14" s="317">
        <v>141529</v>
      </c>
      <c r="V14" s="228"/>
      <c r="X14" s="304"/>
    </row>
    <row r="15" spans="1:24" x14ac:dyDescent="0.15">
      <c r="A15" s="347"/>
      <c r="B15" s="348">
        <v>44226</v>
      </c>
      <c r="C15" s="349" t="s">
        <v>363</v>
      </c>
      <c r="D15" s="336">
        <v>7</v>
      </c>
      <c r="E15" s="336">
        <v>7</v>
      </c>
      <c r="F15" s="336">
        <v>6</v>
      </c>
      <c r="G15" s="336">
        <v>4</v>
      </c>
      <c r="H15" s="336">
        <v>9</v>
      </c>
      <c r="I15" s="336">
        <v>6</v>
      </c>
      <c r="J15" s="327">
        <v>2</v>
      </c>
      <c r="K15" s="350">
        <v>12303690</v>
      </c>
      <c r="L15" s="357" t="s">
        <v>23</v>
      </c>
      <c r="M15" s="350" t="s">
        <v>368</v>
      </c>
      <c r="N15" s="352">
        <v>5034525.7999999989</v>
      </c>
      <c r="O15" s="353">
        <v>9</v>
      </c>
      <c r="P15" s="354">
        <v>34</v>
      </c>
      <c r="Q15" s="353">
        <v>473</v>
      </c>
      <c r="R15" s="354">
        <v>4555</v>
      </c>
      <c r="S15" s="353">
        <v>40486</v>
      </c>
      <c r="T15" s="354">
        <v>398936</v>
      </c>
      <c r="V15" s="228"/>
      <c r="X15" s="304"/>
    </row>
    <row r="16" spans="1:24" x14ac:dyDescent="0.15">
      <c r="A16" s="343">
        <v>5</v>
      </c>
      <c r="B16" s="344">
        <v>44230</v>
      </c>
      <c r="C16" s="345" t="s">
        <v>362</v>
      </c>
      <c r="D16" s="310">
        <v>1</v>
      </c>
      <c r="E16" s="310">
        <v>4</v>
      </c>
      <c r="F16" s="310">
        <v>5</v>
      </c>
      <c r="G16" s="310">
        <v>2</v>
      </c>
      <c r="H16" s="310">
        <v>6</v>
      </c>
      <c r="I16" s="310">
        <v>5</v>
      </c>
      <c r="J16" s="311">
        <v>0</v>
      </c>
      <c r="K16" s="312">
        <v>5301242.5</v>
      </c>
      <c r="L16" s="346" t="s">
        <v>23</v>
      </c>
      <c r="M16" s="314" t="s">
        <v>368</v>
      </c>
      <c r="N16" s="314">
        <v>5411444.0999999996</v>
      </c>
      <c r="O16" s="316" t="s">
        <v>17</v>
      </c>
      <c r="P16" s="316">
        <v>18</v>
      </c>
      <c r="Q16" s="316">
        <v>161</v>
      </c>
      <c r="R16" s="316">
        <v>1535</v>
      </c>
      <c r="S16" s="316">
        <v>15550</v>
      </c>
      <c r="T16" s="316">
        <v>151648</v>
      </c>
      <c r="V16" s="228"/>
      <c r="X16" s="304"/>
    </row>
    <row r="17" spans="1:24" x14ac:dyDescent="0.15">
      <c r="A17" s="347"/>
      <c r="B17" s="348">
        <v>44233</v>
      </c>
      <c r="C17" s="349" t="s">
        <v>363</v>
      </c>
      <c r="D17" s="336">
        <v>6</v>
      </c>
      <c r="E17" s="336">
        <v>0</v>
      </c>
      <c r="F17" s="336">
        <v>8</v>
      </c>
      <c r="G17" s="336">
        <v>1</v>
      </c>
      <c r="H17" s="336">
        <v>8</v>
      </c>
      <c r="I17" s="336">
        <v>9</v>
      </c>
      <c r="J17" s="327">
        <v>4</v>
      </c>
      <c r="K17" s="350">
        <v>12332020</v>
      </c>
      <c r="L17" s="357" t="s">
        <v>23</v>
      </c>
      <c r="M17" s="350" t="s">
        <v>368</v>
      </c>
      <c r="N17" s="350">
        <v>6288250.7000000002</v>
      </c>
      <c r="O17" s="353" t="s">
        <v>17</v>
      </c>
      <c r="P17" s="354">
        <v>33</v>
      </c>
      <c r="Q17" s="353">
        <v>416</v>
      </c>
      <c r="R17" s="354">
        <v>4066</v>
      </c>
      <c r="S17" s="353">
        <v>40670</v>
      </c>
      <c r="T17" s="354">
        <v>437277</v>
      </c>
      <c r="V17" s="228"/>
      <c r="X17" s="304"/>
    </row>
    <row r="18" spans="1:24" x14ac:dyDescent="0.15">
      <c r="A18" s="343">
        <v>6</v>
      </c>
      <c r="B18" s="344">
        <v>44237</v>
      </c>
      <c r="C18" s="345" t="s">
        <v>362</v>
      </c>
      <c r="D18" s="310">
        <v>1</v>
      </c>
      <c r="E18" s="310">
        <v>7</v>
      </c>
      <c r="F18" s="310">
        <v>1</v>
      </c>
      <c r="G18" s="310">
        <v>8</v>
      </c>
      <c r="H18" s="310">
        <v>7</v>
      </c>
      <c r="I18" s="310">
        <v>6</v>
      </c>
      <c r="J18" s="311">
        <v>0</v>
      </c>
      <c r="K18" s="312">
        <v>5540607.5</v>
      </c>
      <c r="L18" s="346" t="s">
        <v>23</v>
      </c>
      <c r="M18" s="314" t="s">
        <v>368</v>
      </c>
      <c r="N18" s="314">
        <v>6682187.8999999994</v>
      </c>
      <c r="O18" s="316">
        <v>1</v>
      </c>
      <c r="P18" s="317">
        <v>19</v>
      </c>
      <c r="Q18" s="316">
        <v>178</v>
      </c>
      <c r="R18" s="317">
        <v>1599</v>
      </c>
      <c r="S18" s="316">
        <v>16160</v>
      </c>
      <c r="T18" s="317">
        <v>159154</v>
      </c>
      <c r="V18" s="228"/>
      <c r="X18" s="304"/>
    </row>
    <row r="19" spans="1:24" x14ac:dyDescent="0.15">
      <c r="A19" s="347"/>
      <c r="B19" s="348">
        <v>44240</v>
      </c>
      <c r="C19" s="349" t="s">
        <v>363</v>
      </c>
      <c r="D19" s="336">
        <v>9</v>
      </c>
      <c r="E19" s="336">
        <v>3</v>
      </c>
      <c r="F19" s="336">
        <v>8</v>
      </c>
      <c r="G19" s="336">
        <v>3</v>
      </c>
      <c r="H19" s="336">
        <v>0</v>
      </c>
      <c r="I19" s="336">
        <v>6</v>
      </c>
      <c r="J19" s="327">
        <v>9</v>
      </c>
      <c r="K19" s="350">
        <v>12169490</v>
      </c>
      <c r="L19" s="357" t="s">
        <v>23</v>
      </c>
      <c r="M19" s="350" t="s">
        <v>368</v>
      </c>
      <c r="N19" s="352">
        <v>7547438.5999999996</v>
      </c>
      <c r="O19" s="353">
        <v>4</v>
      </c>
      <c r="P19" s="354">
        <v>45</v>
      </c>
      <c r="Q19" s="353">
        <v>400</v>
      </c>
      <c r="R19" s="354">
        <v>4281</v>
      </c>
      <c r="S19" s="353">
        <v>46010</v>
      </c>
      <c r="T19" s="354">
        <v>419036</v>
      </c>
      <c r="V19" s="228"/>
      <c r="X19" s="304"/>
    </row>
    <row r="20" spans="1:24" x14ac:dyDescent="0.15">
      <c r="A20" s="343">
        <v>7</v>
      </c>
      <c r="B20" s="344">
        <v>44244</v>
      </c>
      <c r="C20" s="345" t="s">
        <v>362</v>
      </c>
      <c r="D20" s="310">
        <v>2</v>
      </c>
      <c r="E20" s="310">
        <v>4</v>
      </c>
      <c r="F20" s="310">
        <v>3</v>
      </c>
      <c r="G20" s="310">
        <v>9</v>
      </c>
      <c r="H20" s="310">
        <v>7</v>
      </c>
      <c r="I20" s="310">
        <v>0</v>
      </c>
      <c r="J20" s="311">
        <v>2</v>
      </c>
      <c r="K20" s="312">
        <v>5817157.5</v>
      </c>
      <c r="L20" s="346" t="s">
        <v>23</v>
      </c>
      <c r="M20" s="314" t="s">
        <v>368</v>
      </c>
      <c r="N20" s="315">
        <v>0</v>
      </c>
      <c r="O20" s="316">
        <v>2</v>
      </c>
      <c r="P20" s="317">
        <v>22</v>
      </c>
      <c r="Q20" s="316">
        <v>159</v>
      </c>
      <c r="R20" s="317">
        <v>1774</v>
      </c>
      <c r="S20" s="316">
        <v>16668</v>
      </c>
      <c r="T20" s="317">
        <v>187001</v>
      </c>
      <c r="V20" s="228"/>
      <c r="X20" s="304"/>
    </row>
    <row r="21" spans="1:24" x14ac:dyDescent="0.15">
      <c r="A21" s="347"/>
      <c r="B21" s="348">
        <v>44247</v>
      </c>
      <c r="C21" s="349" t="s">
        <v>363</v>
      </c>
      <c r="D21" s="336">
        <v>0</v>
      </c>
      <c r="E21" s="336">
        <v>4</v>
      </c>
      <c r="F21" s="336">
        <v>3</v>
      </c>
      <c r="G21" s="336">
        <v>6</v>
      </c>
      <c r="H21" s="336">
        <v>4</v>
      </c>
      <c r="I21" s="336">
        <v>6</v>
      </c>
      <c r="J21" s="327">
        <v>1</v>
      </c>
      <c r="K21" s="350">
        <v>12172052.5</v>
      </c>
      <c r="L21" s="357">
        <v>1</v>
      </c>
      <c r="M21" s="350">
        <v>777777</v>
      </c>
      <c r="N21" s="352">
        <v>0</v>
      </c>
      <c r="O21" s="353">
        <v>7</v>
      </c>
      <c r="P21" s="354">
        <v>31</v>
      </c>
      <c r="Q21" s="353">
        <v>357</v>
      </c>
      <c r="R21" s="354">
        <v>4018</v>
      </c>
      <c r="S21" s="353">
        <v>37956</v>
      </c>
      <c r="T21" s="354">
        <v>368027</v>
      </c>
      <c r="U21" s="240"/>
      <c r="V21" s="228"/>
      <c r="X21" s="304"/>
    </row>
    <row r="22" spans="1:24" x14ac:dyDescent="0.15">
      <c r="A22" s="343">
        <v>8</v>
      </c>
      <c r="B22" s="344">
        <v>44251</v>
      </c>
      <c r="C22" s="345" t="s">
        <v>362</v>
      </c>
      <c r="D22" s="310">
        <v>5</v>
      </c>
      <c r="E22" s="310">
        <v>6</v>
      </c>
      <c r="F22" s="310">
        <v>4</v>
      </c>
      <c r="G22" s="310">
        <v>7</v>
      </c>
      <c r="H22" s="310">
        <v>3</v>
      </c>
      <c r="I22" s="310">
        <v>8</v>
      </c>
      <c r="J22" s="311">
        <v>7</v>
      </c>
      <c r="K22" s="312">
        <v>5191442.5</v>
      </c>
      <c r="L22" s="346">
        <v>1</v>
      </c>
      <c r="M22" s="314">
        <v>277777</v>
      </c>
      <c r="N22" s="315">
        <v>0</v>
      </c>
      <c r="O22" s="316">
        <v>2</v>
      </c>
      <c r="P22" s="317">
        <v>23</v>
      </c>
      <c r="Q22" s="316">
        <v>238</v>
      </c>
      <c r="R22" s="317">
        <v>2333</v>
      </c>
      <c r="S22" s="316">
        <v>22639</v>
      </c>
      <c r="T22" s="317">
        <v>239441</v>
      </c>
      <c r="V22" s="228"/>
      <c r="X22" s="304"/>
    </row>
    <row r="23" spans="1:24" x14ac:dyDescent="0.15">
      <c r="A23" s="347"/>
      <c r="B23" s="348">
        <v>44254</v>
      </c>
      <c r="C23" s="349" t="s">
        <v>363</v>
      </c>
      <c r="D23" s="336">
        <v>1</v>
      </c>
      <c r="E23" s="336">
        <v>8</v>
      </c>
      <c r="F23" s="336">
        <v>6</v>
      </c>
      <c r="G23" s="336">
        <v>9</v>
      </c>
      <c r="H23" s="336">
        <v>7</v>
      </c>
      <c r="I23" s="336">
        <v>1</v>
      </c>
      <c r="J23" s="327">
        <v>8</v>
      </c>
      <c r="K23" s="350">
        <v>12459597.5</v>
      </c>
      <c r="L23" s="357">
        <v>1</v>
      </c>
      <c r="M23" s="350">
        <v>877777</v>
      </c>
      <c r="N23" s="352">
        <v>0</v>
      </c>
      <c r="O23" s="353">
        <v>7</v>
      </c>
      <c r="P23" s="354">
        <v>41</v>
      </c>
      <c r="Q23" s="353">
        <v>469</v>
      </c>
      <c r="R23" s="354">
        <v>4827</v>
      </c>
      <c r="S23" s="353">
        <v>48192</v>
      </c>
      <c r="T23" s="354">
        <v>491601</v>
      </c>
      <c r="V23" s="228"/>
      <c r="X23" s="304"/>
    </row>
    <row r="24" spans="1:24" x14ac:dyDescent="0.15">
      <c r="A24" s="343">
        <v>9</v>
      </c>
      <c r="B24" s="344">
        <v>44258</v>
      </c>
      <c r="C24" s="345" t="s">
        <v>362</v>
      </c>
      <c r="D24" s="310">
        <v>0</v>
      </c>
      <c r="E24" s="310">
        <v>5</v>
      </c>
      <c r="F24" s="310">
        <v>2</v>
      </c>
      <c r="G24" s="310">
        <v>0</v>
      </c>
      <c r="H24" s="310">
        <v>8</v>
      </c>
      <c r="I24" s="310">
        <v>7</v>
      </c>
      <c r="J24" s="311">
        <v>3</v>
      </c>
      <c r="K24" s="312">
        <v>5095715</v>
      </c>
      <c r="L24" s="346">
        <v>1</v>
      </c>
      <c r="M24" s="314">
        <v>277777</v>
      </c>
      <c r="N24" s="315">
        <v>0</v>
      </c>
      <c r="O24" s="316">
        <v>1</v>
      </c>
      <c r="P24" s="317">
        <v>29</v>
      </c>
      <c r="Q24" s="316">
        <v>194</v>
      </c>
      <c r="R24" s="317">
        <v>1999</v>
      </c>
      <c r="S24" s="316">
        <v>20224</v>
      </c>
      <c r="T24" s="317">
        <v>194190</v>
      </c>
      <c r="V24" s="228"/>
      <c r="X24" s="304"/>
    </row>
    <row r="25" spans="1:24" x14ac:dyDescent="0.15">
      <c r="A25" s="347"/>
      <c r="B25" s="348">
        <v>44261</v>
      </c>
      <c r="C25" s="349" t="s">
        <v>363</v>
      </c>
      <c r="D25" s="336">
        <v>3</v>
      </c>
      <c r="E25" s="336">
        <v>9</v>
      </c>
      <c r="F25" s="336">
        <v>9</v>
      </c>
      <c r="G25" s="336">
        <v>3</v>
      </c>
      <c r="H25" s="336">
        <v>9</v>
      </c>
      <c r="I25" s="336">
        <v>4</v>
      </c>
      <c r="J25" s="327">
        <v>8</v>
      </c>
      <c r="K25" s="350">
        <v>12387287.5</v>
      </c>
      <c r="L25" s="357" t="s">
        <v>23</v>
      </c>
      <c r="M25" s="350" t="s">
        <v>368</v>
      </c>
      <c r="N25" s="352">
        <v>880736.1</v>
      </c>
      <c r="O25" s="353">
        <v>6</v>
      </c>
      <c r="P25" s="354">
        <v>55</v>
      </c>
      <c r="Q25" s="353">
        <v>510</v>
      </c>
      <c r="R25" s="354">
        <v>5406</v>
      </c>
      <c r="S25" s="353">
        <v>50381</v>
      </c>
      <c r="T25" s="354">
        <v>488504</v>
      </c>
      <c r="V25" s="228"/>
      <c r="X25" s="304"/>
    </row>
    <row r="26" spans="1:24" x14ac:dyDescent="0.15">
      <c r="A26" s="343">
        <v>10</v>
      </c>
      <c r="B26" s="344">
        <v>44265</v>
      </c>
      <c r="C26" s="345" t="s">
        <v>362</v>
      </c>
      <c r="D26" s="310">
        <v>3</v>
      </c>
      <c r="E26" s="310">
        <v>2</v>
      </c>
      <c r="F26" s="310">
        <v>9</v>
      </c>
      <c r="G26" s="310">
        <v>6</v>
      </c>
      <c r="H26" s="310">
        <v>6</v>
      </c>
      <c r="I26" s="310">
        <v>7</v>
      </c>
      <c r="J26" s="311">
        <v>3</v>
      </c>
      <c r="K26" s="312">
        <v>5153480</v>
      </c>
      <c r="L26" s="346" t="s">
        <v>23</v>
      </c>
      <c r="M26" s="314" t="s">
        <v>368</v>
      </c>
      <c r="N26" s="315">
        <v>1247148.5</v>
      </c>
      <c r="O26" s="316">
        <v>4</v>
      </c>
      <c r="P26" s="317">
        <v>25</v>
      </c>
      <c r="Q26" s="316">
        <v>214</v>
      </c>
      <c r="R26" s="317">
        <v>2057</v>
      </c>
      <c r="S26" s="316">
        <v>20592</v>
      </c>
      <c r="T26" s="317">
        <v>196911</v>
      </c>
      <c r="V26" s="228"/>
      <c r="X26" s="304"/>
    </row>
    <row r="27" spans="1:24" x14ac:dyDescent="0.15">
      <c r="A27" s="347"/>
      <c r="B27" s="348">
        <v>44268</v>
      </c>
      <c r="C27" s="349" t="s">
        <v>363</v>
      </c>
      <c r="D27" s="336">
        <v>7</v>
      </c>
      <c r="E27" s="336">
        <v>8</v>
      </c>
      <c r="F27" s="336">
        <v>5</v>
      </c>
      <c r="G27" s="336">
        <v>4</v>
      </c>
      <c r="H27" s="336">
        <v>6</v>
      </c>
      <c r="I27" s="336">
        <v>2</v>
      </c>
      <c r="J27" s="327">
        <v>3</v>
      </c>
      <c r="K27" s="350">
        <v>12546760</v>
      </c>
      <c r="L27" s="357">
        <v>1</v>
      </c>
      <c r="M27" s="350">
        <v>2077777</v>
      </c>
      <c r="N27" s="352">
        <v>0</v>
      </c>
      <c r="O27" s="353">
        <v>8</v>
      </c>
      <c r="P27" s="354">
        <v>38</v>
      </c>
      <c r="Q27" s="353">
        <v>501</v>
      </c>
      <c r="R27" s="354">
        <v>4657</v>
      </c>
      <c r="S27" s="353">
        <v>45877</v>
      </c>
      <c r="T27" s="354">
        <v>466906</v>
      </c>
      <c r="V27" s="228"/>
      <c r="X27" s="304"/>
    </row>
    <row r="28" spans="1:24" x14ac:dyDescent="0.15">
      <c r="A28" s="343">
        <v>11</v>
      </c>
      <c r="B28" s="344">
        <v>44272</v>
      </c>
      <c r="C28" s="345" t="s">
        <v>362</v>
      </c>
      <c r="D28" s="310">
        <v>0</v>
      </c>
      <c r="E28" s="310">
        <v>9</v>
      </c>
      <c r="F28" s="310">
        <v>8</v>
      </c>
      <c r="G28" s="310">
        <v>1</v>
      </c>
      <c r="H28" s="310">
        <v>2</v>
      </c>
      <c r="I28" s="310">
        <v>4</v>
      </c>
      <c r="J28" s="311">
        <v>2</v>
      </c>
      <c r="K28" s="312">
        <v>5149770</v>
      </c>
      <c r="L28" s="346" t="s">
        <v>23</v>
      </c>
      <c r="M28" s="314" t="s">
        <v>368</v>
      </c>
      <c r="N28" s="315">
        <v>366148.6</v>
      </c>
      <c r="O28" s="316" t="s">
        <v>17</v>
      </c>
      <c r="P28" s="317">
        <v>16</v>
      </c>
      <c r="Q28" s="316">
        <v>172</v>
      </c>
      <c r="R28" s="317">
        <v>1611</v>
      </c>
      <c r="S28" s="316">
        <v>16179</v>
      </c>
      <c r="T28" s="317">
        <v>161371</v>
      </c>
      <c r="V28" s="228"/>
      <c r="X28" s="304"/>
    </row>
    <row r="29" spans="1:24" x14ac:dyDescent="0.15">
      <c r="A29" s="347"/>
      <c r="B29" s="348">
        <v>44275</v>
      </c>
      <c r="C29" s="349" t="s">
        <v>363</v>
      </c>
      <c r="D29" s="336">
        <v>2</v>
      </c>
      <c r="E29" s="336">
        <v>5</v>
      </c>
      <c r="F29" s="336">
        <v>0</v>
      </c>
      <c r="G29" s="336">
        <v>8</v>
      </c>
      <c r="H29" s="336">
        <v>7</v>
      </c>
      <c r="I29" s="336">
        <v>1</v>
      </c>
      <c r="J29" s="327">
        <v>3</v>
      </c>
      <c r="K29" s="350">
        <v>11983210</v>
      </c>
      <c r="L29" s="357" t="s">
        <v>23</v>
      </c>
      <c r="M29" s="350" t="s">
        <v>368</v>
      </c>
      <c r="N29" s="352">
        <v>1218154.7999999998</v>
      </c>
      <c r="O29" s="353">
        <v>6</v>
      </c>
      <c r="P29" s="354">
        <v>58</v>
      </c>
      <c r="Q29" s="353">
        <v>540</v>
      </c>
      <c r="R29" s="354">
        <v>5215</v>
      </c>
      <c r="S29" s="353">
        <v>50994</v>
      </c>
      <c r="T29" s="354">
        <v>439791</v>
      </c>
      <c r="V29" s="228"/>
      <c r="X29" s="304"/>
    </row>
    <row r="30" spans="1:24" x14ac:dyDescent="0.15">
      <c r="A30" s="343">
        <v>12</v>
      </c>
      <c r="B30" s="344">
        <v>44279</v>
      </c>
      <c r="C30" s="345" t="s">
        <v>362</v>
      </c>
      <c r="D30" s="310">
        <v>4</v>
      </c>
      <c r="E30" s="310">
        <v>8</v>
      </c>
      <c r="F30" s="310">
        <v>4</v>
      </c>
      <c r="G30" s="310">
        <v>6</v>
      </c>
      <c r="H30" s="310">
        <v>6</v>
      </c>
      <c r="I30" s="310">
        <v>2</v>
      </c>
      <c r="J30" s="311">
        <v>6</v>
      </c>
      <c r="K30" s="312">
        <v>5043735</v>
      </c>
      <c r="L30" s="346" t="s">
        <v>23</v>
      </c>
      <c r="M30" s="314" t="s">
        <v>368</v>
      </c>
      <c r="N30" s="315">
        <v>1576764.3999999997</v>
      </c>
      <c r="O30" s="316" t="s">
        <v>17</v>
      </c>
      <c r="P30" s="317">
        <v>19</v>
      </c>
      <c r="Q30" s="316">
        <v>180</v>
      </c>
      <c r="R30" s="317">
        <v>1985</v>
      </c>
      <c r="S30" s="316">
        <v>19255</v>
      </c>
      <c r="T30" s="317">
        <v>186833</v>
      </c>
      <c r="V30" s="228"/>
      <c r="X30" s="304"/>
    </row>
    <row r="31" spans="1:24" x14ac:dyDescent="0.15">
      <c r="A31" s="347"/>
      <c r="B31" s="348">
        <v>44282</v>
      </c>
      <c r="C31" s="349" t="s">
        <v>363</v>
      </c>
      <c r="D31" s="336">
        <v>9</v>
      </c>
      <c r="E31" s="336">
        <v>5</v>
      </c>
      <c r="F31" s="336">
        <v>9</v>
      </c>
      <c r="G31" s="336">
        <v>3</v>
      </c>
      <c r="H31" s="336">
        <v>1</v>
      </c>
      <c r="I31" s="336">
        <v>0</v>
      </c>
      <c r="J31" s="327">
        <v>1</v>
      </c>
      <c r="K31" s="350">
        <v>11951802.5</v>
      </c>
      <c r="L31" s="357" t="s">
        <v>23</v>
      </c>
      <c r="M31" s="350" t="s">
        <v>368</v>
      </c>
      <c r="N31" s="352">
        <v>2426537.5999999992</v>
      </c>
      <c r="O31" s="353">
        <v>4</v>
      </c>
      <c r="P31" s="354">
        <v>28</v>
      </c>
      <c r="Q31" s="353">
        <v>305</v>
      </c>
      <c r="R31" s="354">
        <v>3303</v>
      </c>
      <c r="S31" s="353">
        <v>33083</v>
      </c>
      <c r="T31" s="354">
        <v>367289</v>
      </c>
      <c r="V31" s="228"/>
      <c r="X31" s="304"/>
    </row>
    <row r="32" spans="1:24" x14ac:dyDescent="0.15">
      <c r="A32" s="343">
        <v>13</v>
      </c>
      <c r="B32" s="344">
        <v>44286</v>
      </c>
      <c r="C32" s="345" t="s">
        <v>362</v>
      </c>
      <c r="D32" s="310">
        <v>0</v>
      </c>
      <c r="E32" s="310">
        <v>9</v>
      </c>
      <c r="F32" s="310">
        <v>2</v>
      </c>
      <c r="G32" s="310">
        <v>8</v>
      </c>
      <c r="H32" s="310">
        <v>8</v>
      </c>
      <c r="I32" s="310">
        <v>0</v>
      </c>
      <c r="J32" s="311">
        <v>1</v>
      </c>
      <c r="K32" s="312">
        <v>5003972.5</v>
      </c>
      <c r="L32" s="346" t="s">
        <v>23</v>
      </c>
      <c r="M32" s="314" t="s">
        <v>368</v>
      </c>
      <c r="N32" s="315">
        <v>2782320</v>
      </c>
      <c r="O32" s="316">
        <v>3</v>
      </c>
      <c r="P32" s="317">
        <v>13</v>
      </c>
      <c r="Q32" s="316">
        <v>133</v>
      </c>
      <c r="R32" s="317">
        <v>1343</v>
      </c>
      <c r="S32" s="316">
        <v>14088</v>
      </c>
      <c r="T32" s="317">
        <v>153500</v>
      </c>
      <c r="V32" s="228"/>
      <c r="X32" s="304"/>
    </row>
    <row r="33" spans="1:24" x14ac:dyDescent="0.15">
      <c r="A33" s="347"/>
      <c r="B33" s="348">
        <v>44289</v>
      </c>
      <c r="C33" s="349" t="s">
        <v>363</v>
      </c>
      <c r="D33" s="336">
        <v>4</v>
      </c>
      <c r="E33" s="336">
        <v>8</v>
      </c>
      <c r="F33" s="336">
        <v>2</v>
      </c>
      <c r="G33" s="336">
        <v>4</v>
      </c>
      <c r="H33" s="336">
        <v>8</v>
      </c>
      <c r="I33" s="336">
        <v>9</v>
      </c>
      <c r="J33" s="327">
        <v>7</v>
      </c>
      <c r="K33" s="350">
        <v>12072387.5</v>
      </c>
      <c r="L33" s="357" t="s">
        <v>23</v>
      </c>
      <c r="M33" s="350" t="s">
        <v>368</v>
      </c>
      <c r="N33" s="352">
        <v>3640666.8000000003</v>
      </c>
      <c r="O33" s="353">
        <v>5</v>
      </c>
      <c r="P33" s="354">
        <v>56</v>
      </c>
      <c r="Q33" s="353">
        <v>512</v>
      </c>
      <c r="R33" s="354">
        <v>5266</v>
      </c>
      <c r="S33" s="353">
        <v>50677</v>
      </c>
      <c r="T33" s="354">
        <v>546173</v>
      </c>
      <c r="U33" s="240"/>
      <c r="V33" s="228"/>
      <c r="X33" s="304"/>
    </row>
    <row r="34" spans="1:24" x14ac:dyDescent="0.15">
      <c r="A34" s="343">
        <v>14</v>
      </c>
      <c r="B34" s="344">
        <v>44293</v>
      </c>
      <c r="C34" s="345" t="s">
        <v>362</v>
      </c>
      <c r="D34" s="310">
        <v>1</v>
      </c>
      <c r="E34" s="310">
        <v>1</v>
      </c>
      <c r="F34" s="310">
        <v>5</v>
      </c>
      <c r="G34" s="310">
        <v>4</v>
      </c>
      <c r="H34" s="310">
        <v>0</v>
      </c>
      <c r="I34" s="310">
        <v>4</v>
      </c>
      <c r="J34" s="311">
        <v>5</v>
      </c>
      <c r="K34" s="312">
        <v>4984637.5</v>
      </c>
      <c r="L34" s="346" t="s">
        <v>23</v>
      </c>
      <c r="M34" s="314" t="s">
        <v>368</v>
      </c>
      <c r="N34" s="315">
        <v>3995074.4999999995</v>
      </c>
      <c r="O34" s="316">
        <v>3</v>
      </c>
      <c r="P34" s="317">
        <v>18</v>
      </c>
      <c r="Q34" s="316">
        <v>182</v>
      </c>
      <c r="R34" s="317">
        <v>1907</v>
      </c>
      <c r="S34" s="316">
        <v>21129</v>
      </c>
      <c r="T34" s="317">
        <v>200534</v>
      </c>
      <c r="V34" s="228"/>
      <c r="X34" s="304"/>
    </row>
    <row r="35" spans="1:24" x14ac:dyDescent="0.15">
      <c r="A35" s="347"/>
      <c r="B35" s="348">
        <v>44296</v>
      </c>
      <c r="C35" s="349" t="s">
        <v>363</v>
      </c>
      <c r="D35" s="336">
        <v>2</v>
      </c>
      <c r="E35" s="336">
        <v>3</v>
      </c>
      <c r="F35" s="336">
        <v>1</v>
      </c>
      <c r="G35" s="336">
        <v>8</v>
      </c>
      <c r="H35" s="336">
        <v>2</v>
      </c>
      <c r="I35" s="336">
        <v>4</v>
      </c>
      <c r="J35" s="327">
        <v>3</v>
      </c>
      <c r="K35" s="350">
        <v>12318120</v>
      </c>
      <c r="L35" s="357" t="s">
        <v>23</v>
      </c>
      <c r="M35" s="350" t="s">
        <v>368</v>
      </c>
      <c r="N35" s="352">
        <v>4870892.799999998</v>
      </c>
      <c r="O35" s="353">
        <v>5</v>
      </c>
      <c r="P35" s="354">
        <v>60</v>
      </c>
      <c r="Q35" s="353">
        <v>472</v>
      </c>
      <c r="R35" s="354">
        <v>4648</v>
      </c>
      <c r="S35" s="353">
        <v>45582</v>
      </c>
      <c r="T35" s="354">
        <v>460509</v>
      </c>
      <c r="V35" s="228"/>
      <c r="X35" s="304"/>
    </row>
    <row r="36" spans="1:24" x14ac:dyDescent="0.15">
      <c r="A36" s="343">
        <v>15</v>
      </c>
      <c r="B36" s="344">
        <v>44300</v>
      </c>
      <c r="C36" s="345" t="s">
        <v>362</v>
      </c>
      <c r="D36" s="310">
        <v>0</v>
      </c>
      <c r="E36" s="310">
        <v>1</v>
      </c>
      <c r="F36" s="310">
        <v>0</v>
      </c>
      <c r="G36" s="310">
        <v>8</v>
      </c>
      <c r="H36" s="310">
        <v>8</v>
      </c>
      <c r="I36" s="310">
        <v>4</v>
      </c>
      <c r="J36" s="311">
        <v>7</v>
      </c>
      <c r="K36" s="312">
        <v>5040115</v>
      </c>
      <c r="L36" s="313">
        <v>2</v>
      </c>
      <c r="M36" s="314">
        <v>2577777</v>
      </c>
      <c r="N36" s="315">
        <v>0</v>
      </c>
      <c r="O36" s="316">
        <v>1</v>
      </c>
      <c r="P36" s="317">
        <v>28</v>
      </c>
      <c r="Q36" s="316">
        <v>206</v>
      </c>
      <c r="R36" s="317">
        <v>2452</v>
      </c>
      <c r="S36" s="316">
        <v>23852</v>
      </c>
      <c r="T36" s="317">
        <v>231331</v>
      </c>
      <c r="V36" s="228"/>
      <c r="X36" s="304"/>
    </row>
    <row r="37" spans="1:24" x14ac:dyDescent="0.15">
      <c r="A37" s="347"/>
      <c r="B37" s="348">
        <v>44303</v>
      </c>
      <c r="C37" s="349" t="s">
        <v>363</v>
      </c>
      <c r="D37" s="336">
        <v>4</v>
      </c>
      <c r="E37" s="336">
        <v>0</v>
      </c>
      <c r="F37" s="336">
        <v>7</v>
      </c>
      <c r="G37" s="336">
        <v>0</v>
      </c>
      <c r="H37" s="336">
        <v>2</v>
      </c>
      <c r="I37" s="336">
        <v>2</v>
      </c>
      <c r="J37" s="327">
        <v>9</v>
      </c>
      <c r="K37" s="350">
        <v>11790190</v>
      </c>
      <c r="L37" s="357" t="s">
        <v>23</v>
      </c>
      <c r="M37" s="350" t="s">
        <v>368</v>
      </c>
      <c r="N37" s="352">
        <v>838282.5</v>
      </c>
      <c r="O37" s="353">
        <v>4</v>
      </c>
      <c r="P37" s="354">
        <v>43</v>
      </c>
      <c r="Q37" s="353">
        <v>405</v>
      </c>
      <c r="R37" s="354">
        <v>3887</v>
      </c>
      <c r="S37" s="353">
        <v>42444</v>
      </c>
      <c r="T37" s="354">
        <v>414992</v>
      </c>
      <c r="V37" s="228"/>
      <c r="X37" s="304"/>
    </row>
    <row r="38" spans="1:24" x14ac:dyDescent="0.15">
      <c r="A38" s="343">
        <v>16</v>
      </c>
      <c r="B38" s="344">
        <v>44307</v>
      </c>
      <c r="C38" s="345" t="s">
        <v>362</v>
      </c>
      <c r="D38" s="310">
        <v>4</v>
      </c>
      <c r="E38" s="310">
        <v>2</v>
      </c>
      <c r="F38" s="310">
        <v>8</v>
      </c>
      <c r="G38" s="310">
        <v>0</v>
      </c>
      <c r="H38" s="310">
        <v>0</v>
      </c>
      <c r="I38" s="310">
        <v>7</v>
      </c>
      <c r="J38" s="311">
        <v>9</v>
      </c>
      <c r="K38" s="312">
        <v>5003995</v>
      </c>
      <c r="L38" s="313" t="s">
        <v>23</v>
      </c>
      <c r="M38" s="314" t="s">
        <v>368</v>
      </c>
      <c r="N38" s="315">
        <v>1194066.5000000002</v>
      </c>
      <c r="O38" s="316">
        <v>2</v>
      </c>
      <c r="P38" s="317">
        <v>15</v>
      </c>
      <c r="Q38" s="316">
        <v>126</v>
      </c>
      <c r="R38" s="317">
        <v>1645</v>
      </c>
      <c r="S38" s="316">
        <v>17299</v>
      </c>
      <c r="T38" s="317">
        <v>169336</v>
      </c>
      <c r="V38" s="228"/>
      <c r="X38" s="304"/>
    </row>
    <row r="39" spans="1:24" x14ac:dyDescent="0.15">
      <c r="A39" s="347"/>
      <c r="B39" s="348">
        <v>44310</v>
      </c>
      <c r="C39" s="349" t="s">
        <v>363</v>
      </c>
      <c r="D39" s="336">
        <v>6</v>
      </c>
      <c r="E39" s="336">
        <v>1</v>
      </c>
      <c r="F39" s="336">
        <v>3</v>
      </c>
      <c r="G39" s="336">
        <v>8</v>
      </c>
      <c r="H39" s="336">
        <v>0</v>
      </c>
      <c r="I39" s="336">
        <v>7</v>
      </c>
      <c r="J39" s="327">
        <v>2</v>
      </c>
      <c r="K39" s="350">
        <v>11922782.5</v>
      </c>
      <c r="L39" s="357">
        <v>1</v>
      </c>
      <c r="M39" s="350">
        <v>1977777</v>
      </c>
      <c r="N39" s="352">
        <v>0</v>
      </c>
      <c r="O39" s="353">
        <v>2</v>
      </c>
      <c r="P39" s="354">
        <v>40</v>
      </c>
      <c r="Q39" s="353">
        <v>374</v>
      </c>
      <c r="R39" s="354">
        <v>3641</v>
      </c>
      <c r="S39" s="353">
        <v>39134</v>
      </c>
      <c r="T39" s="354">
        <v>384359</v>
      </c>
      <c r="V39" s="228"/>
      <c r="X39" s="304"/>
    </row>
    <row r="40" spans="1:24" x14ac:dyDescent="0.15">
      <c r="A40" s="343">
        <v>17</v>
      </c>
      <c r="B40" s="344">
        <v>44314</v>
      </c>
      <c r="C40" s="345" t="s">
        <v>362</v>
      </c>
      <c r="D40" s="310">
        <v>8</v>
      </c>
      <c r="E40" s="310">
        <v>8</v>
      </c>
      <c r="F40" s="310">
        <v>7</v>
      </c>
      <c r="G40" s="310">
        <v>5</v>
      </c>
      <c r="H40" s="310">
        <v>9</v>
      </c>
      <c r="I40" s="310">
        <v>0</v>
      </c>
      <c r="J40" s="311">
        <v>4</v>
      </c>
      <c r="K40" s="312">
        <v>5197837.5</v>
      </c>
      <c r="L40" s="346" t="s">
        <v>23</v>
      </c>
      <c r="M40" s="314" t="s">
        <v>368</v>
      </c>
      <c r="N40" s="315">
        <v>369566.2</v>
      </c>
      <c r="O40" s="316" t="s">
        <v>17</v>
      </c>
      <c r="P40" s="317">
        <v>11</v>
      </c>
      <c r="Q40" s="316">
        <v>159</v>
      </c>
      <c r="R40" s="317">
        <v>1848</v>
      </c>
      <c r="S40" s="316">
        <v>16889</v>
      </c>
      <c r="T40" s="317">
        <v>187501</v>
      </c>
      <c r="V40" s="228"/>
      <c r="X40" s="304"/>
    </row>
    <row r="41" spans="1:24" x14ac:dyDescent="0.15">
      <c r="A41" s="347"/>
      <c r="B41" s="348">
        <v>44317</v>
      </c>
      <c r="C41" s="349" t="s">
        <v>363</v>
      </c>
      <c r="D41" s="336">
        <v>0</v>
      </c>
      <c r="E41" s="336">
        <v>4</v>
      </c>
      <c r="F41" s="336">
        <v>3</v>
      </c>
      <c r="G41" s="336">
        <v>2</v>
      </c>
      <c r="H41" s="336">
        <v>4</v>
      </c>
      <c r="I41" s="336">
        <v>1</v>
      </c>
      <c r="J41" s="327">
        <v>7</v>
      </c>
      <c r="K41" s="350">
        <v>11985885</v>
      </c>
      <c r="L41" s="357" t="s">
        <v>23</v>
      </c>
      <c r="M41" s="350" t="s">
        <v>368</v>
      </c>
      <c r="N41" s="352">
        <v>1221762.6000000003</v>
      </c>
      <c r="O41" s="353">
        <v>3</v>
      </c>
      <c r="P41" s="354">
        <v>54</v>
      </c>
      <c r="Q41" s="353">
        <v>541</v>
      </c>
      <c r="R41" s="354">
        <v>5450</v>
      </c>
      <c r="S41" s="353">
        <v>53972</v>
      </c>
      <c r="T41" s="354">
        <v>545611</v>
      </c>
      <c r="V41" s="228"/>
      <c r="X41" s="304"/>
    </row>
    <row r="42" spans="1:24" x14ac:dyDescent="0.15">
      <c r="A42" s="343">
        <v>18</v>
      </c>
      <c r="B42" s="344">
        <v>44321</v>
      </c>
      <c r="C42" s="345" t="s">
        <v>362</v>
      </c>
      <c r="D42" s="310">
        <v>7</v>
      </c>
      <c r="E42" s="310">
        <v>9</v>
      </c>
      <c r="F42" s="310">
        <v>9</v>
      </c>
      <c r="G42" s="310">
        <v>9</v>
      </c>
      <c r="H42" s="310">
        <v>8</v>
      </c>
      <c r="I42" s="310">
        <v>1</v>
      </c>
      <c r="J42" s="311">
        <v>1</v>
      </c>
      <c r="K42" s="312">
        <v>4946875</v>
      </c>
      <c r="L42" s="313">
        <v>1</v>
      </c>
      <c r="M42" s="314">
        <v>1477777</v>
      </c>
      <c r="N42" s="315">
        <v>0</v>
      </c>
      <c r="O42" s="316">
        <v>2</v>
      </c>
      <c r="P42" s="317">
        <v>14</v>
      </c>
      <c r="Q42" s="316">
        <v>150</v>
      </c>
      <c r="R42" s="317">
        <v>1528</v>
      </c>
      <c r="S42" s="316">
        <v>15810</v>
      </c>
      <c r="T42" s="317">
        <v>148007</v>
      </c>
      <c r="V42" s="228"/>
      <c r="X42" s="304"/>
    </row>
    <row r="43" spans="1:24" x14ac:dyDescent="0.15">
      <c r="A43" s="347"/>
      <c r="B43" s="348">
        <v>44324</v>
      </c>
      <c r="C43" s="349" t="s">
        <v>363</v>
      </c>
      <c r="D43" s="336">
        <v>7</v>
      </c>
      <c r="E43" s="336">
        <v>9</v>
      </c>
      <c r="F43" s="336">
        <v>1</v>
      </c>
      <c r="G43" s="336">
        <v>9</v>
      </c>
      <c r="H43" s="336">
        <v>8</v>
      </c>
      <c r="I43" s="336">
        <v>9</v>
      </c>
      <c r="J43" s="327">
        <v>9</v>
      </c>
      <c r="K43" s="350">
        <v>12120902.5</v>
      </c>
      <c r="L43" s="351">
        <v>1</v>
      </c>
      <c r="M43" s="350">
        <v>777777</v>
      </c>
      <c r="N43" s="352">
        <v>0</v>
      </c>
      <c r="O43" s="353">
        <v>9</v>
      </c>
      <c r="P43" s="354">
        <v>52</v>
      </c>
      <c r="Q43" s="353">
        <v>498</v>
      </c>
      <c r="R43" s="354">
        <v>4269</v>
      </c>
      <c r="S43" s="353">
        <v>42924</v>
      </c>
      <c r="T43" s="354">
        <v>428915</v>
      </c>
      <c r="V43" s="228"/>
      <c r="X43" s="304"/>
    </row>
    <row r="44" spans="1:24" x14ac:dyDescent="0.15">
      <c r="A44" s="343">
        <v>19</v>
      </c>
      <c r="B44" s="344">
        <v>44328</v>
      </c>
      <c r="C44" s="345" t="s">
        <v>362</v>
      </c>
      <c r="D44" s="310">
        <v>1</v>
      </c>
      <c r="E44" s="310">
        <v>9</v>
      </c>
      <c r="F44" s="310">
        <v>1</v>
      </c>
      <c r="G44" s="310">
        <v>3</v>
      </c>
      <c r="H44" s="310">
        <v>7</v>
      </c>
      <c r="I44" s="310">
        <v>2</v>
      </c>
      <c r="J44" s="311">
        <v>3</v>
      </c>
      <c r="K44" s="312">
        <v>5150830</v>
      </c>
      <c r="L44" s="313" t="s">
        <v>23</v>
      </c>
      <c r="M44" s="314" t="s">
        <v>368</v>
      </c>
      <c r="N44" s="315">
        <v>366224</v>
      </c>
      <c r="O44" s="316">
        <v>3</v>
      </c>
      <c r="P44" s="317">
        <v>17</v>
      </c>
      <c r="Q44" s="316">
        <v>197</v>
      </c>
      <c r="R44" s="317">
        <v>1978</v>
      </c>
      <c r="S44" s="316">
        <v>19512</v>
      </c>
      <c r="T44" s="317">
        <v>200644</v>
      </c>
      <c r="V44" s="228"/>
      <c r="X44" s="304"/>
    </row>
    <row r="45" spans="1:24" x14ac:dyDescent="0.15">
      <c r="A45" s="347"/>
      <c r="B45" s="348">
        <v>44331</v>
      </c>
      <c r="C45" s="349" t="s">
        <v>363</v>
      </c>
      <c r="D45" s="336">
        <v>0</v>
      </c>
      <c r="E45" s="336">
        <v>2</v>
      </c>
      <c r="F45" s="336">
        <v>9</v>
      </c>
      <c r="G45" s="336">
        <v>8</v>
      </c>
      <c r="H45" s="336">
        <v>4</v>
      </c>
      <c r="I45" s="336">
        <v>3</v>
      </c>
      <c r="J45" s="327">
        <v>8</v>
      </c>
      <c r="K45" s="350">
        <v>12234570</v>
      </c>
      <c r="L45" s="351" t="s">
        <v>23</v>
      </c>
      <c r="M45" s="350" t="s">
        <v>368</v>
      </c>
      <c r="N45" s="358">
        <v>1236101.9000000004</v>
      </c>
      <c r="O45" s="353">
        <v>4</v>
      </c>
      <c r="P45" s="354">
        <v>46</v>
      </c>
      <c r="Q45" s="353">
        <v>451</v>
      </c>
      <c r="R45" s="354">
        <v>4745</v>
      </c>
      <c r="S45" s="353">
        <v>47124</v>
      </c>
      <c r="T45" s="354">
        <v>480411</v>
      </c>
      <c r="V45" s="228"/>
      <c r="X45" s="304"/>
    </row>
    <row r="46" spans="1:24" x14ac:dyDescent="0.15">
      <c r="A46" s="343">
        <v>20</v>
      </c>
      <c r="B46" s="344">
        <v>44335</v>
      </c>
      <c r="C46" s="345" t="s">
        <v>362</v>
      </c>
      <c r="D46" s="310">
        <v>4</v>
      </c>
      <c r="E46" s="310">
        <v>5</v>
      </c>
      <c r="F46" s="310">
        <v>6</v>
      </c>
      <c r="G46" s="310">
        <v>8</v>
      </c>
      <c r="H46" s="310">
        <v>9</v>
      </c>
      <c r="I46" s="310">
        <v>7</v>
      </c>
      <c r="J46" s="311">
        <v>2</v>
      </c>
      <c r="K46" s="312">
        <v>5214195</v>
      </c>
      <c r="L46" s="313" t="s">
        <v>23</v>
      </c>
      <c r="M46" s="312" t="s">
        <v>368</v>
      </c>
      <c r="N46" s="315">
        <v>1606831.2</v>
      </c>
      <c r="O46" s="316">
        <v>2</v>
      </c>
      <c r="P46" s="317">
        <v>14</v>
      </c>
      <c r="Q46" s="316">
        <v>157</v>
      </c>
      <c r="R46" s="317">
        <v>1809</v>
      </c>
      <c r="S46" s="316">
        <v>16427</v>
      </c>
      <c r="T46" s="317">
        <v>160535</v>
      </c>
      <c r="V46" s="228"/>
      <c r="X46" s="304"/>
    </row>
    <row r="47" spans="1:24" x14ac:dyDescent="0.15">
      <c r="A47" s="347"/>
      <c r="B47" s="348">
        <v>44338</v>
      </c>
      <c r="C47" s="349" t="s">
        <v>363</v>
      </c>
      <c r="D47" s="336">
        <v>9</v>
      </c>
      <c r="E47" s="336">
        <v>7</v>
      </c>
      <c r="F47" s="336">
        <v>8</v>
      </c>
      <c r="G47" s="336">
        <v>6</v>
      </c>
      <c r="H47" s="336">
        <v>8</v>
      </c>
      <c r="I47" s="336">
        <v>7</v>
      </c>
      <c r="J47" s="327">
        <v>3</v>
      </c>
      <c r="K47" s="350">
        <v>12759622.5</v>
      </c>
      <c r="L47" s="357" t="s">
        <v>23</v>
      </c>
      <c r="M47" s="359" t="s">
        <v>368</v>
      </c>
      <c r="N47" s="352">
        <v>2514040.4</v>
      </c>
      <c r="O47" s="353">
        <v>2</v>
      </c>
      <c r="P47" s="354">
        <v>49</v>
      </c>
      <c r="Q47" s="353">
        <v>501</v>
      </c>
      <c r="R47" s="354">
        <v>4898</v>
      </c>
      <c r="S47" s="353">
        <v>48772</v>
      </c>
      <c r="T47" s="354">
        <v>477545</v>
      </c>
      <c r="V47" s="228"/>
      <c r="X47" s="304"/>
    </row>
    <row r="48" spans="1:24" x14ac:dyDescent="0.15">
      <c r="A48" s="343">
        <v>21</v>
      </c>
      <c r="B48" s="344">
        <v>44342</v>
      </c>
      <c r="C48" s="345" t="s">
        <v>362</v>
      </c>
      <c r="D48" s="355">
        <v>9</v>
      </c>
      <c r="E48" s="310">
        <v>2</v>
      </c>
      <c r="F48" s="310">
        <v>1</v>
      </c>
      <c r="G48" s="310">
        <v>9</v>
      </c>
      <c r="H48" s="310">
        <v>6</v>
      </c>
      <c r="I48" s="310">
        <v>8</v>
      </c>
      <c r="J48" s="311">
        <v>8</v>
      </c>
      <c r="K48" s="312">
        <v>5310737.5</v>
      </c>
      <c r="L48" s="313">
        <v>1</v>
      </c>
      <c r="M48" s="314">
        <v>2877777</v>
      </c>
      <c r="N48" s="358">
        <v>0</v>
      </c>
      <c r="O48" s="316">
        <v>2</v>
      </c>
      <c r="P48" s="317">
        <v>23</v>
      </c>
      <c r="Q48" s="316">
        <v>207</v>
      </c>
      <c r="R48" s="317">
        <v>2108</v>
      </c>
      <c r="S48" s="316">
        <v>23045</v>
      </c>
      <c r="T48" s="317">
        <v>197181</v>
      </c>
      <c r="V48" s="228"/>
      <c r="X48" s="304"/>
    </row>
    <row r="49" spans="1:24" x14ac:dyDescent="0.15">
      <c r="A49" s="347"/>
      <c r="B49" s="348">
        <v>44345</v>
      </c>
      <c r="C49" s="349" t="s">
        <v>363</v>
      </c>
      <c r="D49" s="356">
        <v>5</v>
      </c>
      <c r="E49" s="356">
        <v>5</v>
      </c>
      <c r="F49" s="356">
        <v>6</v>
      </c>
      <c r="G49" s="356">
        <v>7</v>
      </c>
      <c r="H49" s="356">
        <v>1</v>
      </c>
      <c r="I49" s="356">
        <v>4</v>
      </c>
      <c r="J49" s="327">
        <v>8</v>
      </c>
      <c r="K49" s="350">
        <v>13101647.5</v>
      </c>
      <c r="L49" s="351" t="s">
        <v>23</v>
      </c>
      <c r="M49" s="350" t="s">
        <v>368</v>
      </c>
      <c r="N49" s="352">
        <v>931527.1</v>
      </c>
      <c r="O49" s="353">
        <v>4</v>
      </c>
      <c r="P49" s="354">
        <v>48</v>
      </c>
      <c r="Q49" s="353">
        <v>511</v>
      </c>
      <c r="R49" s="354">
        <v>5295</v>
      </c>
      <c r="S49" s="353">
        <v>53490</v>
      </c>
      <c r="T49" s="354">
        <v>510215</v>
      </c>
      <c r="V49" s="228"/>
      <c r="X49" s="304"/>
    </row>
    <row r="50" spans="1:24" x14ac:dyDescent="0.15">
      <c r="A50" s="343">
        <v>22</v>
      </c>
      <c r="B50" s="344">
        <v>44349</v>
      </c>
      <c r="C50" s="345" t="s">
        <v>362</v>
      </c>
      <c r="D50" s="310">
        <v>9</v>
      </c>
      <c r="E50" s="310">
        <v>1</v>
      </c>
      <c r="F50" s="310">
        <v>6</v>
      </c>
      <c r="G50" s="310">
        <v>7</v>
      </c>
      <c r="H50" s="310">
        <v>4</v>
      </c>
      <c r="I50" s="310">
        <v>8</v>
      </c>
      <c r="J50" s="311">
        <v>2</v>
      </c>
      <c r="K50" s="312">
        <v>5812000</v>
      </c>
      <c r="L50" s="313">
        <v>1</v>
      </c>
      <c r="M50" s="314">
        <v>1277777</v>
      </c>
      <c r="N50" s="315">
        <v>0</v>
      </c>
      <c r="O50" s="316">
        <v>2</v>
      </c>
      <c r="P50" s="317">
        <v>17</v>
      </c>
      <c r="Q50" s="316">
        <v>154</v>
      </c>
      <c r="R50" s="317">
        <v>1665</v>
      </c>
      <c r="S50" s="316">
        <v>17634</v>
      </c>
      <c r="T50" s="317">
        <v>182546</v>
      </c>
      <c r="V50" s="228"/>
      <c r="X50" s="304"/>
    </row>
    <row r="51" spans="1:24" x14ac:dyDescent="0.15">
      <c r="A51" s="347"/>
      <c r="B51" s="348">
        <v>44352</v>
      </c>
      <c r="C51" s="349" t="s">
        <v>363</v>
      </c>
      <c r="D51" s="336">
        <v>0</v>
      </c>
      <c r="E51" s="336">
        <v>9</v>
      </c>
      <c r="F51" s="336">
        <v>0</v>
      </c>
      <c r="G51" s="336">
        <v>6</v>
      </c>
      <c r="H51" s="336">
        <v>7</v>
      </c>
      <c r="I51" s="336">
        <v>9</v>
      </c>
      <c r="J51" s="327">
        <v>7</v>
      </c>
      <c r="K51" s="350">
        <v>12484915</v>
      </c>
      <c r="L51" s="351" t="s">
        <v>23</v>
      </c>
      <c r="M51" s="350" t="s">
        <v>368</v>
      </c>
      <c r="N51" s="352">
        <v>887677.5</v>
      </c>
      <c r="O51" s="353">
        <v>8</v>
      </c>
      <c r="P51" s="354">
        <v>62</v>
      </c>
      <c r="Q51" s="353">
        <v>546</v>
      </c>
      <c r="R51" s="354">
        <v>5482</v>
      </c>
      <c r="S51" s="353">
        <v>53208</v>
      </c>
      <c r="T51" s="354">
        <v>567578</v>
      </c>
      <c r="V51" s="228"/>
      <c r="X51" s="304"/>
    </row>
    <row r="52" spans="1:24" x14ac:dyDescent="0.15">
      <c r="A52" s="343">
        <v>23</v>
      </c>
      <c r="B52" s="344">
        <v>44356</v>
      </c>
      <c r="C52" s="345" t="s">
        <v>362</v>
      </c>
      <c r="D52" s="310">
        <v>8</v>
      </c>
      <c r="E52" s="310">
        <v>7</v>
      </c>
      <c r="F52" s="310">
        <v>5</v>
      </c>
      <c r="G52" s="310">
        <v>9</v>
      </c>
      <c r="H52" s="310">
        <v>8</v>
      </c>
      <c r="I52" s="310">
        <v>8</v>
      </c>
      <c r="J52" s="311">
        <v>1</v>
      </c>
      <c r="K52" s="312">
        <v>5847480</v>
      </c>
      <c r="L52" s="313" t="s">
        <v>23</v>
      </c>
      <c r="M52" s="314" t="s">
        <v>368</v>
      </c>
      <c r="N52" s="315">
        <v>1303433.3</v>
      </c>
      <c r="O52" s="316">
        <v>1</v>
      </c>
      <c r="P52" s="317">
        <v>26</v>
      </c>
      <c r="Q52" s="316">
        <v>168</v>
      </c>
      <c r="R52" s="317">
        <v>1795</v>
      </c>
      <c r="S52" s="316">
        <v>17527</v>
      </c>
      <c r="T52" s="317">
        <v>178510</v>
      </c>
      <c r="V52" s="228"/>
      <c r="X52" s="304"/>
    </row>
    <row r="53" spans="1:24" x14ac:dyDescent="0.15">
      <c r="A53" s="347"/>
      <c r="B53" s="348">
        <v>44359</v>
      </c>
      <c r="C53" s="349" t="s">
        <v>363</v>
      </c>
      <c r="D53" s="336">
        <v>6</v>
      </c>
      <c r="E53" s="336">
        <v>7</v>
      </c>
      <c r="F53" s="336">
        <v>4</v>
      </c>
      <c r="G53" s="336">
        <v>6</v>
      </c>
      <c r="H53" s="336">
        <v>1</v>
      </c>
      <c r="I53" s="336">
        <v>7</v>
      </c>
      <c r="J53" s="327">
        <v>9</v>
      </c>
      <c r="K53" s="350">
        <v>11608660</v>
      </c>
      <c r="L53" s="351">
        <v>1</v>
      </c>
      <c r="M53" s="350">
        <v>2077777</v>
      </c>
      <c r="N53" s="352">
        <v>0</v>
      </c>
      <c r="O53" s="353">
        <v>4</v>
      </c>
      <c r="P53" s="354">
        <v>44</v>
      </c>
      <c r="Q53" s="353">
        <v>417</v>
      </c>
      <c r="R53" s="354">
        <v>4462</v>
      </c>
      <c r="S53" s="353">
        <v>41941</v>
      </c>
      <c r="T53" s="354">
        <v>410046</v>
      </c>
      <c r="V53" s="228"/>
      <c r="X53" s="304"/>
    </row>
    <row r="54" spans="1:24" x14ac:dyDescent="0.15">
      <c r="A54" s="343">
        <v>24</v>
      </c>
      <c r="B54" s="344">
        <v>44363</v>
      </c>
      <c r="C54" s="345" t="s">
        <v>362</v>
      </c>
      <c r="D54" s="310">
        <v>8</v>
      </c>
      <c r="E54" s="310">
        <v>9</v>
      </c>
      <c r="F54" s="310">
        <v>9</v>
      </c>
      <c r="G54" s="310">
        <v>2</v>
      </c>
      <c r="H54" s="310">
        <v>2</v>
      </c>
      <c r="I54" s="310">
        <v>1</v>
      </c>
      <c r="J54" s="311">
        <v>8</v>
      </c>
      <c r="K54" s="312">
        <v>4906820</v>
      </c>
      <c r="L54" s="346" t="s">
        <v>23</v>
      </c>
      <c r="M54" s="314" t="s">
        <v>368</v>
      </c>
      <c r="N54" s="315">
        <v>348874.9</v>
      </c>
      <c r="O54" s="316" t="s">
        <v>17</v>
      </c>
      <c r="P54" s="317">
        <v>15</v>
      </c>
      <c r="Q54" s="316">
        <v>181</v>
      </c>
      <c r="R54" s="317">
        <v>1900</v>
      </c>
      <c r="S54" s="316">
        <v>18384</v>
      </c>
      <c r="T54" s="317">
        <v>187531</v>
      </c>
      <c r="V54" s="228"/>
      <c r="X54" s="304"/>
    </row>
    <row r="55" spans="1:24" x14ac:dyDescent="0.15">
      <c r="A55" s="347"/>
      <c r="B55" s="348">
        <v>44366</v>
      </c>
      <c r="C55" s="349" t="s">
        <v>363</v>
      </c>
      <c r="D55" s="336">
        <v>5</v>
      </c>
      <c r="E55" s="336">
        <v>3</v>
      </c>
      <c r="F55" s="336">
        <v>5</v>
      </c>
      <c r="G55" s="336">
        <v>2</v>
      </c>
      <c r="H55" s="336">
        <v>1</v>
      </c>
      <c r="I55" s="336">
        <v>6</v>
      </c>
      <c r="J55" s="327">
        <v>9</v>
      </c>
      <c r="K55" s="350">
        <v>11416957.5</v>
      </c>
      <c r="L55" s="357">
        <v>1</v>
      </c>
      <c r="M55" s="350">
        <v>1077777</v>
      </c>
      <c r="N55" s="352">
        <v>0</v>
      </c>
      <c r="O55" s="353">
        <v>4</v>
      </c>
      <c r="P55" s="354">
        <v>38</v>
      </c>
      <c r="Q55" s="353">
        <v>464</v>
      </c>
      <c r="R55" s="354">
        <v>4401</v>
      </c>
      <c r="S55" s="353">
        <v>44168</v>
      </c>
      <c r="T55" s="354">
        <v>402823</v>
      </c>
      <c r="V55" s="228"/>
      <c r="X55" s="304"/>
    </row>
    <row r="56" spans="1:24" x14ac:dyDescent="0.15">
      <c r="A56" s="343">
        <v>25</v>
      </c>
      <c r="B56" s="344">
        <v>44370</v>
      </c>
      <c r="C56" s="345" t="s">
        <v>362</v>
      </c>
      <c r="D56" s="310">
        <v>1</v>
      </c>
      <c r="E56" s="310">
        <v>6</v>
      </c>
      <c r="F56" s="310">
        <v>1</v>
      </c>
      <c r="G56" s="310">
        <v>9</v>
      </c>
      <c r="H56" s="310">
        <v>0</v>
      </c>
      <c r="I56" s="310">
        <v>7</v>
      </c>
      <c r="J56" s="311">
        <v>7</v>
      </c>
      <c r="K56" s="312">
        <v>5017822.5</v>
      </c>
      <c r="L56" s="313">
        <v>1</v>
      </c>
      <c r="M56" s="314">
        <v>277777</v>
      </c>
      <c r="N56" s="315">
        <v>0</v>
      </c>
      <c r="O56" s="316">
        <v>2</v>
      </c>
      <c r="P56" s="317">
        <v>20</v>
      </c>
      <c r="Q56" s="316">
        <v>249</v>
      </c>
      <c r="R56" s="317">
        <v>2629</v>
      </c>
      <c r="S56" s="316">
        <v>30978</v>
      </c>
      <c r="T56" s="317">
        <v>225837</v>
      </c>
      <c r="U56" s="240"/>
      <c r="V56" s="275"/>
      <c r="X56" s="304"/>
    </row>
    <row r="57" spans="1:24" x14ac:dyDescent="0.15">
      <c r="A57" s="347"/>
      <c r="B57" s="348">
        <v>44373</v>
      </c>
      <c r="C57" s="349" t="s">
        <v>363</v>
      </c>
      <c r="D57" s="336">
        <v>6</v>
      </c>
      <c r="E57" s="336">
        <v>2</v>
      </c>
      <c r="F57" s="336">
        <v>8</v>
      </c>
      <c r="G57" s="336">
        <v>4</v>
      </c>
      <c r="H57" s="336">
        <v>4</v>
      </c>
      <c r="I57" s="336">
        <v>5</v>
      </c>
      <c r="J57" s="327">
        <v>3</v>
      </c>
      <c r="K57" s="350">
        <v>11700240</v>
      </c>
      <c r="L57" s="357" t="s">
        <v>23</v>
      </c>
      <c r="M57" s="350" t="s">
        <v>368</v>
      </c>
      <c r="N57" s="352">
        <v>831887.1</v>
      </c>
      <c r="O57" s="353">
        <v>5</v>
      </c>
      <c r="P57" s="354">
        <v>41</v>
      </c>
      <c r="Q57" s="353">
        <v>457</v>
      </c>
      <c r="R57" s="354">
        <v>4553</v>
      </c>
      <c r="S57" s="353">
        <v>44957</v>
      </c>
      <c r="T57" s="354">
        <v>436896</v>
      </c>
      <c r="V57" s="228"/>
      <c r="X57" s="304"/>
    </row>
    <row r="58" spans="1:24" x14ac:dyDescent="0.15">
      <c r="A58" s="343">
        <v>26</v>
      </c>
      <c r="B58" s="344">
        <v>44377</v>
      </c>
      <c r="C58" s="345" t="s">
        <v>362</v>
      </c>
      <c r="D58" s="310">
        <v>0</v>
      </c>
      <c r="E58" s="310">
        <v>8</v>
      </c>
      <c r="F58" s="310">
        <v>6</v>
      </c>
      <c r="G58" s="310">
        <v>5</v>
      </c>
      <c r="H58" s="310">
        <v>8</v>
      </c>
      <c r="I58" s="310">
        <v>6</v>
      </c>
      <c r="J58" s="311">
        <v>8</v>
      </c>
      <c r="K58" s="312">
        <v>5214875</v>
      </c>
      <c r="L58" s="346" t="s">
        <v>23</v>
      </c>
      <c r="M58" s="314" t="s">
        <v>368</v>
      </c>
      <c r="N58" s="315">
        <v>1202664.6999999997</v>
      </c>
      <c r="O58" s="316">
        <v>3</v>
      </c>
      <c r="P58" s="317">
        <v>19</v>
      </c>
      <c r="Q58" s="316">
        <v>214</v>
      </c>
      <c r="R58" s="317">
        <v>2195</v>
      </c>
      <c r="S58" s="316">
        <v>21284</v>
      </c>
      <c r="T58" s="317">
        <v>197951</v>
      </c>
      <c r="V58" s="228"/>
      <c r="X58" s="304"/>
    </row>
    <row r="59" spans="1:24" x14ac:dyDescent="0.15">
      <c r="A59" s="347"/>
      <c r="B59" s="348">
        <v>44380</v>
      </c>
      <c r="C59" s="349" t="s">
        <v>363</v>
      </c>
      <c r="D59" s="360">
        <v>1</v>
      </c>
      <c r="E59" s="360">
        <v>5</v>
      </c>
      <c r="F59" s="360">
        <v>1</v>
      </c>
      <c r="G59" s="360">
        <v>5</v>
      </c>
      <c r="H59" s="360">
        <v>6</v>
      </c>
      <c r="I59" s="360">
        <v>3</v>
      </c>
      <c r="J59" s="338">
        <v>2</v>
      </c>
      <c r="K59" s="350">
        <v>11990950</v>
      </c>
      <c r="L59" s="357">
        <v>1</v>
      </c>
      <c r="M59" s="350">
        <v>1977777</v>
      </c>
      <c r="N59" s="352">
        <v>0</v>
      </c>
      <c r="O59" s="353">
        <v>3</v>
      </c>
      <c r="P59" s="354">
        <v>44</v>
      </c>
      <c r="Q59" s="353">
        <v>393</v>
      </c>
      <c r="R59" s="354">
        <v>4082</v>
      </c>
      <c r="S59" s="353">
        <v>38522</v>
      </c>
      <c r="T59" s="354">
        <v>385243</v>
      </c>
      <c r="V59" s="228"/>
      <c r="X59" s="304"/>
    </row>
    <row r="60" spans="1:24" x14ac:dyDescent="0.15">
      <c r="A60" s="45"/>
      <c r="B60" s="46"/>
      <c r="C60" s="46"/>
      <c r="D60" s="309"/>
      <c r="E60" s="309"/>
      <c r="F60" s="309"/>
      <c r="G60" s="309"/>
      <c r="H60" s="309"/>
      <c r="I60" s="309" t="s">
        <v>24</v>
      </c>
      <c r="J60" s="309"/>
      <c r="K60" s="277"/>
      <c r="L60" s="278">
        <f>SUM(L8:L59)</f>
        <v>16</v>
      </c>
      <c r="M60" s="229"/>
      <c r="N60" s="278"/>
      <c r="O60" s="278">
        <f t="shared" ref="O60:T60" si="0">SUM(O8:O59)</f>
        <v>179</v>
      </c>
      <c r="P60" s="278">
        <f t="shared" si="0"/>
        <v>1699</v>
      </c>
      <c r="Q60" s="278">
        <f t="shared" si="0"/>
        <v>16725</v>
      </c>
      <c r="R60" s="278">
        <f t="shared" si="0"/>
        <v>169858</v>
      </c>
      <c r="S60" s="278">
        <f t="shared" si="0"/>
        <v>1670305</v>
      </c>
      <c r="T60" s="278">
        <f t="shared" si="0"/>
        <v>16456040</v>
      </c>
      <c r="V60" s="228"/>
      <c r="X60" s="304"/>
    </row>
    <row r="63" spans="1:24" x14ac:dyDescent="0.15">
      <c r="K63" s="254"/>
    </row>
    <row r="64" spans="1:24" ht="12.75" x14ac:dyDescent="0.2">
      <c r="A64" s="1" t="s">
        <v>364</v>
      </c>
      <c r="T64" s="3" t="s">
        <v>453</v>
      </c>
    </row>
    <row r="65" spans="1:24" ht="11.1" customHeight="1" x14ac:dyDescent="0.15">
      <c r="A65" s="6" t="s">
        <v>2</v>
      </c>
    </row>
    <row r="66" spans="1:24" ht="11.1" customHeight="1" x14ac:dyDescent="0.15">
      <c r="A66" s="7"/>
      <c r="B66" s="8"/>
      <c r="C66" s="177"/>
      <c r="D66" s="299"/>
      <c r="E66" s="299"/>
      <c r="F66" s="299"/>
      <c r="G66" s="299"/>
      <c r="H66" s="299"/>
      <c r="I66" s="299"/>
      <c r="J66" s="300"/>
      <c r="K66" s="8"/>
      <c r="L66" s="9"/>
      <c r="M66" s="12"/>
      <c r="N66" s="10"/>
      <c r="O66" s="8"/>
      <c r="P66" s="10"/>
      <c r="Q66" s="8"/>
      <c r="R66" s="10"/>
      <c r="S66" s="8"/>
      <c r="T66" s="10"/>
    </row>
    <row r="67" spans="1:24" ht="11.1" customHeight="1" x14ac:dyDescent="0.15">
      <c r="A67" s="13"/>
      <c r="B67" s="367"/>
      <c r="C67" s="125"/>
      <c r="D67" s="301" t="s">
        <v>4</v>
      </c>
      <c r="E67" s="302"/>
      <c r="F67" s="302"/>
      <c r="G67" s="302"/>
      <c r="H67" s="302"/>
      <c r="I67" s="302"/>
      <c r="J67" s="290" t="s">
        <v>5</v>
      </c>
      <c r="K67" s="209" t="s">
        <v>6</v>
      </c>
      <c r="L67" s="6" t="s">
        <v>7</v>
      </c>
      <c r="M67" s="18"/>
      <c r="N67" s="13" t="s">
        <v>21</v>
      </c>
      <c r="O67" s="367" t="s">
        <v>8</v>
      </c>
      <c r="P67" s="13" t="s">
        <v>9</v>
      </c>
      <c r="Q67" s="367" t="s">
        <v>10</v>
      </c>
      <c r="R67" s="13" t="s">
        <v>11</v>
      </c>
      <c r="S67" s="367" t="s">
        <v>12</v>
      </c>
      <c r="T67" s="13" t="s">
        <v>49</v>
      </c>
    </row>
    <row r="68" spans="1:24" ht="11.1" customHeight="1" x14ac:dyDescent="0.15">
      <c r="A68" s="13" t="s">
        <v>428</v>
      </c>
      <c r="B68" s="367">
        <v>2021</v>
      </c>
      <c r="C68" s="220" t="s">
        <v>361</v>
      </c>
      <c r="D68" s="289"/>
      <c r="E68" s="289"/>
      <c r="F68" s="289"/>
      <c r="G68" s="289"/>
      <c r="H68" s="289"/>
      <c r="I68" s="289"/>
      <c r="J68" s="290" t="s">
        <v>13</v>
      </c>
      <c r="K68" s="367"/>
      <c r="L68" s="6" t="s">
        <v>371</v>
      </c>
      <c r="M68" s="18"/>
      <c r="N68" s="13" t="s">
        <v>367</v>
      </c>
      <c r="O68" s="239">
        <v>77777</v>
      </c>
      <c r="P68" s="239">
        <v>7777</v>
      </c>
      <c r="Q68" s="239">
        <v>777</v>
      </c>
      <c r="R68" s="239">
        <v>77</v>
      </c>
      <c r="S68" s="239">
        <v>17</v>
      </c>
      <c r="T68" s="239">
        <v>5</v>
      </c>
    </row>
    <row r="69" spans="1:24" ht="11.1" customHeight="1" x14ac:dyDescent="0.15">
      <c r="A69" s="39"/>
      <c r="B69" s="21"/>
      <c r="C69" s="220"/>
      <c r="D69" s="289"/>
      <c r="E69" s="289"/>
      <c r="F69" s="289"/>
      <c r="G69" s="289"/>
      <c r="H69" s="289"/>
      <c r="I69" s="289"/>
      <c r="J69" s="303"/>
      <c r="K69" s="13" t="s">
        <v>367</v>
      </c>
      <c r="L69" s="221" t="s">
        <v>15</v>
      </c>
      <c r="M69" s="367" t="s">
        <v>367</v>
      </c>
      <c r="N69" s="13"/>
      <c r="O69" s="24" t="s">
        <v>15</v>
      </c>
      <c r="P69" s="13" t="s">
        <v>15</v>
      </c>
      <c r="Q69" s="24" t="s">
        <v>15</v>
      </c>
      <c r="R69" s="13" t="s">
        <v>15</v>
      </c>
      <c r="S69" s="24" t="s">
        <v>15</v>
      </c>
      <c r="T69" s="13" t="s">
        <v>15</v>
      </c>
      <c r="V69" s="90"/>
    </row>
    <row r="70" spans="1:24" x14ac:dyDescent="0.15">
      <c r="A70" s="172">
        <v>27</v>
      </c>
      <c r="B70" s="173">
        <v>44384</v>
      </c>
      <c r="C70" s="174" t="s">
        <v>362</v>
      </c>
      <c r="D70" s="291">
        <v>0</v>
      </c>
      <c r="E70" s="291">
        <v>2</v>
      </c>
      <c r="F70" s="291">
        <v>2</v>
      </c>
      <c r="G70" s="291">
        <v>5</v>
      </c>
      <c r="H70" s="291">
        <v>7</v>
      </c>
      <c r="I70" s="291">
        <v>1</v>
      </c>
      <c r="J70" s="292">
        <v>1</v>
      </c>
      <c r="K70" s="222">
        <v>5861632.5</v>
      </c>
      <c r="L70" s="223" t="s">
        <v>23</v>
      </c>
      <c r="M70" s="224" t="s">
        <v>368</v>
      </c>
      <c r="N70" s="225">
        <v>416762.09999999992</v>
      </c>
      <c r="O70" s="226" t="s">
        <v>17</v>
      </c>
      <c r="P70" s="227">
        <v>16</v>
      </c>
      <c r="Q70" s="226">
        <v>197</v>
      </c>
      <c r="R70" s="227">
        <v>1968</v>
      </c>
      <c r="S70" s="226">
        <v>19247</v>
      </c>
      <c r="T70" s="227">
        <v>179190</v>
      </c>
      <c r="U70" s="240"/>
      <c r="V70" s="275"/>
      <c r="X70" s="304"/>
    </row>
    <row r="71" spans="1:24" x14ac:dyDescent="0.15">
      <c r="A71" s="178"/>
      <c r="B71" s="179">
        <v>44387</v>
      </c>
      <c r="C71" s="180" t="s">
        <v>363</v>
      </c>
      <c r="D71" s="289">
        <v>4</v>
      </c>
      <c r="E71" s="289">
        <v>5</v>
      </c>
      <c r="F71" s="289">
        <v>8</v>
      </c>
      <c r="G71" s="289">
        <v>9</v>
      </c>
      <c r="H71" s="289">
        <v>1</v>
      </c>
      <c r="I71" s="289">
        <v>2</v>
      </c>
      <c r="J71" s="303">
        <v>4</v>
      </c>
      <c r="K71" s="229">
        <v>12823290</v>
      </c>
      <c r="L71" s="230">
        <v>1</v>
      </c>
      <c r="M71" s="229">
        <v>1277777</v>
      </c>
      <c r="N71" s="231">
        <v>0</v>
      </c>
      <c r="O71" s="232">
        <v>4</v>
      </c>
      <c r="P71" s="233">
        <v>42</v>
      </c>
      <c r="Q71" s="232">
        <v>470</v>
      </c>
      <c r="R71" s="233">
        <v>4691</v>
      </c>
      <c r="S71" s="232">
        <v>46190</v>
      </c>
      <c r="T71" s="233">
        <v>446647</v>
      </c>
      <c r="V71" s="228"/>
      <c r="X71" s="304"/>
    </row>
    <row r="72" spans="1:24" x14ac:dyDescent="0.15">
      <c r="A72" s="172">
        <v>28</v>
      </c>
      <c r="B72" s="173">
        <v>44391</v>
      </c>
      <c r="C72" s="174" t="s">
        <v>362</v>
      </c>
      <c r="D72" s="291">
        <v>3</v>
      </c>
      <c r="E72" s="291">
        <v>2</v>
      </c>
      <c r="F72" s="291">
        <v>1</v>
      </c>
      <c r="G72" s="291">
        <v>6</v>
      </c>
      <c r="H72" s="291">
        <v>3</v>
      </c>
      <c r="I72" s="291">
        <v>0</v>
      </c>
      <c r="J72" s="292">
        <v>2</v>
      </c>
      <c r="K72" s="222">
        <v>5612490</v>
      </c>
      <c r="L72" s="223" t="s">
        <v>23</v>
      </c>
      <c r="M72" s="224" t="s">
        <v>368</v>
      </c>
      <c r="N72" s="225">
        <v>399047.99999999994</v>
      </c>
      <c r="O72" s="226">
        <v>2</v>
      </c>
      <c r="P72" s="227">
        <v>13</v>
      </c>
      <c r="Q72" s="226">
        <v>162</v>
      </c>
      <c r="R72" s="227">
        <v>1599</v>
      </c>
      <c r="S72" s="226">
        <v>15750</v>
      </c>
      <c r="T72" s="227">
        <v>178290</v>
      </c>
      <c r="V72" s="228"/>
      <c r="X72" s="304"/>
    </row>
    <row r="73" spans="1:24" x14ac:dyDescent="0.15">
      <c r="A73" s="178"/>
      <c r="B73" s="179">
        <v>44394</v>
      </c>
      <c r="C73" s="180" t="s">
        <v>363</v>
      </c>
      <c r="D73" s="289">
        <v>4</v>
      </c>
      <c r="E73" s="289">
        <v>6</v>
      </c>
      <c r="F73" s="289">
        <v>6</v>
      </c>
      <c r="G73" s="289">
        <v>8</v>
      </c>
      <c r="H73" s="289">
        <v>5</v>
      </c>
      <c r="I73" s="289">
        <v>8</v>
      </c>
      <c r="J73" s="303">
        <v>9</v>
      </c>
      <c r="K73" s="229">
        <v>12279977.5</v>
      </c>
      <c r="L73" s="237">
        <v>1</v>
      </c>
      <c r="M73" s="229">
        <v>1177777</v>
      </c>
      <c r="N73" s="231">
        <v>0</v>
      </c>
      <c r="O73" s="232">
        <v>6</v>
      </c>
      <c r="P73" s="233">
        <v>37</v>
      </c>
      <c r="Q73" s="232">
        <v>398</v>
      </c>
      <c r="R73" s="233">
        <v>4346</v>
      </c>
      <c r="S73" s="232">
        <v>42095</v>
      </c>
      <c r="T73" s="233">
        <v>435212</v>
      </c>
      <c r="V73" s="228"/>
      <c r="X73" s="304"/>
    </row>
    <row r="74" spans="1:24" x14ac:dyDescent="0.15">
      <c r="A74" s="172">
        <v>29</v>
      </c>
      <c r="B74" s="173">
        <v>44398</v>
      </c>
      <c r="C74" s="174" t="s">
        <v>362</v>
      </c>
      <c r="D74" s="291">
        <v>4</v>
      </c>
      <c r="E74" s="291">
        <v>2</v>
      </c>
      <c r="F74" s="291">
        <v>4</v>
      </c>
      <c r="G74" s="291">
        <v>2</v>
      </c>
      <c r="H74" s="291">
        <v>4</v>
      </c>
      <c r="I74" s="291">
        <v>1</v>
      </c>
      <c r="J74" s="292">
        <v>4</v>
      </c>
      <c r="K74" s="222">
        <v>5696242.5</v>
      </c>
      <c r="L74" s="223">
        <v>1</v>
      </c>
      <c r="M74" s="224">
        <v>377777</v>
      </c>
      <c r="N74" s="225">
        <v>0</v>
      </c>
      <c r="O74" s="226" t="s">
        <v>17</v>
      </c>
      <c r="P74" s="227">
        <v>22</v>
      </c>
      <c r="Q74" s="226">
        <v>200</v>
      </c>
      <c r="R74" s="227">
        <v>2045</v>
      </c>
      <c r="S74" s="226">
        <v>20263</v>
      </c>
      <c r="T74" s="227">
        <v>204182</v>
      </c>
      <c r="V74" s="228"/>
      <c r="X74" s="304"/>
    </row>
    <row r="75" spans="1:24" x14ac:dyDescent="0.15">
      <c r="A75" s="178"/>
      <c r="B75" s="179">
        <v>44401</v>
      </c>
      <c r="C75" s="180" t="s">
        <v>363</v>
      </c>
      <c r="D75" s="289">
        <v>5</v>
      </c>
      <c r="E75" s="289">
        <v>2</v>
      </c>
      <c r="F75" s="289">
        <v>4</v>
      </c>
      <c r="G75" s="289">
        <v>4</v>
      </c>
      <c r="H75" s="289">
        <v>5</v>
      </c>
      <c r="I75" s="289">
        <v>8</v>
      </c>
      <c r="J75" s="303">
        <v>8</v>
      </c>
      <c r="K75" s="229">
        <v>11424572.5</v>
      </c>
      <c r="L75" s="230" t="s">
        <v>23</v>
      </c>
      <c r="M75" s="229" t="s">
        <v>368</v>
      </c>
      <c r="N75" s="231">
        <v>812287.1</v>
      </c>
      <c r="O75" s="232">
        <v>2</v>
      </c>
      <c r="P75" s="233">
        <v>37</v>
      </c>
      <c r="Q75" s="232">
        <v>470</v>
      </c>
      <c r="R75" s="233">
        <v>4746</v>
      </c>
      <c r="S75" s="232">
        <v>49927</v>
      </c>
      <c r="T75" s="233">
        <v>448623</v>
      </c>
      <c r="V75" s="228"/>
      <c r="X75" s="304"/>
    </row>
    <row r="76" spans="1:24" x14ac:dyDescent="0.15">
      <c r="A76" s="172">
        <v>30</v>
      </c>
      <c r="B76" s="173">
        <v>44405</v>
      </c>
      <c r="C76" s="174" t="s">
        <v>362</v>
      </c>
      <c r="D76" s="291">
        <v>6</v>
      </c>
      <c r="E76" s="291">
        <v>0</v>
      </c>
      <c r="F76" s="291">
        <v>6</v>
      </c>
      <c r="G76" s="291">
        <v>7</v>
      </c>
      <c r="H76" s="291">
        <v>1</v>
      </c>
      <c r="I76" s="291">
        <v>3</v>
      </c>
      <c r="J76" s="292">
        <v>2</v>
      </c>
      <c r="K76" s="222">
        <v>4849567.5</v>
      </c>
      <c r="L76" s="223" t="s">
        <v>23</v>
      </c>
      <c r="M76" s="224" t="s">
        <v>368</v>
      </c>
      <c r="N76" s="225">
        <v>1157091.2999999998</v>
      </c>
      <c r="O76" s="226">
        <v>4</v>
      </c>
      <c r="P76" s="227">
        <v>17</v>
      </c>
      <c r="Q76" s="226">
        <v>154</v>
      </c>
      <c r="R76" s="227">
        <v>1532</v>
      </c>
      <c r="S76" s="226">
        <v>14932</v>
      </c>
      <c r="T76" s="227">
        <v>152039</v>
      </c>
      <c r="V76" s="228"/>
      <c r="X76" s="304"/>
    </row>
    <row r="77" spans="1:24" x14ac:dyDescent="0.15">
      <c r="A77" s="178"/>
      <c r="B77" s="179">
        <v>44408</v>
      </c>
      <c r="C77" s="180" t="s">
        <v>363</v>
      </c>
      <c r="D77" s="289">
        <v>1</v>
      </c>
      <c r="E77" s="289">
        <v>3</v>
      </c>
      <c r="F77" s="289">
        <v>4</v>
      </c>
      <c r="G77" s="289">
        <v>2</v>
      </c>
      <c r="H77" s="289">
        <v>7</v>
      </c>
      <c r="I77" s="289">
        <v>5</v>
      </c>
      <c r="J77" s="303">
        <v>4</v>
      </c>
      <c r="K77" s="229">
        <v>11743325</v>
      </c>
      <c r="L77" s="230" t="s">
        <v>23</v>
      </c>
      <c r="M77" s="229" t="s">
        <v>368</v>
      </c>
      <c r="N77" s="231">
        <v>1992041.6999999995</v>
      </c>
      <c r="O77" s="232">
        <v>3</v>
      </c>
      <c r="P77" s="233">
        <v>40</v>
      </c>
      <c r="Q77" s="232">
        <v>405</v>
      </c>
      <c r="R77" s="233">
        <v>4334</v>
      </c>
      <c r="S77" s="232">
        <v>42684</v>
      </c>
      <c r="T77" s="233">
        <v>408585</v>
      </c>
      <c r="V77" s="228"/>
      <c r="X77" s="304"/>
    </row>
    <row r="78" spans="1:24" x14ac:dyDescent="0.15">
      <c r="A78" s="172">
        <v>31</v>
      </c>
      <c r="B78" s="173">
        <v>44412</v>
      </c>
      <c r="C78" s="174" t="s">
        <v>362</v>
      </c>
      <c r="D78" s="291">
        <v>5</v>
      </c>
      <c r="E78" s="291">
        <v>8</v>
      </c>
      <c r="F78" s="291">
        <v>0</v>
      </c>
      <c r="G78" s="291">
        <v>7</v>
      </c>
      <c r="H78" s="291">
        <v>6</v>
      </c>
      <c r="I78" s="291">
        <v>5</v>
      </c>
      <c r="J78" s="292">
        <v>7</v>
      </c>
      <c r="K78" s="222">
        <v>4810582.5</v>
      </c>
      <c r="L78" s="223" t="s">
        <v>23</v>
      </c>
      <c r="M78" s="224" t="s">
        <v>368</v>
      </c>
      <c r="N78" s="225">
        <v>2334074.0999999996</v>
      </c>
      <c r="O78" s="226">
        <v>3</v>
      </c>
      <c r="P78" s="227">
        <v>26</v>
      </c>
      <c r="Q78" s="226">
        <v>233</v>
      </c>
      <c r="R78" s="227">
        <v>2190</v>
      </c>
      <c r="S78" s="226">
        <v>22605</v>
      </c>
      <c r="T78" s="227">
        <v>224102</v>
      </c>
      <c r="V78" s="228"/>
      <c r="X78" s="304"/>
    </row>
    <row r="79" spans="1:24" x14ac:dyDescent="0.15">
      <c r="A79" s="178"/>
      <c r="B79" s="179">
        <v>44415</v>
      </c>
      <c r="C79" s="180" t="s">
        <v>363</v>
      </c>
      <c r="D79" s="289">
        <v>2</v>
      </c>
      <c r="E79" s="289">
        <v>9</v>
      </c>
      <c r="F79" s="289">
        <v>2</v>
      </c>
      <c r="G79" s="289">
        <v>2</v>
      </c>
      <c r="H79" s="289">
        <v>4</v>
      </c>
      <c r="I79" s="289">
        <v>5</v>
      </c>
      <c r="J79" s="303">
        <v>8</v>
      </c>
      <c r="K79" s="229">
        <v>11842077.5</v>
      </c>
      <c r="L79" s="230" t="s">
        <v>23</v>
      </c>
      <c r="M79" s="229" t="s">
        <v>368</v>
      </c>
      <c r="N79" s="231">
        <v>3176045.7999999989</v>
      </c>
      <c r="O79" s="232">
        <v>4</v>
      </c>
      <c r="P79" s="233">
        <v>51</v>
      </c>
      <c r="Q79" s="232">
        <v>495</v>
      </c>
      <c r="R79" s="233">
        <v>5058</v>
      </c>
      <c r="S79" s="232">
        <v>50232</v>
      </c>
      <c r="T79" s="233">
        <v>467830</v>
      </c>
      <c r="V79" s="228"/>
      <c r="X79" s="304"/>
    </row>
    <row r="80" spans="1:24" x14ac:dyDescent="0.15">
      <c r="A80" s="172">
        <v>32</v>
      </c>
      <c r="B80" s="173">
        <v>44419</v>
      </c>
      <c r="C80" s="174" t="s">
        <v>362</v>
      </c>
      <c r="D80" s="291">
        <v>6</v>
      </c>
      <c r="E80" s="291">
        <v>1</v>
      </c>
      <c r="F80" s="291">
        <v>3</v>
      </c>
      <c r="G80" s="291">
        <v>0</v>
      </c>
      <c r="H80" s="291">
        <v>3</v>
      </c>
      <c r="I80" s="291">
        <v>7</v>
      </c>
      <c r="J80" s="292">
        <v>2</v>
      </c>
      <c r="K80" s="222">
        <v>4942800</v>
      </c>
      <c r="L80" s="234" t="s">
        <v>23</v>
      </c>
      <c r="M80" s="224" t="s">
        <v>368</v>
      </c>
      <c r="N80" s="225">
        <v>3527478.9</v>
      </c>
      <c r="O80" s="236" t="s">
        <v>17</v>
      </c>
      <c r="P80" s="227">
        <v>14</v>
      </c>
      <c r="Q80" s="226">
        <v>139</v>
      </c>
      <c r="R80" s="227">
        <v>1646</v>
      </c>
      <c r="S80" s="226">
        <v>16170</v>
      </c>
      <c r="T80" s="227">
        <v>154926</v>
      </c>
      <c r="V80" s="228"/>
      <c r="X80" s="304"/>
    </row>
    <row r="81" spans="1:24" x14ac:dyDescent="0.15">
      <c r="A81" s="178"/>
      <c r="B81" s="179">
        <v>44422</v>
      </c>
      <c r="C81" s="180" t="s">
        <v>363</v>
      </c>
      <c r="D81" s="289">
        <v>2</v>
      </c>
      <c r="E81" s="289">
        <v>8</v>
      </c>
      <c r="F81" s="289">
        <v>7</v>
      </c>
      <c r="G81" s="289">
        <v>6</v>
      </c>
      <c r="H81" s="289">
        <v>2</v>
      </c>
      <c r="I81" s="289">
        <v>8</v>
      </c>
      <c r="J81" s="303">
        <v>8</v>
      </c>
      <c r="K81" s="229">
        <v>12519447.5</v>
      </c>
      <c r="L81" s="230">
        <v>1</v>
      </c>
      <c r="M81" s="229">
        <v>4377777</v>
      </c>
      <c r="N81" s="231">
        <v>0</v>
      </c>
      <c r="O81" s="232">
        <v>5</v>
      </c>
      <c r="P81" s="233">
        <v>38</v>
      </c>
      <c r="Q81" s="232">
        <v>500</v>
      </c>
      <c r="R81" s="233">
        <v>5192</v>
      </c>
      <c r="S81" s="232">
        <v>54631</v>
      </c>
      <c r="T81" s="233">
        <v>494197</v>
      </c>
      <c r="V81" s="228"/>
      <c r="X81" s="304"/>
    </row>
    <row r="82" spans="1:24" x14ac:dyDescent="0.15">
      <c r="A82" s="172">
        <v>33</v>
      </c>
      <c r="B82" s="173">
        <v>44426</v>
      </c>
      <c r="C82" s="174" t="s">
        <v>362</v>
      </c>
      <c r="D82" s="291">
        <v>8</v>
      </c>
      <c r="E82" s="291">
        <v>4</v>
      </c>
      <c r="F82" s="291">
        <v>7</v>
      </c>
      <c r="G82" s="291">
        <v>1</v>
      </c>
      <c r="H82" s="291">
        <v>1</v>
      </c>
      <c r="I82" s="291">
        <v>5</v>
      </c>
      <c r="J82" s="292">
        <v>7</v>
      </c>
      <c r="K82" s="222">
        <v>4721130</v>
      </c>
      <c r="L82" s="223">
        <v>1</v>
      </c>
      <c r="M82" s="279">
        <v>277777</v>
      </c>
      <c r="N82" s="225">
        <v>0</v>
      </c>
      <c r="O82" s="226">
        <v>4</v>
      </c>
      <c r="P82" s="227">
        <v>26</v>
      </c>
      <c r="Q82" s="226">
        <v>216</v>
      </c>
      <c r="R82" s="227">
        <v>2176</v>
      </c>
      <c r="S82" s="226">
        <v>22039</v>
      </c>
      <c r="T82" s="227">
        <v>218657</v>
      </c>
      <c r="V82" s="228"/>
      <c r="X82" s="304"/>
    </row>
    <row r="83" spans="1:24" x14ac:dyDescent="0.15">
      <c r="A83" s="178"/>
      <c r="B83" s="179">
        <v>44429</v>
      </c>
      <c r="C83" s="180" t="s">
        <v>363</v>
      </c>
      <c r="D83" s="289">
        <v>3</v>
      </c>
      <c r="E83" s="289">
        <v>1</v>
      </c>
      <c r="F83" s="289">
        <v>4</v>
      </c>
      <c r="G83" s="289">
        <v>7</v>
      </c>
      <c r="H83" s="289">
        <v>3</v>
      </c>
      <c r="I83" s="289">
        <v>3</v>
      </c>
      <c r="J83" s="303">
        <v>6</v>
      </c>
      <c r="K83" s="229">
        <v>11147227.5</v>
      </c>
      <c r="L83" s="230" t="s">
        <v>23</v>
      </c>
      <c r="M83" s="229" t="s">
        <v>368</v>
      </c>
      <c r="N83" s="231">
        <v>792567.9</v>
      </c>
      <c r="O83" s="232">
        <v>2</v>
      </c>
      <c r="P83" s="233">
        <v>47</v>
      </c>
      <c r="Q83" s="232">
        <v>420</v>
      </c>
      <c r="R83" s="233">
        <v>4001</v>
      </c>
      <c r="S83" s="232">
        <v>41803</v>
      </c>
      <c r="T83" s="233">
        <v>400657</v>
      </c>
      <c r="V83" s="228"/>
      <c r="X83" s="304"/>
    </row>
    <row r="84" spans="1:24" x14ac:dyDescent="0.15">
      <c r="A84" s="172">
        <v>34</v>
      </c>
      <c r="B84" s="173">
        <v>44433</v>
      </c>
      <c r="C84" s="174" t="s">
        <v>362</v>
      </c>
      <c r="D84" s="291">
        <v>5</v>
      </c>
      <c r="E84" s="291">
        <v>7</v>
      </c>
      <c r="F84" s="291">
        <v>7</v>
      </c>
      <c r="G84" s="291">
        <v>3</v>
      </c>
      <c r="H84" s="291">
        <v>4</v>
      </c>
      <c r="I84" s="291">
        <v>7</v>
      </c>
      <c r="J84" s="292">
        <v>8</v>
      </c>
      <c r="K84" s="222">
        <v>4806527.5</v>
      </c>
      <c r="L84" s="223" t="s">
        <v>23</v>
      </c>
      <c r="M84" s="224" t="s">
        <v>368</v>
      </c>
      <c r="N84" s="225">
        <v>1134312.0000000002</v>
      </c>
      <c r="O84" s="226">
        <v>1</v>
      </c>
      <c r="P84" s="227">
        <v>12</v>
      </c>
      <c r="Q84" s="226">
        <v>173</v>
      </c>
      <c r="R84" s="227">
        <v>1971</v>
      </c>
      <c r="S84" s="226">
        <v>18028</v>
      </c>
      <c r="T84" s="227">
        <v>187896</v>
      </c>
      <c r="V84" s="228"/>
      <c r="X84" s="304"/>
    </row>
    <row r="85" spans="1:24" x14ac:dyDescent="0.15">
      <c r="A85" s="178"/>
      <c r="B85" s="179">
        <v>44436</v>
      </c>
      <c r="C85" s="180" t="s">
        <v>363</v>
      </c>
      <c r="D85" s="289">
        <v>9</v>
      </c>
      <c r="E85" s="289">
        <v>1</v>
      </c>
      <c r="F85" s="289">
        <v>1</v>
      </c>
      <c r="G85" s="289">
        <v>9</v>
      </c>
      <c r="H85" s="289">
        <v>2</v>
      </c>
      <c r="I85" s="289">
        <v>2</v>
      </c>
      <c r="J85" s="303">
        <v>1</v>
      </c>
      <c r="K85" s="229">
        <v>11389455</v>
      </c>
      <c r="L85" s="230">
        <v>1</v>
      </c>
      <c r="M85" s="229">
        <v>1877777</v>
      </c>
      <c r="N85" s="231">
        <v>0</v>
      </c>
      <c r="O85" s="232">
        <v>4</v>
      </c>
      <c r="P85" s="233">
        <v>32</v>
      </c>
      <c r="Q85" s="232">
        <v>326</v>
      </c>
      <c r="R85" s="233">
        <v>3403</v>
      </c>
      <c r="S85" s="232">
        <v>36693</v>
      </c>
      <c r="T85" s="233">
        <v>345230</v>
      </c>
      <c r="V85" s="228"/>
      <c r="X85" s="304"/>
    </row>
    <row r="86" spans="1:24" x14ac:dyDescent="0.15">
      <c r="A86" s="172">
        <v>35</v>
      </c>
      <c r="B86" s="173">
        <v>44440</v>
      </c>
      <c r="C86" s="174" t="s">
        <v>362</v>
      </c>
      <c r="D86" s="291">
        <v>4</v>
      </c>
      <c r="E86" s="291">
        <v>3</v>
      </c>
      <c r="F86" s="291">
        <v>3</v>
      </c>
      <c r="G86" s="291">
        <v>6</v>
      </c>
      <c r="H86" s="291">
        <v>1</v>
      </c>
      <c r="I86" s="291">
        <v>5</v>
      </c>
      <c r="J86" s="292">
        <v>5</v>
      </c>
      <c r="K86" s="222">
        <v>4993942.5</v>
      </c>
      <c r="L86" s="223">
        <v>1</v>
      </c>
      <c r="M86" s="224">
        <v>277777</v>
      </c>
      <c r="N86" s="225">
        <v>0</v>
      </c>
      <c r="O86" s="226" t="s">
        <v>17</v>
      </c>
      <c r="P86" s="227">
        <v>19</v>
      </c>
      <c r="Q86" s="226">
        <v>224</v>
      </c>
      <c r="R86" s="227">
        <v>2085</v>
      </c>
      <c r="S86" s="226">
        <v>21912</v>
      </c>
      <c r="T86" s="227">
        <v>194507</v>
      </c>
      <c r="V86" s="228"/>
      <c r="X86" s="304"/>
    </row>
    <row r="87" spans="1:24" x14ac:dyDescent="0.15">
      <c r="A87" s="178"/>
      <c r="B87" s="179">
        <v>44443</v>
      </c>
      <c r="C87" s="180" t="s">
        <v>363</v>
      </c>
      <c r="D87" s="289">
        <v>4</v>
      </c>
      <c r="E87" s="289">
        <v>3</v>
      </c>
      <c r="F87" s="289">
        <v>0</v>
      </c>
      <c r="G87" s="289">
        <v>3</v>
      </c>
      <c r="H87" s="289">
        <v>1</v>
      </c>
      <c r="I87" s="289">
        <v>3</v>
      </c>
      <c r="J87" s="303">
        <v>5</v>
      </c>
      <c r="K87" s="229">
        <v>11678740</v>
      </c>
      <c r="L87" s="230">
        <v>5</v>
      </c>
      <c r="M87" s="229">
        <v>177777</v>
      </c>
      <c r="N87" s="231">
        <v>0</v>
      </c>
      <c r="O87" s="232">
        <v>3</v>
      </c>
      <c r="P87" s="233">
        <v>42</v>
      </c>
      <c r="Q87" s="232">
        <v>422</v>
      </c>
      <c r="R87" s="233">
        <v>4635</v>
      </c>
      <c r="S87" s="232">
        <v>45817</v>
      </c>
      <c r="T87" s="233">
        <v>464277</v>
      </c>
      <c r="V87" s="228"/>
      <c r="X87" s="304"/>
    </row>
    <row r="88" spans="1:24" x14ac:dyDescent="0.15">
      <c r="A88" s="172">
        <v>36</v>
      </c>
      <c r="B88" s="173">
        <v>44447</v>
      </c>
      <c r="C88" s="174" t="s">
        <v>362</v>
      </c>
      <c r="D88" s="291">
        <v>6</v>
      </c>
      <c r="E88" s="291">
        <v>6</v>
      </c>
      <c r="F88" s="291">
        <v>8</v>
      </c>
      <c r="G88" s="291">
        <v>6</v>
      </c>
      <c r="H88" s="291">
        <v>7</v>
      </c>
      <c r="I88" s="291">
        <v>9</v>
      </c>
      <c r="J88" s="292">
        <v>3</v>
      </c>
      <c r="K88" s="222">
        <v>5156132.5</v>
      </c>
      <c r="L88" s="234" t="s">
        <v>23</v>
      </c>
      <c r="M88" s="224" t="s">
        <v>368</v>
      </c>
      <c r="N88" s="225">
        <v>366601</v>
      </c>
      <c r="O88" s="226">
        <v>2</v>
      </c>
      <c r="P88" s="227">
        <v>18</v>
      </c>
      <c r="Q88" s="226">
        <v>198</v>
      </c>
      <c r="R88" s="227">
        <v>1827</v>
      </c>
      <c r="S88" s="226">
        <v>18181</v>
      </c>
      <c r="T88" s="227">
        <v>201040</v>
      </c>
      <c r="V88" s="228"/>
      <c r="X88" s="304"/>
    </row>
    <row r="89" spans="1:24" x14ac:dyDescent="0.15">
      <c r="A89" s="178"/>
      <c r="B89" s="179">
        <v>44450</v>
      </c>
      <c r="C89" s="180" t="s">
        <v>363</v>
      </c>
      <c r="D89" s="289">
        <v>9</v>
      </c>
      <c r="E89" s="289">
        <v>0</v>
      </c>
      <c r="F89" s="289">
        <v>6</v>
      </c>
      <c r="G89" s="289">
        <v>1</v>
      </c>
      <c r="H89" s="289">
        <v>8</v>
      </c>
      <c r="I89" s="289">
        <v>9</v>
      </c>
      <c r="J89" s="303">
        <v>4</v>
      </c>
      <c r="K89" s="229">
        <v>11988470</v>
      </c>
      <c r="L89" s="237" t="s">
        <v>23</v>
      </c>
      <c r="M89" s="229" t="s">
        <v>368</v>
      </c>
      <c r="N89" s="231">
        <v>1218981.2</v>
      </c>
      <c r="O89" s="232">
        <v>5</v>
      </c>
      <c r="P89" s="233">
        <v>28</v>
      </c>
      <c r="Q89" s="232">
        <v>416</v>
      </c>
      <c r="R89" s="233">
        <v>3987</v>
      </c>
      <c r="S89" s="232">
        <v>39490</v>
      </c>
      <c r="T89" s="233">
        <v>423663</v>
      </c>
      <c r="V89" s="228"/>
      <c r="X89" s="304"/>
    </row>
    <row r="90" spans="1:24" x14ac:dyDescent="0.15">
      <c r="A90" s="172">
        <v>37</v>
      </c>
      <c r="B90" s="173">
        <v>44454</v>
      </c>
      <c r="C90" s="174" t="s">
        <v>362</v>
      </c>
      <c r="D90" s="310">
        <v>4</v>
      </c>
      <c r="E90" s="310">
        <v>3</v>
      </c>
      <c r="F90" s="310">
        <v>9</v>
      </c>
      <c r="G90" s="310">
        <v>1</v>
      </c>
      <c r="H90" s="310">
        <v>4</v>
      </c>
      <c r="I90" s="310">
        <v>6</v>
      </c>
      <c r="J90" s="311">
        <v>0</v>
      </c>
      <c r="K90" s="312">
        <v>4752187.5</v>
      </c>
      <c r="L90" s="313" t="s">
        <v>23</v>
      </c>
      <c r="M90" s="314" t="s">
        <v>368</v>
      </c>
      <c r="N90" s="315">
        <v>1556861.6999999997</v>
      </c>
      <c r="O90" s="316">
        <v>1</v>
      </c>
      <c r="P90" s="317">
        <v>11</v>
      </c>
      <c r="Q90" s="316">
        <v>122</v>
      </c>
      <c r="R90" s="317">
        <v>1327</v>
      </c>
      <c r="S90" s="316">
        <v>13619</v>
      </c>
      <c r="T90" s="317">
        <v>131474</v>
      </c>
      <c r="V90" s="228"/>
      <c r="X90" s="304"/>
    </row>
    <row r="91" spans="1:24" x14ac:dyDescent="0.15">
      <c r="A91" s="178"/>
      <c r="B91" s="179">
        <v>44457</v>
      </c>
      <c r="C91" s="180" t="s">
        <v>363</v>
      </c>
      <c r="D91" s="289">
        <v>6</v>
      </c>
      <c r="E91" s="289">
        <v>9</v>
      </c>
      <c r="F91" s="289">
        <v>8</v>
      </c>
      <c r="G91" s="289">
        <v>0</v>
      </c>
      <c r="H91" s="289">
        <v>2</v>
      </c>
      <c r="I91" s="289">
        <v>4</v>
      </c>
      <c r="J91" s="303">
        <v>0</v>
      </c>
      <c r="K91" s="229">
        <v>11167947.5</v>
      </c>
      <c r="L91" s="230">
        <v>1</v>
      </c>
      <c r="M91" s="229">
        <v>2277777</v>
      </c>
      <c r="N91" s="231">
        <v>0</v>
      </c>
      <c r="O91" s="232">
        <v>6</v>
      </c>
      <c r="P91" s="233">
        <v>32</v>
      </c>
      <c r="Q91" s="232">
        <v>296</v>
      </c>
      <c r="R91" s="233">
        <v>2908</v>
      </c>
      <c r="S91" s="232">
        <v>28902</v>
      </c>
      <c r="T91" s="233">
        <v>301712</v>
      </c>
      <c r="V91" s="228"/>
      <c r="X91" s="304"/>
    </row>
    <row r="92" spans="1:24" x14ac:dyDescent="0.15">
      <c r="A92" s="172">
        <v>38</v>
      </c>
      <c r="B92" s="173">
        <v>44461</v>
      </c>
      <c r="C92" s="174" t="s">
        <v>362</v>
      </c>
      <c r="D92" s="291">
        <v>9</v>
      </c>
      <c r="E92" s="291">
        <v>0</v>
      </c>
      <c r="F92" s="291">
        <v>4</v>
      </c>
      <c r="G92" s="291">
        <v>9</v>
      </c>
      <c r="H92" s="291">
        <v>6</v>
      </c>
      <c r="I92" s="291">
        <v>7</v>
      </c>
      <c r="J92" s="292">
        <v>5</v>
      </c>
      <c r="K92" s="222">
        <v>4745672.5</v>
      </c>
      <c r="L92" s="223" t="s">
        <v>23</v>
      </c>
      <c r="M92" s="224" t="s">
        <v>368</v>
      </c>
      <c r="N92" s="225">
        <v>337417.3</v>
      </c>
      <c r="O92" s="226">
        <v>1</v>
      </c>
      <c r="P92" s="226">
        <v>16</v>
      </c>
      <c r="Q92" s="227">
        <v>195</v>
      </c>
      <c r="R92" s="226">
        <v>1941</v>
      </c>
      <c r="S92" s="227">
        <v>19655</v>
      </c>
      <c r="T92" s="226">
        <v>186816</v>
      </c>
      <c r="V92" s="228"/>
      <c r="X92" s="304"/>
    </row>
    <row r="93" spans="1:24" x14ac:dyDescent="0.15">
      <c r="A93" s="178"/>
      <c r="B93" s="179">
        <v>44464</v>
      </c>
      <c r="C93" s="180" t="s">
        <v>363</v>
      </c>
      <c r="D93" s="289">
        <v>6</v>
      </c>
      <c r="E93" s="289">
        <v>9</v>
      </c>
      <c r="F93" s="289">
        <v>2</v>
      </c>
      <c r="G93" s="289">
        <v>0</v>
      </c>
      <c r="H93" s="289">
        <v>7</v>
      </c>
      <c r="I93" s="289">
        <v>2</v>
      </c>
      <c r="J93" s="303">
        <v>2</v>
      </c>
      <c r="K93" s="229">
        <v>11310722.5</v>
      </c>
      <c r="L93" s="237">
        <v>1</v>
      </c>
      <c r="M93" s="229">
        <v>1077777</v>
      </c>
      <c r="N93" s="231">
        <v>0</v>
      </c>
      <c r="O93" s="232">
        <v>2</v>
      </c>
      <c r="P93" s="232">
        <v>42</v>
      </c>
      <c r="Q93" s="233">
        <v>374</v>
      </c>
      <c r="R93" s="232">
        <v>3599</v>
      </c>
      <c r="S93" s="233">
        <v>36365</v>
      </c>
      <c r="T93" s="232">
        <v>364208</v>
      </c>
      <c r="V93" s="228"/>
      <c r="X93" s="304"/>
    </row>
    <row r="94" spans="1:24" x14ac:dyDescent="0.15">
      <c r="A94" s="172">
        <v>39</v>
      </c>
      <c r="B94" s="173">
        <v>44468</v>
      </c>
      <c r="C94" s="174" t="s">
        <v>362</v>
      </c>
      <c r="D94" s="291">
        <v>1</v>
      </c>
      <c r="E94" s="291">
        <v>7</v>
      </c>
      <c r="F94" s="291">
        <v>7</v>
      </c>
      <c r="G94" s="291">
        <v>8</v>
      </c>
      <c r="H94" s="291">
        <v>4</v>
      </c>
      <c r="I94" s="291">
        <v>6</v>
      </c>
      <c r="J94" s="292">
        <v>1</v>
      </c>
      <c r="K94" s="222">
        <v>4903995</v>
      </c>
      <c r="L94" s="234" t="s">
        <v>23</v>
      </c>
      <c r="M94" s="224" t="s">
        <v>368</v>
      </c>
      <c r="N94" s="225">
        <v>348673.99999999994</v>
      </c>
      <c r="O94" s="226">
        <v>1</v>
      </c>
      <c r="P94" s="226">
        <v>18</v>
      </c>
      <c r="Q94" s="227">
        <v>156</v>
      </c>
      <c r="R94" s="226">
        <v>1619</v>
      </c>
      <c r="S94" s="227">
        <v>15581</v>
      </c>
      <c r="T94" s="226">
        <v>147478</v>
      </c>
      <c r="V94" s="228"/>
      <c r="X94" s="304"/>
    </row>
    <row r="95" spans="1:24" x14ac:dyDescent="0.15">
      <c r="A95" s="178"/>
      <c r="B95" s="179">
        <v>44471</v>
      </c>
      <c r="C95" s="180" t="s">
        <v>363</v>
      </c>
      <c r="D95" s="289">
        <v>3</v>
      </c>
      <c r="E95" s="289">
        <v>6</v>
      </c>
      <c r="F95" s="289">
        <v>2</v>
      </c>
      <c r="G95" s="289">
        <v>7</v>
      </c>
      <c r="H95" s="289">
        <v>4</v>
      </c>
      <c r="I95" s="289">
        <v>3</v>
      </c>
      <c r="J95" s="303">
        <v>1</v>
      </c>
      <c r="K95" s="229">
        <v>11635127.5</v>
      </c>
      <c r="L95" s="230">
        <v>1</v>
      </c>
      <c r="M95" s="229">
        <v>1077777</v>
      </c>
      <c r="N95" s="231">
        <v>0</v>
      </c>
      <c r="O95" s="232">
        <v>2</v>
      </c>
      <c r="P95" s="233">
        <v>36</v>
      </c>
      <c r="Q95" s="232">
        <v>355</v>
      </c>
      <c r="R95" s="233">
        <v>3625</v>
      </c>
      <c r="S95" s="232">
        <v>35752</v>
      </c>
      <c r="T95" s="233">
        <v>355475</v>
      </c>
      <c r="V95" s="228"/>
      <c r="X95" s="304"/>
    </row>
    <row r="96" spans="1:24" x14ac:dyDescent="0.15">
      <c r="A96" s="172">
        <v>40</v>
      </c>
      <c r="B96" s="173">
        <v>44475</v>
      </c>
      <c r="C96" s="174" t="s">
        <v>362</v>
      </c>
      <c r="D96" s="291">
        <v>4</v>
      </c>
      <c r="E96" s="291">
        <v>0</v>
      </c>
      <c r="F96" s="291">
        <v>5</v>
      </c>
      <c r="G96" s="291">
        <v>0</v>
      </c>
      <c r="H96" s="291">
        <v>9</v>
      </c>
      <c r="I96" s="291">
        <v>9</v>
      </c>
      <c r="J96" s="292">
        <v>4</v>
      </c>
      <c r="K96" s="222">
        <v>5163362.5</v>
      </c>
      <c r="L96" s="234">
        <v>1</v>
      </c>
      <c r="M96" s="224">
        <v>277777</v>
      </c>
      <c r="N96" s="225">
        <v>0</v>
      </c>
      <c r="O96" s="226">
        <v>2</v>
      </c>
      <c r="P96" s="226">
        <v>19</v>
      </c>
      <c r="Q96" s="227">
        <v>182</v>
      </c>
      <c r="R96" s="226">
        <v>1620</v>
      </c>
      <c r="S96" s="227">
        <v>16760</v>
      </c>
      <c r="T96" s="226">
        <v>182242</v>
      </c>
      <c r="V96" s="228"/>
      <c r="X96" s="304"/>
    </row>
    <row r="97" spans="1:24" x14ac:dyDescent="0.15">
      <c r="A97" s="178"/>
      <c r="B97" s="179">
        <v>44478</v>
      </c>
      <c r="C97" s="180" t="s">
        <v>363</v>
      </c>
      <c r="D97" s="289">
        <v>1</v>
      </c>
      <c r="E97" s="289">
        <v>0</v>
      </c>
      <c r="F97" s="289">
        <v>3</v>
      </c>
      <c r="G97" s="289">
        <v>5</v>
      </c>
      <c r="H97" s="289">
        <v>7</v>
      </c>
      <c r="I97" s="289">
        <v>5</v>
      </c>
      <c r="J97" s="303">
        <v>1</v>
      </c>
      <c r="K97" s="229">
        <v>11224922.5</v>
      </c>
      <c r="L97" s="237" t="s">
        <v>23</v>
      </c>
      <c r="M97" s="229" t="s">
        <v>368</v>
      </c>
      <c r="N97" s="231">
        <v>798091.99999999988</v>
      </c>
      <c r="O97" s="232">
        <v>7</v>
      </c>
      <c r="P97" s="233">
        <v>39</v>
      </c>
      <c r="Q97" s="232">
        <v>359</v>
      </c>
      <c r="R97" s="233">
        <v>3595</v>
      </c>
      <c r="S97" s="232">
        <v>35006</v>
      </c>
      <c r="T97" s="233">
        <v>343979</v>
      </c>
      <c r="V97" s="228"/>
      <c r="X97" s="304"/>
    </row>
    <row r="98" spans="1:24" x14ac:dyDescent="0.15">
      <c r="A98" s="172">
        <v>41</v>
      </c>
      <c r="B98" s="173">
        <v>44482</v>
      </c>
      <c r="C98" s="174" t="s">
        <v>362</v>
      </c>
      <c r="D98" s="291">
        <v>3</v>
      </c>
      <c r="E98" s="291">
        <v>1</v>
      </c>
      <c r="F98" s="291">
        <v>1</v>
      </c>
      <c r="G98" s="291">
        <v>6</v>
      </c>
      <c r="H98" s="291">
        <v>4</v>
      </c>
      <c r="I98" s="291">
        <v>8</v>
      </c>
      <c r="J98" s="292">
        <v>0</v>
      </c>
      <c r="K98" s="222">
        <v>4642970</v>
      </c>
      <c r="L98" s="223" t="s">
        <v>23</v>
      </c>
      <c r="M98" s="224" t="s">
        <v>368</v>
      </c>
      <c r="N98" s="225">
        <v>1128207.1999999995</v>
      </c>
      <c r="O98" s="226" t="s">
        <v>17</v>
      </c>
      <c r="P98" s="227">
        <v>6</v>
      </c>
      <c r="Q98" s="226">
        <v>128</v>
      </c>
      <c r="R98" s="227">
        <v>1241</v>
      </c>
      <c r="S98" s="226">
        <v>12697</v>
      </c>
      <c r="T98" s="227">
        <v>129252</v>
      </c>
      <c r="V98" s="228"/>
      <c r="X98" s="304"/>
    </row>
    <row r="99" spans="1:24" x14ac:dyDescent="0.15">
      <c r="A99" s="178"/>
      <c r="B99" s="179">
        <v>44485</v>
      </c>
      <c r="C99" s="180" t="s">
        <v>363</v>
      </c>
      <c r="D99" s="289">
        <v>2</v>
      </c>
      <c r="E99" s="289">
        <v>4</v>
      </c>
      <c r="F99" s="289">
        <v>0</v>
      </c>
      <c r="G99" s="289">
        <v>6</v>
      </c>
      <c r="H99" s="289">
        <v>5</v>
      </c>
      <c r="I99" s="289">
        <v>4</v>
      </c>
      <c r="J99" s="303">
        <v>9</v>
      </c>
      <c r="K99" s="229">
        <v>11246372.5</v>
      </c>
      <c r="L99" s="230">
        <v>1</v>
      </c>
      <c r="M99" s="229">
        <v>1877777</v>
      </c>
      <c r="N99" s="231">
        <v>0</v>
      </c>
      <c r="O99" s="232">
        <v>6</v>
      </c>
      <c r="P99" s="233">
        <v>44</v>
      </c>
      <c r="Q99" s="232">
        <v>425</v>
      </c>
      <c r="R99" s="233">
        <v>4099</v>
      </c>
      <c r="S99" s="232">
        <v>41524</v>
      </c>
      <c r="T99" s="233">
        <v>400241</v>
      </c>
      <c r="V99" s="228"/>
      <c r="X99" s="304"/>
    </row>
    <row r="100" spans="1:24" x14ac:dyDescent="0.15">
      <c r="A100" s="172">
        <v>42</v>
      </c>
      <c r="B100" s="173">
        <v>44489</v>
      </c>
      <c r="C100" s="174" t="s">
        <v>362</v>
      </c>
      <c r="D100" s="291">
        <v>2</v>
      </c>
      <c r="E100" s="291">
        <v>8</v>
      </c>
      <c r="F100" s="291">
        <v>7</v>
      </c>
      <c r="G100" s="291">
        <v>0</v>
      </c>
      <c r="H100" s="291">
        <v>6</v>
      </c>
      <c r="I100" s="291">
        <v>5</v>
      </c>
      <c r="J100" s="292">
        <v>2</v>
      </c>
      <c r="K100" s="222">
        <v>4766525</v>
      </c>
      <c r="L100" s="234" t="s">
        <v>23</v>
      </c>
      <c r="M100" s="224" t="s">
        <v>368</v>
      </c>
      <c r="N100" s="225">
        <v>338899.9</v>
      </c>
      <c r="O100" s="226">
        <v>1</v>
      </c>
      <c r="P100" s="227">
        <v>16</v>
      </c>
      <c r="Q100" s="226">
        <v>148</v>
      </c>
      <c r="R100" s="227">
        <v>1529</v>
      </c>
      <c r="S100" s="226">
        <v>15828</v>
      </c>
      <c r="T100" s="227">
        <v>148420</v>
      </c>
      <c r="V100" s="228"/>
      <c r="X100" s="304"/>
    </row>
    <row r="101" spans="1:24" x14ac:dyDescent="0.15">
      <c r="A101" s="178"/>
      <c r="B101" s="179">
        <v>44492</v>
      </c>
      <c r="C101" s="180" t="s">
        <v>363</v>
      </c>
      <c r="D101" s="289">
        <v>2</v>
      </c>
      <c r="E101" s="289">
        <v>7</v>
      </c>
      <c r="F101" s="289">
        <v>7</v>
      </c>
      <c r="G101" s="289">
        <v>6</v>
      </c>
      <c r="H101" s="289">
        <v>2</v>
      </c>
      <c r="I101" s="289">
        <v>1</v>
      </c>
      <c r="J101" s="303">
        <v>9</v>
      </c>
      <c r="K101" s="229">
        <v>11410400</v>
      </c>
      <c r="L101" s="237" t="s">
        <v>23</v>
      </c>
      <c r="M101" s="229" t="s">
        <v>368</v>
      </c>
      <c r="N101" s="231">
        <v>1150179.2999999998</v>
      </c>
      <c r="O101" s="232">
        <v>4</v>
      </c>
      <c r="P101" s="233">
        <v>45</v>
      </c>
      <c r="Q101" s="232">
        <v>375</v>
      </c>
      <c r="R101" s="233">
        <v>3912</v>
      </c>
      <c r="S101" s="232">
        <v>38191</v>
      </c>
      <c r="T101" s="233">
        <v>412168</v>
      </c>
      <c r="U101" s="228"/>
      <c r="V101" s="228"/>
      <c r="X101" s="304"/>
    </row>
    <row r="102" spans="1:24" x14ac:dyDescent="0.15">
      <c r="A102" s="172">
        <v>43</v>
      </c>
      <c r="B102" s="173">
        <v>44496</v>
      </c>
      <c r="C102" s="174" t="s">
        <v>362</v>
      </c>
      <c r="D102" s="291">
        <v>2</v>
      </c>
      <c r="E102" s="291">
        <v>8</v>
      </c>
      <c r="F102" s="291">
        <v>3</v>
      </c>
      <c r="G102" s="291">
        <v>8</v>
      </c>
      <c r="H102" s="291">
        <v>1</v>
      </c>
      <c r="I102" s="291">
        <v>8</v>
      </c>
      <c r="J102" s="292">
        <v>7</v>
      </c>
      <c r="K102" s="222">
        <v>4891760</v>
      </c>
      <c r="L102" s="223" t="s">
        <v>23</v>
      </c>
      <c r="M102" s="224" t="s">
        <v>368</v>
      </c>
      <c r="N102" s="225">
        <v>1497983.4000000001</v>
      </c>
      <c r="O102" s="226" t="s">
        <v>17</v>
      </c>
      <c r="P102" s="227">
        <v>26</v>
      </c>
      <c r="Q102" s="226">
        <v>231</v>
      </c>
      <c r="R102" s="227">
        <v>2214</v>
      </c>
      <c r="S102" s="226">
        <v>22197</v>
      </c>
      <c r="T102" s="227">
        <v>231580</v>
      </c>
      <c r="V102" s="228"/>
      <c r="X102" s="304"/>
    </row>
    <row r="103" spans="1:24" x14ac:dyDescent="0.15">
      <c r="A103" s="178"/>
      <c r="B103" s="287">
        <v>44499</v>
      </c>
      <c r="C103" s="180" t="s">
        <v>363</v>
      </c>
      <c r="D103" s="289">
        <v>2</v>
      </c>
      <c r="E103" s="289">
        <v>3</v>
      </c>
      <c r="F103" s="289">
        <v>2</v>
      </c>
      <c r="G103" s="289">
        <v>5</v>
      </c>
      <c r="H103" s="289">
        <v>3</v>
      </c>
      <c r="I103" s="289">
        <v>0</v>
      </c>
      <c r="J103" s="303">
        <v>9</v>
      </c>
      <c r="K103" s="229">
        <v>11659387.5</v>
      </c>
      <c r="L103" s="237">
        <v>2</v>
      </c>
      <c r="M103" s="229">
        <v>1077777</v>
      </c>
      <c r="N103" s="231">
        <v>0</v>
      </c>
      <c r="O103" s="232">
        <v>4</v>
      </c>
      <c r="P103" s="233">
        <v>36</v>
      </c>
      <c r="Q103" s="232">
        <v>377</v>
      </c>
      <c r="R103" s="233">
        <v>3686</v>
      </c>
      <c r="S103" s="232">
        <v>36536</v>
      </c>
      <c r="T103" s="233">
        <v>425747</v>
      </c>
      <c r="V103" s="228"/>
      <c r="X103" s="304"/>
    </row>
    <row r="104" spans="1:24" x14ac:dyDescent="0.15">
      <c r="A104" s="172">
        <v>44</v>
      </c>
      <c r="B104" s="173">
        <v>44503</v>
      </c>
      <c r="C104" s="174" t="s">
        <v>362</v>
      </c>
      <c r="D104" s="291">
        <v>0</v>
      </c>
      <c r="E104" s="291">
        <v>8</v>
      </c>
      <c r="F104" s="291">
        <v>4</v>
      </c>
      <c r="G104" s="291">
        <v>4</v>
      </c>
      <c r="H104" s="291">
        <v>0</v>
      </c>
      <c r="I104" s="291">
        <v>5</v>
      </c>
      <c r="J104" s="292">
        <v>8</v>
      </c>
      <c r="K104" s="222">
        <v>5094330</v>
      </c>
      <c r="L104" s="234" t="s">
        <v>23</v>
      </c>
      <c r="M104" s="224" t="s">
        <v>368</v>
      </c>
      <c r="N104" s="225">
        <v>362206.9</v>
      </c>
      <c r="O104" s="226">
        <v>2</v>
      </c>
      <c r="P104" s="227">
        <v>15</v>
      </c>
      <c r="Q104" s="226">
        <v>197</v>
      </c>
      <c r="R104" s="227">
        <v>1866</v>
      </c>
      <c r="S104" s="226">
        <v>21233</v>
      </c>
      <c r="T104" s="227">
        <v>196563</v>
      </c>
      <c r="V104" s="228"/>
      <c r="X104" s="304"/>
    </row>
    <row r="105" spans="1:24" x14ac:dyDescent="0.15">
      <c r="A105" s="178"/>
      <c r="B105" s="179">
        <v>44506</v>
      </c>
      <c r="C105" s="180" t="s">
        <v>363</v>
      </c>
      <c r="D105" s="289">
        <v>8</v>
      </c>
      <c r="E105" s="289">
        <v>0</v>
      </c>
      <c r="F105" s="289">
        <v>0</v>
      </c>
      <c r="G105" s="289">
        <v>2</v>
      </c>
      <c r="H105" s="289">
        <v>4</v>
      </c>
      <c r="I105" s="289">
        <v>8</v>
      </c>
      <c r="J105" s="303">
        <v>7</v>
      </c>
      <c r="K105" s="229">
        <v>11833715</v>
      </c>
      <c r="L105" s="237" t="s">
        <v>23</v>
      </c>
      <c r="M105" s="229" t="s">
        <v>368</v>
      </c>
      <c r="N105" s="231">
        <v>1203584</v>
      </c>
      <c r="O105" s="232">
        <v>7</v>
      </c>
      <c r="P105" s="232">
        <v>56</v>
      </c>
      <c r="Q105" s="233">
        <v>554</v>
      </c>
      <c r="R105" s="232">
        <v>5417</v>
      </c>
      <c r="S105" s="233">
        <v>52156</v>
      </c>
      <c r="T105" s="232">
        <v>542392</v>
      </c>
      <c r="V105" s="228"/>
      <c r="X105" s="304"/>
    </row>
    <row r="106" spans="1:24" x14ac:dyDescent="0.15">
      <c r="A106" s="172">
        <v>45</v>
      </c>
      <c r="B106" s="173">
        <v>44510</v>
      </c>
      <c r="C106" s="174" t="s">
        <v>362</v>
      </c>
      <c r="D106" s="291">
        <v>8</v>
      </c>
      <c r="E106" s="291">
        <v>0</v>
      </c>
      <c r="F106" s="291">
        <v>8</v>
      </c>
      <c r="G106" s="291">
        <v>9</v>
      </c>
      <c r="H106" s="291">
        <v>8</v>
      </c>
      <c r="I106" s="291">
        <v>4</v>
      </c>
      <c r="J106" s="292">
        <v>1</v>
      </c>
      <c r="K106" s="222">
        <v>4742802.5</v>
      </c>
      <c r="L106" s="223" t="s">
        <v>23</v>
      </c>
      <c r="M106" s="224" t="s">
        <v>368</v>
      </c>
      <c r="N106" s="225">
        <v>1540797.3</v>
      </c>
      <c r="O106" s="226">
        <v>1</v>
      </c>
      <c r="P106" s="227">
        <v>17</v>
      </c>
      <c r="Q106" s="226">
        <v>152</v>
      </c>
      <c r="R106" s="227">
        <v>1406</v>
      </c>
      <c r="S106" s="226">
        <v>13439</v>
      </c>
      <c r="T106" s="227">
        <v>145947</v>
      </c>
      <c r="V106" s="228"/>
      <c r="X106" s="304"/>
    </row>
    <row r="107" spans="1:24" x14ac:dyDescent="0.15">
      <c r="A107" s="178"/>
      <c r="B107" s="179">
        <v>44513</v>
      </c>
      <c r="C107" s="180" t="s">
        <v>363</v>
      </c>
      <c r="D107" s="289">
        <v>1</v>
      </c>
      <c r="E107" s="289">
        <v>7</v>
      </c>
      <c r="F107" s="289">
        <v>3</v>
      </c>
      <c r="G107" s="289">
        <v>2</v>
      </c>
      <c r="H107" s="289">
        <v>7</v>
      </c>
      <c r="I107" s="289">
        <v>6</v>
      </c>
      <c r="J107" s="303">
        <v>5</v>
      </c>
      <c r="K107" s="229">
        <v>11244432.5</v>
      </c>
      <c r="L107" s="237">
        <v>3</v>
      </c>
      <c r="M107" s="229">
        <v>777777</v>
      </c>
      <c r="N107" s="231">
        <v>0</v>
      </c>
      <c r="O107" s="232">
        <v>1</v>
      </c>
      <c r="P107" s="233">
        <v>44</v>
      </c>
      <c r="Q107" s="232">
        <v>464</v>
      </c>
      <c r="R107" s="233">
        <v>4772</v>
      </c>
      <c r="S107" s="232">
        <v>46902</v>
      </c>
      <c r="T107" s="233">
        <v>445824</v>
      </c>
      <c r="V107" s="228"/>
      <c r="X107" s="304"/>
    </row>
    <row r="108" spans="1:24" x14ac:dyDescent="0.15">
      <c r="A108" s="172">
        <v>46</v>
      </c>
      <c r="B108" s="173">
        <v>44517</v>
      </c>
      <c r="C108" s="174" t="s">
        <v>362</v>
      </c>
      <c r="D108" s="291">
        <v>1</v>
      </c>
      <c r="E108" s="291">
        <v>5</v>
      </c>
      <c r="F108" s="291">
        <v>9</v>
      </c>
      <c r="G108" s="291">
        <v>1</v>
      </c>
      <c r="H108" s="291">
        <v>7</v>
      </c>
      <c r="I108" s="291">
        <v>1</v>
      </c>
      <c r="J108" s="292">
        <v>1</v>
      </c>
      <c r="K108" s="222">
        <v>4730795</v>
      </c>
      <c r="L108" s="234" t="s">
        <v>23</v>
      </c>
      <c r="M108" s="224" t="s">
        <v>368</v>
      </c>
      <c r="N108" s="225">
        <v>336359.5</v>
      </c>
      <c r="O108" s="226" t="s">
        <v>17</v>
      </c>
      <c r="P108" s="227">
        <v>22</v>
      </c>
      <c r="Q108" s="226">
        <v>171</v>
      </c>
      <c r="R108" s="227">
        <v>1631</v>
      </c>
      <c r="S108" s="226">
        <v>15468</v>
      </c>
      <c r="T108" s="227">
        <v>142989</v>
      </c>
      <c r="V108" s="228"/>
      <c r="X108" s="304"/>
    </row>
    <row r="109" spans="1:24" x14ac:dyDescent="0.15">
      <c r="A109" s="178"/>
      <c r="B109" s="179">
        <v>44520</v>
      </c>
      <c r="C109" s="180" t="s">
        <v>363</v>
      </c>
      <c r="D109" s="289">
        <v>8</v>
      </c>
      <c r="E109" s="289">
        <v>7</v>
      </c>
      <c r="F109" s="289">
        <v>9</v>
      </c>
      <c r="G109" s="289">
        <v>2</v>
      </c>
      <c r="H109" s="289">
        <v>7</v>
      </c>
      <c r="I109" s="289">
        <v>8</v>
      </c>
      <c r="J109" s="303">
        <v>9</v>
      </c>
      <c r="K109" s="229">
        <v>11213032.5</v>
      </c>
      <c r="L109" s="237">
        <v>1</v>
      </c>
      <c r="M109" s="229">
        <v>1077777</v>
      </c>
      <c r="N109" s="231">
        <v>0</v>
      </c>
      <c r="O109" s="232">
        <v>3</v>
      </c>
      <c r="P109" s="233">
        <v>36</v>
      </c>
      <c r="Q109" s="232">
        <v>392</v>
      </c>
      <c r="R109" s="233">
        <v>4147</v>
      </c>
      <c r="S109" s="232">
        <v>38971</v>
      </c>
      <c r="T109" s="233">
        <v>403553</v>
      </c>
      <c r="V109" s="228"/>
      <c r="X109" s="304"/>
    </row>
    <row r="110" spans="1:24" x14ac:dyDescent="0.15">
      <c r="A110" s="172">
        <v>47</v>
      </c>
      <c r="B110" s="173">
        <v>44524</v>
      </c>
      <c r="C110" s="174" t="s">
        <v>362</v>
      </c>
      <c r="D110" s="291">
        <v>7</v>
      </c>
      <c r="E110" s="291">
        <v>4</v>
      </c>
      <c r="F110" s="291">
        <v>1</v>
      </c>
      <c r="G110" s="291">
        <v>8</v>
      </c>
      <c r="H110" s="291">
        <v>7</v>
      </c>
      <c r="I110" s="291">
        <v>3</v>
      </c>
      <c r="J110" s="292">
        <v>8</v>
      </c>
      <c r="K110" s="222">
        <v>4798940</v>
      </c>
      <c r="L110" s="234" t="s">
        <v>23</v>
      </c>
      <c r="M110" s="224" t="s">
        <v>368</v>
      </c>
      <c r="N110" s="225">
        <v>341204.59999999992</v>
      </c>
      <c r="O110" s="226">
        <v>3</v>
      </c>
      <c r="P110" s="227">
        <v>20</v>
      </c>
      <c r="Q110" s="226">
        <v>180</v>
      </c>
      <c r="R110" s="227">
        <v>1899</v>
      </c>
      <c r="S110" s="226">
        <v>18378</v>
      </c>
      <c r="T110" s="227">
        <v>186030</v>
      </c>
      <c r="V110" s="228"/>
      <c r="X110" s="304"/>
    </row>
    <row r="111" spans="1:24" x14ac:dyDescent="0.15">
      <c r="A111" s="178"/>
      <c r="B111" s="179">
        <v>44527</v>
      </c>
      <c r="C111" s="180" t="s">
        <v>363</v>
      </c>
      <c r="D111" s="289">
        <v>3</v>
      </c>
      <c r="E111" s="289">
        <v>2</v>
      </c>
      <c r="F111" s="289">
        <v>5</v>
      </c>
      <c r="G111" s="289">
        <v>7</v>
      </c>
      <c r="H111" s="289">
        <v>1</v>
      </c>
      <c r="I111" s="289">
        <v>6</v>
      </c>
      <c r="J111" s="303">
        <v>8</v>
      </c>
      <c r="K111" s="229">
        <v>11137687.5</v>
      </c>
      <c r="L111" s="230">
        <v>2</v>
      </c>
      <c r="M111" s="229">
        <v>477777</v>
      </c>
      <c r="N111" s="231">
        <v>0</v>
      </c>
      <c r="O111" s="232">
        <v>7</v>
      </c>
      <c r="P111" s="233">
        <v>47</v>
      </c>
      <c r="Q111" s="232">
        <v>522</v>
      </c>
      <c r="R111" s="233">
        <v>4859</v>
      </c>
      <c r="S111" s="232">
        <v>48104</v>
      </c>
      <c r="T111" s="233">
        <v>441594</v>
      </c>
      <c r="V111" s="228"/>
      <c r="X111" s="304"/>
    </row>
    <row r="112" spans="1:24" x14ac:dyDescent="0.15">
      <c r="A112" s="172">
        <v>48</v>
      </c>
      <c r="B112" s="173">
        <v>44531</v>
      </c>
      <c r="C112" s="174" t="s">
        <v>362</v>
      </c>
      <c r="D112" s="291">
        <v>7</v>
      </c>
      <c r="E112" s="291">
        <v>9</v>
      </c>
      <c r="F112" s="291">
        <v>5</v>
      </c>
      <c r="G112" s="291">
        <v>9</v>
      </c>
      <c r="H112" s="291">
        <v>0</v>
      </c>
      <c r="I112" s="291">
        <v>8</v>
      </c>
      <c r="J112" s="292">
        <v>1</v>
      </c>
      <c r="K112" s="222">
        <v>5179172.5</v>
      </c>
      <c r="L112" s="234" t="s">
        <v>23</v>
      </c>
      <c r="M112" s="224" t="s">
        <v>368</v>
      </c>
      <c r="N112" s="225">
        <v>368239.19999999995</v>
      </c>
      <c r="O112" s="226">
        <v>2</v>
      </c>
      <c r="P112" s="227">
        <v>23</v>
      </c>
      <c r="Q112" s="226">
        <v>157</v>
      </c>
      <c r="R112" s="227">
        <v>1534</v>
      </c>
      <c r="S112" s="226">
        <v>16017</v>
      </c>
      <c r="T112" s="227">
        <v>158730</v>
      </c>
      <c r="V112" s="228"/>
      <c r="X112" s="304"/>
    </row>
    <row r="113" spans="1:24" x14ac:dyDescent="0.15">
      <c r="A113" s="178"/>
      <c r="B113" s="179">
        <v>44534</v>
      </c>
      <c r="C113" s="180" t="s">
        <v>363</v>
      </c>
      <c r="D113" s="289">
        <v>0</v>
      </c>
      <c r="E113" s="289">
        <v>0</v>
      </c>
      <c r="F113" s="289">
        <v>1</v>
      </c>
      <c r="G113" s="289">
        <v>9</v>
      </c>
      <c r="H113" s="289">
        <v>0</v>
      </c>
      <c r="I113" s="289">
        <v>8</v>
      </c>
      <c r="J113" s="303">
        <v>1</v>
      </c>
      <c r="K113" s="229">
        <v>12318220</v>
      </c>
      <c r="L113" s="230" t="s">
        <v>23</v>
      </c>
      <c r="M113" s="229" t="s">
        <v>368</v>
      </c>
      <c r="N113" s="231">
        <v>1244064.6000000001</v>
      </c>
      <c r="O113" s="232">
        <v>3</v>
      </c>
      <c r="P113" s="233">
        <v>37</v>
      </c>
      <c r="Q113" s="232">
        <v>385</v>
      </c>
      <c r="R113" s="233">
        <v>3779</v>
      </c>
      <c r="S113" s="232">
        <v>38612</v>
      </c>
      <c r="T113" s="233">
        <v>380609</v>
      </c>
      <c r="V113" s="228"/>
      <c r="X113" s="304"/>
    </row>
    <row r="114" spans="1:24" x14ac:dyDescent="0.15">
      <c r="A114" s="172">
        <v>49</v>
      </c>
      <c r="B114" s="173">
        <v>44538</v>
      </c>
      <c r="C114" s="174" t="s">
        <v>362</v>
      </c>
      <c r="D114" s="291">
        <v>0</v>
      </c>
      <c r="E114" s="291">
        <v>7</v>
      </c>
      <c r="F114" s="291">
        <v>7</v>
      </c>
      <c r="G114" s="291">
        <v>2</v>
      </c>
      <c r="H114" s="291">
        <v>8</v>
      </c>
      <c r="I114" s="291">
        <v>6</v>
      </c>
      <c r="J114" s="292">
        <v>4</v>
      </c>
      <c r="K114" s="222">
        <v>5146382.5</v>
      </c>
      <c r="L114" s="234">
        <v>1</v>
      </c>
      <c r="M114" s="224">
        <v>1577777</v>
      </c>
      <c r="N114" s="225">
        <v>0</v>
      </c>
      <c r="O114" s="226" t="s">
        <v>17</v>
      </c>
      <c r="P114" s="227">
        <v>21</v>
      </c>
      <c r="Q114" s="226">
        <v>222</v>
      </c>
      <c r="R114" s="227">
        <v>1903</v>
      </c>
      <c r="S114" s="226">
        <v>19641</v>
      </c>
      <c r="T114" s="227">
        <v>180598</v>
      </c>
      <c r="V114" s="228"/>
      <c r="X114" s="304"/>
    </row>
    <row r="115" spans="1:24" x14ac:dyDescent="0.15">
      <c r="A115" s="178"/>
      <c r="B115" s="179">
        <v>44541</v>
      </c>
      <c r="C115" s="180" t="s">
        <v>363</v>
      </c>
      <c r="D115" s="289">
        <v>4</v>
      </c>
      <c r="E115" s="289">
        <v>2</v>
      </c>
      <c r="F115" s="289">
        <v>4</v>
      </c>
      <c r="G115" s="289">
        <v>1</v>
      </c>
      <c r="H115" s="289">
        <v>5</v>
      </c>
      <c r="I115" s="289">
        <v>4</v>
      </c>
      <c r="J115" s="303">
        <v>0</v>
      </c>
      <c r="K115" s="229">
        <v>12041215</v>
      </c>
      <c r="L115" s="230">
        <v>1</v>
      </c>
      <c r="M115" s="229">
        <v>777777</v>
      </c>
      <c r="N115" s="231">
        <v>0</v>
      </c>
      <c r="O115" s="232">
        <v>4</v>
      </c>
      <c r="P115" s="233">
        <v>21</v>
      </c>
      <c r="Q115" s="232">
        <v>321</v>
      </c>
      <c r="R115" s="233">
        <v>3215</v>
      </c>
      <c r="S115" s="232">
        <v>31912</v>
      </c>
      <c r="T115" s="233">
        <v>327787</v>
      </c>
      <c r="V115" s="228"/>
      <c r="X115" s="304"/>
    </row>
    <row r="116" spans="1:24" x14ac:dyDescent="0.15">
      <c r="A116" s="172">
        <v>50</v>
      </c>
      <c r="B116" s="173">
        <v>44545</v>
      </c>
      <c r="C116" s="174" t="s">
        <v>362</v>
      </c>
      <c r="D116" s="291">
        <v>9</v>
      </c>
      <c r="E116" s="291">
        <v>1</v>
      </c>
      <c r="F116" s="291">
        <v>2</v>
      </c>
      <c r="G116" s="291">
        <v>5</v>
      </c>
      <c r="H116" s="291">
        <v>3</v>
      </c>
      <c r="I116" s="291">
        <v>6</v>
      </c>
      <c r="J116" s="292">
        <v>3</v>
      </c>
      <c r="K116" s="222">
        <v>5279082.5</v>
      </c>
      <c r="L116" s="234">
        <v>1</v>
      </c>
      <c r="M116" s="224">
        <v>277777</v>
      </c>
      <c r="N116" s="225">
        <v>0</v>
      </c>
      <c r="O116" s="226">
        <v>2</v>
      </c>
      <c r="P116" s="227">
        <v>17</v>
      </c>
      <c r="Q116" s="226">
        <v>202</v>
      </c>
      <c r="R116" s="227">
        <v>2099</v>
      </c>
      <c r="S116" s="226">
        <v>20827</v>
      </c>
      <c r="T116" s="227">
        <v>200433</v>
      </c>
      <c r="V116" s="228"/>
      <c r="X116" s="304"/>
    </row>
    <row r="117" spans="1:24" x14ac:dyDescent="0.15">
      <c r="A117" s="178"/>
      <c r="B117" s="179">
        <v>44548</v>
      </c>
      <c r="C117" s="180" t="s">
        <v>363</v>
      </c>
      <c r="D117" s="289">
        <v>3</v>
      </c>
      <c r="E117" s="289">
        <v>1</v>
      </c>
      <c r="F117" s="289">
        <v>3</v>
      </c>
      <c r="G117" s="289">
        <v>0</v>
      </c>
      <c r="H117" s="289">
        <v>8</v>
      </c>
      <c r="I117" s="289">
        <v>1</v>
      </c>
      <c r="J117" s="303">
        <v>1</v>
      </c>
      <c r="K117" s="229">
        <v>12526055</v>
      </c>
      <c r="L117" s="230" t="s">
        <v>23</v>
      </c>
      <c r="M117" s="229" t="s">
        <v>368</v>
      </c>
      <c r="N117" s="231">
        <v>890602.50000000012</v>
      </c>
      <c r="O117" s="232">
        <v>6</v>
      </c>
      <c r="P117" s="233">
        <v>34</v>
      </c>
      <c r="Q117" s="232">
        <v>413</v>
      </c>
      <c r="R117" s="233">
        <v>3854</v>
      </c>
      <c r="S117" s="232">
        <v>39739</v>
      </c>
      <c r="T117" s="233">
        <v>388522</v>
      </c>
      <c r="V117" s="228"/>
      <c r="X117" s="304"/>
    </row>
    <row r="118" spans="1:24" x14ac:dyDescent="0.15">
      <c r="A118" s="172">
        <v>51</v>
      </c>
      <c r="B118" s="173">
        <v>44552</v>
      </c>
      <c r="C118" s="174" t="s">
        <v>362</v>
      </c>
      <c r="D118" s="291">
        <v>2</v>
      </c>
      <c r="E118" s="291">
        <v>5</v>
      </c>
      <c r="F118" s="291">
        <v>4</v>
      </c>
      <c r="G118" s="291">
        <v>6</v>
      </c>
      <c r="H118" s="291">
        <v>2</v>
      </c>
      <c r="I118" s="291">
        <v>9</v>
      </c>
      <c r="J118" s="292">
        <v>3</v>
      </c>
      <c r="K118" s="222">
        <v>5697607.5</v>
      </c>
      <c r="L118" s="234" t="s">
        <v>23</v>
      </c>
      <c r="M118" s="224" t="s">
        <v>368</v>
      </c>
      <c r="N118" s="225">
        <v>1295702.4000000004</v>
      </c>
      <c r="O118" s="226" t="s">
        <v>17</v>
      </c>
      <c r="P118" s="227">
        <v>22</v>
      </c>
      <c r="Q118" s="226">
        <v>183</v>
      </c>
      <c r="R118" s="227">
        <v>2030</v>
      </c>
      <c r="S118" s="226">
        <v>20111</v>
      </c>
      <c r="T118" s="227">
        <v>219456</v>
      </c>
      <c r="V118" s="228"/>
      <c r="X118" s="304"/>
    </row>
    <row r="119" spans="1:24" x14ac:dyDescent="0.15">
      <c r="A119" s="178"/>
      <c r="B119" s="179">
        <v>44555</v>
      </c>
      <c r="C119" s="180" t="s">
        <v>363</v>
      </c>
      <c r="D119" s="289">
        <v>5</v>
      </c>
      <c r="E119" s="289">
        <v>6</v>
      </c>
      <c r="F119" s="289">
        <v>3</v>
      </c>
      <c r="G119" s="289">
        <v>5</v>
      </c>
      <c r="H119" s="289">
        <v>9</v>
      </c>
      <c r="I119" s="289">
        <v>3</v>
      </c>
      <c r="J119" s="303">
        <v>7</v>
      </c>
      <c r="K119" s="229">
        <v>12543237.5</v>
      </c>
      <c r="L119" s="230" t="s">
        <v>23</v>
      </c>
      <c r="M119" s="229" t="s">
        <v>368</v>
      </c>
      <c r="N119" s="231">
        <v>2187526.6000000006</v>
      </c>
      <c r="O119" s="232">
        <v>8</v>
      </c>
      <c r="P119" s="233">
        <v>65</v>
      </c>
      <c r="Q119" s="232">
        <v>573</v>
      </c>
      <c r="R119" s="233">
        <v>5635</v>
      </c>
      <c r="S119" s="232">
        <v>55676</v>
      </c>
      <c r="T119" s="233">
        <v>574293</v>
      </c>
      <c r="V119" s="228"/>
      <c r="X119" s="304"/>
    </row>
    <row r="120" spans="1:24" x14ac:dyDescent="0.15">
      <c r="A120" s="172">
        <v>52</v>
      </c>
      <c r="B120" s="173">
        <v>44559</v>
      </c>
      <c r="C120" s="174" t="s">
        <v>362</v>
      </c>
      <c r="D120" s="305">
        <v>5</v>
      </c>
      <c r="E120" s="291">
        <v>2</v>
      </c>
      <c r="F120" s="291">
        <v>8</v>
      </c>
      <c r="G120" s="291">
        <v>1</v>
      </c>
      <c r="H120" s="291">
        <v>9</v>
      </c>
      <c r="I120" s="291">
        <v>1</v>
      </c>
      <c r="J120" s="292">
        <v>5</v>
      </c>
      <c r="K120" s="222">
        <v>6018312.5</v>
      </c>
      <c r="L120" s="234" t="s">
        <v>23</v>
      </c>
      <c r="M120" s="224" t="s">
        <v>368</v>
      </c>
      <c r="N120" s="225">
        <v>2615428.6</v>
      </c>
      <c r="O120" s="226">
        <v>2</v>
      </c>
      <c r="P120" s="227">
        <v>22</v>
      </c>
      <c r="Q120" s="226">
        <v>208</v>
      </c>
      <c r="R120" s="227">
        <v>2233</v>
      </c>
      <c r="S120" s="226">
        <v>23094</v>
      </c>
      <c r="T120" s="227">
        <v>237028</v>
      </c>
      <c r="V120" s="228"/>
      <c r="X120" s="304"/>
    </row>
    <row r="121" spans="1:24" x14ac:dyDescent="0.15">
      <c r="A121" s="178"/>
      <c r="B121" s="179">
        <v>44562</v>
      </c>
      <c r="C121" s="180" t="s">
        <v>363</v>
      </c>
      <c r="D121" s="362">
        <v>4</v>
      </c>
      <c r="E121" s="307">
        <v>7</v>
      </c>
      <c r="F121" s="307">
        <v>2</v>
      </c>
      <c r="G121" s="307">
        <v>2</v>
      </c>
      <c r="H121" s="307">
        <v>1</v>
      </c>
      <c r="I121" s="307">
        <v>9</v>
      </c>
      <c r="J121" s="308">
        <v>3</v>
      </c>
      <c r="K121" s="229">
        <v>13069442.5</v>
      </c>
      <c r="L121" s="230">
        <v>1</v>
      </c>
      <c r="M121" s="229">
        <v>3477777</v>
      </c>
      <c r="N121" s="231">
        <v>0</v>
      </c>
      <c r="O121" s="232">
        <v>5</v>
      </c>
      <c r="P121" s="233">
        <v>51</v>
      </c>
      <c r="Q121" s="232">
        <v>451</v>
      </c>
      <c r="R121" s="233">
        <v>4529</v>
      </c>
      <c r="S121" s="232">
        <v>45999</v>
      </c>
      <c r="T121" s="233">
        <v>486980</v>
      </c>
      <c r="V121" s="228"/>
      <c r="X121" s="304"/>
    </row>
    <row r="122" spans="1:24" x14ac:dyDescent="0.15">
      <c r="A122" s="45"/>
      <c r="B122" s="46"/>
      <c r="C122" s="46"/>
      <c r="D122" s="309"/>
      <c r="E122" s="309"/>
      <c r="F122" s="309"/>
      <c r="G122" s="309"/>
      <c r="H122" s="309"/>
      <c r="I122" s="309" t="s">
        <v>24</v>
      </c>
      <c r="J122" s="309"/>
      <c r="K122" s="277"/>
      <c r="L122" s="278">
        <f>SUM(L70:L121)</f>
        <v>29</v>
      </c>
      <c r="M122" s="229"/>
      <c r="N122" s="278"/>
      <c r="O122" s="278">
        <f>SUM(O70:O121)</f>
        <v>147</v>
      </c>
      <c r="P122" s="278">
        <f>SUM(P70:P121)</f>
        <v>1533</v>
      </c>
      <c r="Q122" s="278">
        <f>SUM(Q70:Q121)</f>
        <v>15688</v>
      </c>
      <c r="R122" s="278">
        <f>SUM(R70:R121)</f>
        <v>157155</v>
      </c>
      <c r="S122" s="278">
        <f>SUM(S70:S121)</f>
        <v>1573581</v>
      </c>
      <c r="T122" s="278">
        <f>SUM(T70:T121)</f>
        <v>15649870</v>
      </c>
      <c r="V122" s="228"/>
      <c r="X122" s="304"/>
    </row>
    <row r="123" spans="1:24" x14ac:dyDescent="0.15">
      <c r="K123" s="222"/>
      <c r="V123" s="280"/>
      <c r="X123" s="304"/>
    </row>
  </sheetData>
  <printOptions horizontalCentered="1" verticalCentered="1"/>
  <pageMargins left="0" right="0" top="0" bottom="0.39370078740157483" header="0.23622047244094491" footer="0.23622047244094491"/>
  <pageSetup paperSize="9" scale="87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47</vt:i4>
      </vt:variant>
      <vt:variant>
        <vt:lpstr>Benannte Bereiche</vt:lpstr>
      </vt:variant>
      <vt:variant>
        <vt:i4>47</vt:i4>
      </vt:variant>
    </vt:vector>
  </HeadingPairs>
  <TitlesOfParts>
    <vt:vector size="94" baseType="lpstr">
      <vt:lpstr>SP77SA75</vt:lpstr>
      <vt:lpstr>SP77SA76</vt:lpstr>
      <vt:lpstr>SP77SA77</vt:lpstr>
      <vt:lpstr>SP77SA78</vt:lpstr>
      <vt:lpstr>SP77SA79</vt:lpstr>
      <vt:lpstr>SP77SA80</vt:lpstr>
      <vt:lpstr>SP77SA81</vt:lpstr>
      <vt:lpstr>SP77SA82</vt:lpstr>
      <vt:lpstr>SP77SA83</vt:lpstr>
      <vt:lpstr>SP77SA84</vt:lpstr>
      <vt:lpstr>SP77SA85</vt:lpstr>
      <vt:lpstr>SP77SA86</vt:lpstr>
      <vt:lpstr>SP77SA87</vt:lpstr>
      <vt:lpstr>SP77SA88</vt:lpstr>
      <vt:lpstr>SP77SA89</vt:lpstr>
      <vt:lpstr>SP77SA90</vt:lpstr>
      <vt:lpstr>SP77SA91</vt:lpstr>
      <vt:lpstr>SP77SA92</vt:lpstr>
      <vt:lpstr>SP77SA93</vt:lpstr>
      <vt:lpstr>SP77SA94</vt:lpstr>
      <vt:lpstr>SP77SA95</vt:lpstr>
      <vt:lpstr>SP77SA96</vt:lpstr>
      <vt:lpstr>SP77SA97</vt:lpstr>
      <vt:lpstr>SP77SA98</vt:lpstr>
      <vt:lpstr>SP77SA99</vt:lpstr>
      <vt:lpstr>77SA_SP772000</vt:lpstr>
      <vt:lpstr>SP77_2001</vt:lpstr>
      <vt:lpstr>SP77_2002</vt:lpstr>
      <vt:lpstr>SP77_2003</vt:lpstr>
      <vt:lpstr>SP77_2004</vt:lpstr>
      <vt:lpstr>SP77_2005</vt:lpstr>
      <vt:lpstr>SP77_2006</vt:lpstr>
      <vt:lpstr>SP77_2007</vt:lpstr>
      <vt:lpstr>SP77_2008</vt:lpstr>
      <vt:lpstr>SP77_2009</vt:lpstr>
      <vt:lpstr>SP77_2010</vt:lpstr>
      <vt:lpstr>SP77_2011</vt:lpstr>
      <vt:lpstr>SP77_2012</vt:lpstr>
      <vt:lpstr>SP77_2013</vt:lpstr>
      <vt:lpstr>SP77_2014</vt:lpstr>
      <vt:lpstr>SP77_2015</vt:lpstr>
      <vt:lpstr>SP77_2016</vt:lpstr>
      <vt:lpstr>SP77_2017</vt:lpstr>
      <vt:lpstr>SP77_2018</vt:lpstr>
      <vt:lpstr>SP77_2019</vt:lpstr>
      <vt:lpstr>SP77_2020</vt:lpstr>
      <vt:lpstr>SP77_2021</vt:lpstr>
      <vt:lpstr>'77SA_SP772000'!Druckbereich</vt:lpstr>
      <vt:lpstr>SP77_2001!Druckbereich</vt:lpstr>
      <vt:lpstr>SP77_2002!Druckbereich</vt:lpstr>
      <vt:lpstr>SP77_2003!Druckbereich</vt:lpstr>
      <vt:lpstr>SP77_2004!Druckbereich</vt:lpstr>
      <vt:lpstr>SP77_2005!Druckbereich</vt:lpstr>
      <vt:lpstr>SP77_2006!Druckbereich</vt:lpstr>
      <vt:lpstr>SP77_2007!Druckbereich</vt:lpstr>
      <vt:lpstr>SP77_2008!Druckbereich</vt:lpstr>
      <vt:lpstr>SP77_2009!Druckbereich</vt:lpstr>
      <vt:lpstr>SP77_2010!Druckbereich</vt:lpstr>
      <vt:lpstr>SP77_2011!Druckbereich</vt:lpstr>
      <vt:lpstr>SP77_2012!Druckbereich</vt:lpstr>
      <vt:lpstr>SP77_2013!Druckbereich</vt:lpstr>
      <vt:lpstr>SP77_2014!Druckbereich</vt:lpstr>
      <vt:lpstr>SP77_2015!Druckbereich</vt:lpstr>
      <vt:lpstr>SP77_2016!Druckbereich</vt:lpstr>
      <vt:lpstr>SP77_2017!Druckbereich</vt:lpstr>
      <vt:lpstr>SP77_2018!Druckbereich</vt:lpstr>
      <vt:lpstr>SP77_2019!Druckbereich</vt:lpstr>
      <vt:lpstr>SP77_2020!Druckbereich</vt:lpstr>
      <vt:lpstr>SP77_2021!Druckbereich</vt:lpstr>
      <vt:lpstr>SP77SA75!Druckbereich</vt:lpstr>
      <vt:lpstr>SP77SA76!Druckbereich</vt:lpstr>
      <vt:lpstr>SP77SA77!Druckbereich</vt:lpstr>
      <vt:lpstr>SP77SA78!Druckbereich</vt:lpstr>
      <vt:lpstr>SP77SA79!Druckbereich</vt:lpstr>
      <vt:lpstr>SP77SA80!Druckbereich</vt:lpstr>
      <vt:lpstr>SP77SA81!Druckbereich</vt:lpstr>
      <vt:lpstr>SP77SA82!Druckbereich</vt:lpstr>
      <vt:lpstr>SP77SA83!Druckbereich</vt:lpstr>
      <vt:lpstr>SP77SA84!Druckbereich</vt:lpstr>
      <vt:lpstr>SP77SA85!Druckbereich</vt:lpstr>
      <vt:lpstr>SP77SA86!Druckbereich</vt:lpstr>
      <vt:lpstr>SP77SA87!Druckbereich</vt:lpstr>
      <vt:lpstr>SP77SA88!Druckbereich</vt:lpstr>
      <vt:lpstr>SP77SA89!Druckbereich</vt:lpstr>
      <vt:lpstr>SP77SA90!Druckbereich</vt:lpstr>
      <vt:lpstr>SP77SA91!Druckbereich</vt:lpstr>
      <vt:lpstr>SP77SA92!Druckbereich</vt:lpstr>
      <vt:lpstr>SP77SA93!Druckbereich</vt:lpstr>
      <vt:lpstr>SP77SA94!Druckbereich</vt:lpstr>
      <vt:lpstr>SP77SA95!Druckbereich</vt:lpstr>
      <vt:lpstr>SP77SA96!Druckbereich</vt:lpstr>
      <vt:lpstr>SP77SA97!Druckbereich</vt:lpstr>
      <vt:lpstr>SP77SA98!Druckbereich</vt:lpstr>
      <vt:lpstr>SP77SA99!Druckbereich</vt:lpstr>
    </vt:vector>
  </TitlesOfParts>
  <Company>Westdeutsche Lotterie GmbH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Kersten</dc:creator>
  <cp:lastModifiedBy>Christina Hüser</cp:lastModifiedBy>
  <cp:lastPrinted>2022-01-04T15:25:24Z</cp:lastPrinted>
  <dcterms:created xsi:type="dcterms:W3CDTF">1999-10-19T07:19:06Z</dcterms:created>
  <dcterms:modified xsi:type="dcterms:W3CDTF">2022-01-04T15:26:13Z</dcterms:modified>
</cp:coreProperties>
</file>